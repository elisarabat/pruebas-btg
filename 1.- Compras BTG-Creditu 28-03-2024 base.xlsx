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hidePivotFieldList="1" autoCompressPictures="0"/>
  <mc:AlternateContent xmlns:mc="http://schemas.openxmlformats.org/markup-compatibility/2006">
    <mc:Choice Requires="x15">
      <x15ac:absPath xmlns:x15ac="http://schemas.microsoft.com/office/spreadsheetml/2010/11/ac" url="U:\13. FI Deuda Habitacional con Subsidio\0.- Carteras\Creditú\5.- Cartera 28-03-2024\"/>
    </mc:Choice>
  </mc:AlternateContent>
  <xr:revisionPtr revIDLastSave="0" documentId="13_ncr:1_{125BB9E4-8C70-4B05-A26C-03E6AA52E1A8}" xr6:coauthVersionLast="47" xr6:coauthVersionMax="47" xr10:uidLastSave="{00000000-0000-0000-0000-000000000000}"/>
  <bookViews>
    <workbookView xWindow="20370" yWindow="-2160" windowWidth="24240" windowHeight="13020" tabRatio="637" activeTab="4" xr2:uid="{00000000-000D-0000-FFFF-FFFF00000000}"/>
  </bookViews>
  <sheets>
    <sheet name="Base" sheetId="10" r:id="rId1"/>
    <sheet name="Valo FX" sheetId="8" r:id="rId2"/>
    <sheet name="Valo" sheetId="12" r:id="rId3"/>
    <sheet name="Tabla desarrollo FX" sheetId="7" r:id="rId4"/>
    <sheet name="Tabla desarrollo" sheetId="14" r:id="rId5"/>
    <sheet name="Comuna" sheetId="15" r:id="rId6"/>
    <sheet name="Contrato" sheetId="11" state="hidden" r:id="rId7"/>
  </sheets>
  <definedNames>
    <definedName name="_xlnm._FilterDatabase" localSheetId="0" hidden="1">Base!$A$1:$AK$16</definedName>
    <definedName name="_xlnm._FilterDatabase" localSheetId="5" hidden="1">Comuna!$A$1:$A$1</definedName>
    <definedName name="_xlnm._FilterDatabase" localSheetId="4" hidden="1">'Tabla desarrollo'!$A$2:$KN$2</definedName>
    <definedName name="_xlnm._FilterDatabase" localSheetId="3" hidden="1">'Tabla desarrollo FX'!$A$2:$KM$2</definedName>
    <definedName name="_xlnm._FilterDatabase" localSheetId="1" hidden="1">'Valo FX'!$A$3:$BFW$18</definedName>
    <definedName name="_xlnm.Print_Area" localSheetId="1">'Valo FX'!$A$2:$V$3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" i="12" l="1"/>
  <c r="A18" i="7"/>
  <c r="A19" i="7"/>
  <c r="A20" i="7"/>
  <c r="A21" i="7"/>
  <c r="A22" i="7"/>
  <c r="A19" i="8"/>
  <c r="B19" i="8"/>
  <c r="C19" i="8"/>
  <c r="D19" i="8"/>
  <c r="E19" i="8"/>
  <c r="F19" i="8"/>
  <c r="G19" i="8"/>
  <c r="H19" i="8"/>
  <c r="I19" i="8"/>
  <c r="J19" i="8"/>
  <c r="L19" i="8"/>
  <c r="K19" i="8" s="1"/>
  <c r="N19" i="8"/>
  <c r="O19" i="8"/>
  <c r="Q19" i="8"/>
  <c r="R19" i="8"/>
  <c r="S19" i="8"/>
  <c r="U19" i="8"/>
  <c r="V19" i="8"/>
  <c r="W19" i="8"/>
  <c r="X19" i="8"/>
  <c r="Y19" i="8"/>
  <c r="AA19" i="8"/>
  <c r="AB19" i="8"/>
  <c r="AC19" i="8"/>
  <c r="AD19" i="8"/>
  <c r="AF19" i="8"/>
  <c r="AE19" i="8" s="1"/>
  <c r="A20" i="8"/>
  <c r="B20" i="8"/>
  <c r="C20" i="8"/>
  <c r="D20" i="8"/>
  <c r="E20" i="8"/>
  <c r="F20" i="8"/>
  <c r="G20" i="8"/>
  <c r="H20" i="8"/>
  <c r="I20" i="8"/>
  <c r="J20" i="8"/>
  <c r="L20" i="8"/>
  <c r="N20" i="8"/>
  <c r="O20" i="8"/>
  <c r="Q20" i="8"/>
  <c r="R20" i="8"/>
  <c r="S20" i="8"/>
  <c r="U20" i="8"/>
  <c r="Y20" i="8" s="1"/>
  <c r="V20" i="8"/>
  <c r="W20" i="8"/>
  <c r="X20" i="8"/>
  <c r="AA20" i="8"/>
  <c r="AB20" i="8"/>
  <c r="AC20" i="8"/>
  <c r="AD20" i="8"/>
  <c r="AF20" i="8"/>
  <c r="AE20" i="8" s="1"/>
  <c r="A21" i="8"/>
  <c r="B21" i="8"/>
  <c r="C21" i="8"/>
  <c r="D21" i="8"/>
  <c r="E21" i="8"/>
  <c r="F21" i="8"/>
  <c r="G21" i="8"/>
  <c r="H21" i="8"/>
  <c r="I21" i="8"/>
  <c r="J21" i="8"/>
  <c r="L21" i="8"/>
  <c r="K21" i="8" s="1"/>
  <c r="N21" i="8"/>
  <c r="O21" i="8"/>
  <c r="Q21" i="8"/>
  <c r="R21" i="8"/>
  <c r="S21" i="8"/>
  <c r="U21" i="8"/>
  <c r="Y21" i="8" s="1"/>
  <c r="V21" i="8"/>
  <c r="W21" i="8"/>
  <c r="X21" i="8"/>
  <c r="AA21" i="8"/>
  <c r="AB21" i="8"/>
  <c r="AC21" i="8"/>
  <c r="AD21" i="8"/>
  <c r="AF21" i="8"/>
  <c r="AE21" i="8" s="1"/>
  <c r="A22" i="8"/>
  <c r="B22" i="8"/>
  <c r="C22" i="8"/>
  <c r="D22" i="8"/>
  <c r="E22" i="8"/>
  <c r="F22" i="8"/>
  <c r="G22" i="8"/>
  <c r="H22" i="8"/>
  <c r="I22" i="8"/>
  <c r="J22" i="8"/>
  <c r="L22" i="8"/>
  <c r="K22" i="8" s="1"/>
  <c r="N22" i="8"/>
  <c r="O22" i="8"/>
  <c r="Q22" i="8"/>
  <c r="R22" i="8"/>
  <c r="S22" i="8"/>
  <c r="U22" i="8"/>
  <c r="V22" i="8"/>
  <c r="W22" i="8"/>
  <c r="X22" i="8"/>
  <c r="Y22" i="8"/>
  <c r="AA22" i="8"/>
  <c r="AB22" i="8"/>
  <c r="AC22" i="8"/>
  <c r="AD22" i="8"/>
  <c r="AF22" i="8"/>
  <c r="AE22" i="8" s="1"/>
  <c r="A23" i="8"/>
  <c r="B23" i="8"/>
  <c r="C23" i="8"/>
  <c r="D23" i="8"/>
  <c r="E23" i="8"/>
  <c r="F23" i="8"/>
  <c r="G23" i="8"/>
  <c r="H23" i="8"/>
  <c r="I23" i="8"/>
  <c r="J23" i="8"/>
  <c r="L23" i="8"/>
  <c r="K23" i="8" s="1"/>
  <c r="N23" i="8"/>
  <c r="O23" i="8"/>
  <c r="Q23" i="8"/>
  <c r="R23" i="8"/>
  <c r="S23" i="8"/>
  <c r="U23" i="8"/>
  <c r="V23" i="8"/>
  <c r="W23" i="8"/>
  <c r="X23" i="8"/>
  <c r="AA23" i="8"/>
  <c r="AB23" i="8"/>
  <c r="AC23" i="8"/>
  <c r="AD23" i="8"/>
  <c r="AF23" i="8"/>
  <c r="AE23" i="8" s="1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D2" i="10"/>
  <c r="E2" i="10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4" i="8"/>
  <c r="K20" i="8" l="1"/>
  <c r="Y23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4" i="8"/>
  <c r="S5" i="8" l="1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4" i="8"/>
  <c r="A5" i="8"/>
  <c r="B5" i="8"/>
  <c r="C5" i="8"/>
  <c r="D5" i="8"/>
  <c r="E5" i="8"/>
  <c r="I5" i="8"/>
  <c r="J5" i="8"/>
  <c r="L5" i="8"/>
  <c r="N5" i="8"/>
  <c r="O5" i="8"/>
  <c r="Q5" i="8"/>
  <c r="R5" i="8"/>
  <c r="U5" i="8"/>
  <c r="V5" i="8"/>
  <c r="X5" i="8"/>
  <c r="AA5" i="8"/>
  <c r="AB5" i="8"/>
  <c r="AC5" i="8"/>
  <c r="AD5" i="8"/>
  <c r="AF5" i="8"/>
  <c r="AE5" i="8" s="1"/>
  <c r="A6" i="8"/>
  <c r="B6" i="8"/>
  <c r="C6" i="8"/>
  <c r="D6" i="8"/>
  <c r="E6" i="8"/>
  <c r="I6" i="8"/>
  <c r="J6" i="8"/>
  <c r="L6" i="8"/>
  <c r="N6" i="8"/>
  <c r="O6" i="8"/>
  <c r="Q6" i="8"/>
  <c r="R6" i="8"/>
  <c r="U6" i="8"/>
  <c r="V6" i="8"/>
  <c r="X6" i="8"/>
  <c r="AA6" i="8"/>
  <c r="AB6" i="8"/>
  <c r="AC6" i="8"/>
  <c r="AD6" i="8"/>
  <c r="AF6" i="8"/>
  <c r="AE6" i="8" s="1"/>
  <c r="A7" i="8"/>
  <c r="B7" i="8"/>
  <c r="C7" i="8"/>
  <c r="D7" i="8"/>
  <c r="E7" i="8"/>
  <c r="I7" i="8"/>
  <c r="J7" i="8"/>
  <c r="L7" i="8"/>
  <c r="N7" i="8"/>
  <c r="O7" i="8"/>
  <c r="Q7" i="8"/>
  <c r="R7" i="8"/>
  <c r="U7" i="8"/>
  <c r="V7" i="8"/>
  <c r="X7" i="8"/>
  <c r="AA7" i="8"/>
  <c r="AB7" i="8"/>
  <c r="AC7" i="8"/>
  <c r="AD7" i="8"/>
  <c r="AF7" i="8"/>
  <c r="AE7" i="8" s="1"/>
  <c r="A8" i="8"/>
  <c r="B8" i="8"/>
  <c r="C8" i="8"/>
  <c r="D8" i="8"/>
  <c r="E8" i="8"/>
  <c r="I8" i="8"/>
  <c r="J8" i="8"/>
  <c r="L8" i="8"/>
  <c r="N8" i="8"/>
  <c r="O8" i="8"/>
  <c r="Q8" i="8"/>
  <c r="R8" i="8"/>
  <c r="U8" i="8"/>
  <c r="V8" i="8"/>
  <c r="X8" i="8"/>
  <c r="AA8" i="8"/>
  <c r="AB8" i="8"/>
  <c r="AC8" i="8"/>
  <c r="AD8" i="8"/>
  <c r="AF8" i="8"/>
  <c r="AE8" i="8" s="1"/>
  <c r="A9" i="8"/>
  <c r="B9" i="8"/>
  <c r="C9" i="8"/>
  <c r="D9" i="8"/>
  <c r="E9" i="8"/>
  <c r="I9" i="8"/>
  <c r="J9" i="8"/>
  <c r="L9" i="8"/>
  <c r="N9" i="8"/>
  <c r="O9" i="8"/>
  <c r="Q9" i="8"/>
  <c r="R9" i="8"/>
  <c r="U9" i="8"/>
  <c r="V9" i="8"/>
  <c r="X9" i="8"/>
  <c r="AA9" i="8"/>
  <c r="AB9" i="8"/>
  <c r="AC9" i="8"/>
  <c r="AD9" i="8"/>
  <c r="AF9" i="8"/>
  <c r="AE9" i="8" s="1"/>
  <c r="A10" i="8"/>
  <c r="B10" i="8"/>
  <c r="C10" i="8"/>
  <c r="D10" i="8"/>
  <c r="E10" i="8"/>
  <c r="I10" i="8"/>
  <c r="J10" i="8"/>
  <c r="L10" i="8"/>
  <c r="N10" i="8"/>
  <c r="O10" i="8"/>
  <c r="Q10" i="8"/>
  <c r="R10" i="8"/>
  <c r="U10" i="8"/>
  <c r="V10" i="8"/>
  <c r="X10" i="8"/>
  <c r="AA10" i="8"/>
  <c r="AB10" i="8"/>
  <c r="AC10" i="8"/>
  <c r="AD10" i="8"/>
  <c r="AF10" i="8"/>
  <c r="AE10" i="8" s="1"/>
  <c r="A11" i="8"/>
  <c r="B11" i="8"/>
  <c r="C11" i="8"/>
  <c r="D11" i="8"/>
  <c r="E11" i="8"/>
  <c r="I11" i="8"/>
  <c r="J11" i="8"/>
  <c r="L11" i="8"/>
  <c r="N11" i="8"/>
  <c r="O11" i="8"/>
  <c r="Q11" i="8"/>
  <c r="R11" i="8"/>
  <c r="U11" i="8"/>
  <c r="V11" i="8"/>
  <c r="X11" i="8"/>
  <c r="AA11" i="8"/>
  <c r="AB11" i="8"/>
  <c r="AC11" i="8"/>
  <c r="AD11" i="8"/>
  <c r="AF11" i="8"/>
  <c r="AE11" i="8" s="1"/>
  <c r="A12" i="8"/>
  <c r="B12" i="8"/>
  <c r="C12" i="8"/>
  <c r="D12" i="8"/>
  <c r="E12" i="8"/>
  <c r="I12" i="8"/>
  <c r="J12" i="8"/>
  <c r="L12" i="8"/>
  <c r="N12" i="8"/>
  <c r="O12" i="8"/>
  <c r="Q12" i="8"/>
  <c r="R12" i="8"/>
  <c r="U12" i="8"/>
  <c r="V12" i="8"/>
  <c r="X12" i="8"/>
  <c r="AA12" i="8"/>
  <c r="AB12" i="8"/>
  <c r="AC12" i="8"/>
  <c r="AD12" i="8"/>
  <c r="AF12" i="8"/>
  <c r="AE12" i="8" s="1"/>
  <c r="A13" i="8"/>
  <c r="B13" i="8"/>
  <c r="C13" i="8"/>
  <c r="D13" i="8"/>
  <c r="E13" i="8"/>
  <c r="I13" i="8"/>
  <c r="J13" i="8"/>
  <c r="L13" i="8"/>
  <c r="N13" i="8"/>
  <c r="O13" i="8"/>
  <c r="Q13" i="8"/>
  <c r="R13" i="8"/>
  <c r="U13" i="8"/>
  <c r="V13" i="8"/>
  <c r="X13" i="8"/>
  <c r="AA13" i="8"/>
  <c r="AB13" i="8"/>
  <c r="AC13" i="8"/>
  <c r="AD13" i="8"/>
  <c r="AF13" i="8"/>
  <c r="AE13" i="8" s="1"/>
  <c r="A14" i="8"/>
  <c r="B14" i="8"/>
  <c r="C14" i="8"/>
  <c r="D14" i="8"/>
  <c r="E14" i="8"/>
  <c r="I14" i="8"/>
  <c r="J14" i="8"/>
  <c r="L14" i="8"/>
  <c r="N14" i="8"/>
  <c r="O14" i="8"/>
  <c r="Q14" i="8"/>
  <c r="R14" i="8"/>
  <c r="U14" i="8"/>
  <c r="V14" i="8"/>
  <c r="X14" i="8"/>
  <c r="AA14" i="8"/>
  <c r="AB14" i="8"/>
  <c r="AC14" i="8"/>
  <c r="AD14" i="8"/>
  <c r="AF14" i="8"/>
  <c r="AE14" i="8" s="1"/>
  <c r="A15" i="8"/>
  <c r="B15" i="8"/>
  <c r="C15" i="8"/>
  <c r="D15" i="8"/>
  <c r="E15" i="8"/>
  <c r="I15" i="8"/>
  <c r="J15" i="8"/>
  <c r="L15" i="8"/>
  <c r="N15" i="8"/>
  <c r="O15" i="8"/>
  <c r="Q15" i="8"/>
  <c r="R15" i="8"/>
  <c r="U15" i="8"/>
  <c r="V15" i="8"/>
  <c r="X15" i="8"/>
  <c r="AA15" i="8"/>
  <c r="AB15" i="8"/>
  <c r="AC15" i="8"/>
  <c r="AD15" i="8"/>
  <c r="AF15" i="8"/>
  <c r="AE15" i="8" s="1"/>
  <c r="A16" i="8"/>
  <c r="B16" i="8"/>
  <c r="C16" i="8"/>
  <c r="D16" i="8"/>
  <c r="E16" i="8"/>
  <c r="I16" i="8"/>
  <c r="J16" i="8"/>
  <c r="L16" i="8"/>
  <c r="N16" i="8"/>
  <c r="O16" i="8"/>
  <c r="Q16" i="8"/>
  <c r="R16" i="8"/>
  <c r="U16" i="8"/>
  <c r="V16" i="8"/>
  <c r="X16" i="8"/>
  <c r="AA16" i="8"/>
  <c r="AB16" i="8"/>
  <c r="AC16" i="8"/>
  <c r="AD16" i="8"/>
  <c r="AF16" i="8"/>
  <c r="AE16" i="8" s="1"/>
  <c r="A17" i="8"/>
  <c r="B17" i="8"/>
  <c r="C17" i="8"/>
  <c r="D17" i="8"/>
  <c r="E17" i="8"/>
  <c r="I17" i="8"/>
  <c r="J17" i="8"/>
  <c r="L17" i="8"/>
  <c r="N17" i="8"/>
  <c r="O17" i="8"/>
  <c r="Q17" i="8"/>
  <c r="R17" i="8"/>
  <c r="U17" i="8"/>
  <c r="V17" i="8"/>
  <c r="X17" i="8"/>
  <c r="AA17" i="8"/>
  <c r="AB17" i="8"/>
  <c r="AC17" i="8"/>
  <c r="AD17" i="8"/>
  <c r="AF17" i="8"/>
  <c r="AE17" i="8" s="1"/>
  <c r="A18" i="8"/>
  <c r="B18" i="8"/>
  <c r="C18" i="8"/>
  <c r="D18" i="8"/>
  <c r="E18" i="8"/>
  <c r="I18" i="8"/>
  <c r="J18" i="8"/>
  <c r="L18" i="8"/>
  <c r="N18" i="8"/>
  <c r="O18" i="8"/>
  <c r="Q18" i="8"/>
  <c r="R18" i="8"/>
  <c r="U18" i="8"/>
  <c r="V18" i="8"/>
  <c r="X18" i="8"/>
  <c r="AA18" i="8"/>
  <c r="AB18" i="8"/>
  <c r="AC18" i="8"/>
  <c r="AD18" i="8"/>
  <c r="AF18" i="8"/>
  <c r="AE18" i="8" s="1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5" i="8"/>
  <c r="G5" i="8"/>
  <c r="F6" i="8"/>
  <c r="G6" i="8"/>
  <c r="F7" i="8"/>
  <c r="G7" i="8"/>
  <c r="F8" i="8"/>
  <c r="G8" i="8"/>
  <c r="F9" i="8"/>
  <c r="G9" i="8"/>
  <c r="F10" i="8"/>
  <c r="G10" i="8"/>
  <c r="Y14" i="8" l="1"/>
  <c r="K7" i="8"/>
  <c r="Y5" i="8"/>
  <c r="K6" i="8"/>
  <c r="Y11" i="8"/>
  <c r="Y10" i="8"/>
  <c r="K15" i="8"/>
  <c r="Y13" i="8"/>
  <c r="K8" i="8"/>
  <c r="K16" i="8"/>
  <c r="K5" i="8"/>
  <c r="K13" i="8"/>
  <c r="Y8" i="8"/>
  <c r="K18" i="8"/>
  <c r="K14" i="8"/>
  <c r="Y16" i="8"/>
  <c r="K17" i="8"/>
  <c r="K9" i="8"/>
  <c r="Y17" i="8"/>
  <c r="Y7" i="8"/>
  <c r="Y18" i="8"/>
  <c r="Y9" i="8"/>
  <c r="Y12" i="8"/>
  <c r="K10" i="8"/>
  <c r="Y15" i="8"/>
  <c r="K11" i="8"/>
  <c r="Y6" i="8"/>
  <c r="K12" i="8"/>
  <c r="C1" i="7" l="1"/>
  <c r="AF4" i="8"/>
  <c r="AE4" i="8" s="1"/>
  <c r="AD4" i="8"/>
  <c r="AC4" i="8"/>
  <c r="AB4" i="8"/>
  <c r="AA4" i="8"/>
  <c r="X4" i="8"/>
  <c r="V4" i="8"/>
  <c r="U4" i="8"/>
  <c r="R4" i="8"/>
  <c r="Q4" i="8"/>
  <c r="O4" i="8"/>
  <c r="N4" i="8"/>
  <c r="L4" i="8"/>
  <c r="J4" i="8"/>
  <c r="I4" i="8"/>
  <c r="D4" i="8"/>
  <c r="E4" i="8"/>
  <c r="C4" i="8"/>
  <c r="B4" i="8"/>
  <c r="A4" i="8"/>
  <c r="C18" i="7" l="1"/>
  <c r="C21" i="7"/>
  <c r="C20" i="7"/>
  <c r="C19" i="7"/>
  <c r="C22" i="7"/>
  <c r="Y4" i="8"/>
  <c r="F4" i="8"/>
  <c r="G4" i="8"/>
  <c r="B1" i="7" l="1"/>
  <c r="K4" i="8" l="1"/>
  <c r="A3" i="7"/>
  <c r="C3" i="7" s="1"/>
  <c r="A4" i="7"/>
  <c r="C4" i="7" s="1"/>
  <c r="A5" i="7"/>
  <c r="C5" i="7" s="1"/>
  <c r="A6" i="7"/>
  <c r="C6" i="7" s="1"/>
  <c r="A7" i="7"/>
  <c r="C7" i="7" s="1"/>
  <c r="A8" i="7"/>
  <c r="C8" i="7" s="1"/>
  <c r="A9" i="7"/>
  <c r="C9" i="7" s="1"/>
  <c r="A10" i="7"/>
  <c r="C10" i="7" s="1"/>
  <c r="A11" i="7"/>
  <c r="C11" i="7" s="1"/>
  <c r="A12" i="7"/>
  <c r="C12" i="7" s="1"/>
  <c r="A13" i="7"/>
  <c r="C13" i="7" s="1"/>
  <c r="A14" i="7"/>
  <c r="C14" i="7" s="1"/>
  <c r="A15" i="7"/>
  <c r="C15" i="7" s="1"/>
  <c r="A16" i="7"/>
  <c r="C16" i="7" s="1"/>
  <c r="A17" i="7"/>
  <c r="C17" i="7" s="1"/>
  <c r="D1" i="7"/>
  <c r="D21" i="7" l="1"/>
  <c r="D18" i="7"/>
  <c r="D22" i="7"/>
  <c r="D19" i="7"/>
  <c r="D20" i="7"/>
  <c r="D4" i="7"/>
  <c r="D5" i="7"/>
  <c r="D6" i="7"/>
  <c r="D7" i="7"/>
  <c r="D9" i="7"/>
  <c r="D10" i="7"/>
  <c r="D12" i="7"/>
  <c r="D8" i="7"/>
  <c r="D11" i="7"/>
  <c r="D17" i="7"/>
  <c r="D13" i="7"/>
  <c r="D15" i="7"/>
  <c r="D16" i="7"/>
  <c r="D14" i="7"/>
  <c r="E1" i="7"/>
  <c r="D3" i="7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2" i="11"/>
  <c r="E3" i="11"/>
  <c r="H3" i="11" s="1"/>
  <c r="E4" i="11"/>
  <c r="H4" i="11" s="1"/>
  <c r="E5" i="11"/>
  <c r="H5" i="11" s="1"/>
  <c r="E6" i="11"/>
  <c r="H6" i="11" s="1"/>
  <c r="E7" i="11"/>
  <c r="H7" i="11" s="1"/>
  <c r="E8" i="11"/>
  <c r="H8" i="11" s="1"/>
  <c r="E9" i="11"/>
  <c r="H9" i="11" s="1"/>
  <c r="E10" i="11"/>
  <c r="H10" i="11" s="1"/>
  <c r="E11" i="11"/>
  <c r="H11" i="11" s="1"/>
  <c r="E12" i="11"/>
  <c r="H12" i="11" s="1"/>
  <c r="E13" i="11"/>
  <c r="H13" i="11" s="1"/>
  <c r="E14" i="11"/>
  <c r="G14" i="11" s="1"/>
  <c r="E15" i="11"/>
  <c r="H15" i="11" s="1"/>
  <c r="E16" i="11"/>
  <c r="H16" i="11" s="1"/>
  <c r="E17" i="11"/>
  <c r="H17" i="11" s="1"/>
  <c r="E18" i="11"/>
  <c r="H18" i="11" s="1"/>
  <c r="E19" i="11"/>
  <c r="H19" i="11" s="1"/>
  <c r="E20" i="11"/>
  <c r="H20" i="11" s="1"/>
  <c r="E21" i="11"/>
  <c r="H21" i="11" s="1"/>
  <c r="E22" i="11"/>
  <c r="G22" i="11" s="1"/>
  <c r="E23" i="11"/>
  <c r="H23" i="11" s="1"/>
  <c r="E24" i="11"/>
  <c r="H24" i="11" s="1"/>
  <c r="E25" i="11"/>
  <c r="H25" i="11" s="1"/>
  <c r="E26" i="11"/>
  <c r="G26" i="11" s="1"/>
  <c r="E27" i="11"/>
  <c r="H27" i="11" s="1"/>
  <c r="E28" i="11"/>
  <c r="H28" i="11" s="1"/>
  <c r="E29" i="11"/>
  <c r="H29" i="11" s="1"/>
  <c r="E30" i="11"/>
  <c r="H30" i="11" s="1"/>
  <c r="E31" i="11"/>
  <c r="H31" i="11" s="1"/>
  <c r="E32" i="11"/>
  <c r="H32" i="11" s="1"/>
  <c r="E33" i="11"/>
  <c r="H33" i="11" s="1"/>
  <c r="E34" i="11"/>
  <c r="G34" i="11" s="1"/>
  <c r="E35" i="11"/>
  <c r="H35" i="11" s="1"/>
  <c r="E36" i="11"/>
  <c r="H36" i="11" s="1"/>
  <c r="E37" i="11"/>
  <c r="H37" i="11" s="1"/>
  <c r="E38" i="11"/>
  <c r="H38" i="11" s="1"/>
  <c r="E39" i="11"/>
  <c r="H39" i="11" s="1"/>
  <c r="E40" i="11"/>
  <c r="H40" i="11" s="1"/>
  <c r="E41" i="11"/>
  <c r="H41" i="11" s="1"/>
  <c r="E42" i="11"/>
  <c r="H42" i="11" s="1"/>
  <c r="E43" i="11"/>
  <c r="H43" i="11" s="1"/>
  <c r="E44" i="11"/>
  <c r="H44" i="11" s="1"/>
  <c r="E45" i="11"/>
  <c r="H45" i="11" s="1"/>
  <c r="E46" i="11"/>
  <c r="G46" i="11" s="1"/>
  <c r="E47" i="11"/>
  <c r="H47" i="11" s="1"/>
  <c r="E48" i="11"/>
  <c r="H48" i="11" s="1"/>
  <c r="E49" i="11"/>
  <c r="H49" i="11" s="1"/>
  <c r="E2" i="11"/>
  <c r="F2" i="11" s="1"/>
  <c r="F3" i="11"/>
  <c r="E19" i="7" l="1"/>
  <c r="E18" i="7"/>
  <c r="E22" i="7"/>
  <c r="E20" i="7"/>
  <c r="E21" i="7"/>
  <c r="F4" i="11"/>
  <c r="E4" i="7"/>
  <c r="E6" i="7"/>
  <c r="E5" i="7"/>
  <c r="E8" i="7"/>
  <c r="E7" i="7"/>
  <c r="E9" i="7"/>
  <c r="E12" i="7"/>
  <c r="E11" i="7"/>
  <c r="E16" i="7"/>
  <c r="E14" i="7"/>
  <c r="E13" i="7"/>
  <c r="E10" i="7"/>
  <c r="E17" i="7"/>
  <c r="E15" i="7"/>
  <c r="F1" i="7"/>
  <c r="E3" i="7"/>
  <c r="F26" i="11"/>
  <c r="F40" i="11"/>
  <c r="F32" i="11"/>
  <c r="F28" i="11"/>
  <c r="F24" i="11"/>
  <c r="F16" i="11"/>
  <c r="F33" i="11"/>
  <c r="F25" i="11"/>
  <c r="F41" i="11"/>
  <c r="F39" i="11"/>
  <c r="F36" i="11"/>
  <c r="F34" i="11"/>
  <c r="F23" i="11"/>
  <c r="F15" i="11"/>
  <c r="F31" i="11"/>
  <c r="F7" i="11"/>
  <c r="F29" i="11"/>
  <c r="F35" i="11"/>
  <c r="F27" i="11"/>
  <c r="F37" i="11"/>
  <c r="F14" i="11"/>
  <c r="F6" i="11"/>
  <c r="F21" i="11"/>
  <c r="F13" i="11"/>
  <c r="F38" i="11"/>
  <c r="F30" i="11"/>
  <c r="F22" i="11"/>
  <c r="F12" i="11"/>
  <c r="F11" i="11"/>
  <c r="F10" i="11"/>
  <c r="F9" i="11"/>
  <c r="F8" i="11"/>
  <c r="F5" i="11"/>
  <c r="F19" i="11"/>
  <c r="F18" i="11"/>
  <c r="F20" i="11"/>
  <c r="F17" i="11"/>
  <c r="F45" i="11"/>
  <c r="F43" i="11"/>
  <c r="F49" i="11"/>
  <c r="F48" i="11"/>
  <c r="F47" i="11"/>
  <c r="F44" i="11"/>
  <c r="F46" i="11"/>
  <c r="F42" i="11"/>
  <c r="G42" i="11"/>
  <c r="G30" i="11"/>
  <c r="G18" i="11"/>
  <c r="G10" i="11"/>
  <c r="H46" i="11"/>
  <c r="H34" i="11"/>
  <c r="H22" i="11"/>
  <c r="G49" i="11"/>
  <c r="G45" i="11"/>
  <c r="G41" i="11"/>
  <c r="G37" i="11"/>
  <c r="G33" i="11"/>
  <c r="G29" i="11"/>
  <c r="G25" i="11"/>
  <c r="G21" i="11"/>
  <c r="G17" i="11"/>
  <c r="G13" i="11"/>
  <c r="G9" i="11"/>
  <c r="G5" i="11"/>
  <c r="G2" i="11"/>
  <c r="G38" i="11"/>
  <c r="H2" i="11"/>
  <c r="H26" i="11"/>
  <c r="H14" i="11"/>
  <c r="G48" i="11"/>
  <c r="G44" i="11"/>
  <c r="G40" i="11"/>
  <c r="G36" i="11"/>
  <c r="G32" i="11"/>
  <c r="G28" i="11"/>
  <c r="G24" i="11"/>
  <c r="G20" i="11"/>
  <c r="G16" i="11"/>
  <c r="G12" i="11"/>
  <c r="G8" i="11"/>
  <c r="G4" i="11"/>
  <c r="G6" i="11"/>
  <c r="G47" i="11"/>
  <c r="G43" i="11"/>
  <c r="G39" i="11"/>
  <c r="G35" i="11"/>
  <c r="G31" i="11"/>
  <c r="G27" i="11"/>
  <c r="G23" i="11"/>
  <c r="G19" i="11"/>
  <c r="G15" i="11"/>
  <c r="G11" i="11"/>
  <c r="G7" i="11"/>
  <c r="G3" i="11"/>
  <c r="F18" i="7" l="1"/>
  <c r="F19" i="7"/>
  <c r="F22" i="7"/>
  <c r="F21" i="7"/>
  <c r="F20" i="7"/>
  <c r="F4" i="7"/>
  <c r="F5" i="7"/>
  <c r="F7" i="7"/>
  <c r="F9" i="7"/>
  <c r="F12" i="7"/>
  <c r="F8" i="7"/>
  <c r="F6" i="7"/>
  <c r="F10" i="7"/>
  <c r="F11" i="7"/>
  <c r="F14" i="7"/>
  <c r="F15" i="7"/>
  <c r="F13" i="7"/>
  <c r="F16" i="7"/>
  <c r="F17" i="7"/>
  <c r="G1" i="7"/>
  <c r="F3" i="7"/>
  <c r="G21" i="7" l="1"/>
  <c r="G22" i="7"/>
  <c r="G20" i="7"/>
  <c r="G18" i="7"/>
  <c r="G19" i="7"/>
  <c r="G4" i="7"/>
  <c r="G6" i="7"/>
  <c r="G7" i="7"/>
  <c r="G5" i="7"/>
  <c r="G13" i="7"/>
  <c r="G16" i="7"/>
  <c r="G10" i="7"/>
  <c r="G9" i="7"/>
  <c r="G8" i="7"/>
  <c r="G11" i="7"/>
  <c r="G14" i="7"/>
  <c r="G12" i="7"/>
  <c r="G15" i="7"/>
  <c r="G17" i="7"/>
  <c r="H1" i="7"/>
  <c r="G3" i="7"/>
  <c r="H21" i="7" l="1"/>
  <c r="H19" i="7"/>
  <c r="H18" i="7"/>
  <c r="H22" i="7"/>
  <c r="H20" i="7"/>
  <c r="H5" i="7"/>
  <c r="H6" i="7"/>
  <c r="H4" i="7"/>
  <c r="H8" i="7"/>
  <c r="H7" i="7"/>
  <c r="H15" i="7"/>
  <c r="H10" i="7"/>
  <c r="H9" i="7"/>
  <c r="H11" i="7"/>
  <c r="H12" i="7"/>
  <c r="H13" i="7"/>
  <c r="H16" i="7"/>
  <c r="H14" i="7"/>
  <c r="H17" i="7"/>
  <c r="I1" i="7"/>
  <c r="H3" i="7"/>
  <c r="D2" i="7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AG2" i="7" s="1"/>
  <c r="AH2" i="7" s="1"/>
  <c r="AI2" i="7" s="1"/>
  <c r="AJ2" i="7" s="1"/>
  <c r="AK2" i="7" s="1"/>
  <c r="AL2" i="7" s="1"/>
  <c r="AM2" i="7" s="1"/>
  <c r="AN2" i="7" s="1"/>
  <c r="AO2" i="7" s="1"/>
  <c r="AP2" i="7" s="1"/>
  <c r="AQ2" i="7" s="1"/>
  <c r="AR2" i="7" s="1"/>
  <c r="AS2" i="7" s="1"/>
  <c r="AT2" i="7" s="1"/>
  <c r="AU2" i="7" s="1"/>
  <c r="AV2" i="7" s="1"/>
  <c r="AW2" i="7" s="1"/>
  <c r="AX2" i="7" s="1"/>
  <c r="AY2" i="7" s="1"/>
  <c r="AZ2" i="7" s="1"/>
  <c r="BA2" i="7" s="1"/>
  <c r="BB2" i="7" s="1"/>
  <c r="BC2" i="7" s="1"/>
  <c r="BD2" i="7" s="1"/>
  <c r="BE2" i="7" s="1"/>
  <c r="BF2" i="7" s="1"/>
  <c r="BG2" i="7" s="1"/>
  <c r="BH2" i="7" s="1"/>
  <c r="BI2" i="7" s="1"/>
  <c r="BJ2" i="7" s="1"/>
  <c r="BK2" i="7" s="1"/>
  <c r="BL2" i="7" s="1"/>
  <c r="BM2" i="7" s="1"/>
  <c r="BN2" i="7" s="1"/>
  <c r="BO2" i="7" s="1"/>
  <c r="BP2" i="7" s="1"/>
  <c r="BQ2" i="7" s="1"/>
  <c r="BR2" i="7" s="1"/>
  <c r="BS2" i="7" s="1"/>
  <c r="BT2" i="7" s="1"/>
  <c r="BU2" i="7" s="1"/>
  <c r="BV2" i="7" s="1"/>
  <c r="BW2" i="7" s="1"/>
  <c r="BX2" i="7" s="1"/>
  <c r="BY2" i="7" s="1"/>
  <c r="BZ2" i="7" s="1"/>
  <c r="CA2" i="7" s="1"/>
  <c r="CB2" i="7" s="1"/>
  <c r="CC2" i="7" s="1"/>
  <c r="CD2" i="7" s="1"/>
  <c r="CE2" i="7" s="1"/>
  <c r="CF2" i="7" s="1"/>
  <c r="CG2" i="7" s="1"/>
  <c r="CH2" i="7" s="1"/>
  <c r="CI2" i="7" s="1"/>
  <c r="CJ2" i="7" s="1"/>
  <c r="CK2" i="7" s="1"/>
  <c r="CL2" i="7" s="1"/>
  <c r="CM2" i="7" s="1"/>
  <c r="CN2" i="7" s="1"/>
  <c r="CO2" i="7" s="1"/>
  <c r="CP2" i="7" s="1"/>
  <c r="CQ2" i="7" s="1"/>
  <c r="CR2" i="7" s="1"/>
  <c r="CS2" i="7" s="1"/>
  <c r="CT2" i="7" s="1"/>
  <c r="CU2" i="7" s="1"/>
  <c r="CV2" i="7" s="1"/>
  <c r="CW2" i="7" s="1"/>
  <c r="CX2" i="7" s="1"/>
  <c r="CY2" i="7" s="1"/>
  <c r="CZ2" i="7" s="1"/>
  <c r="DA2" i="7" s="1"/>
  <c r="DB2" i="7" s="1"/>
  <c r="DC2" i="7" s="1"/>
  <c r="DD2" i="7" s="1"/>
  <c r="DE2" i="7" s="1"/>
  <c r="DF2" i="7" s="1"/>
  <c r="DG2" i="7" s="1"/>
  <c r="DH2" i="7" s="1"/>
  <c r="DI2" i="7" s="1"/>
  <c r="DJ2" i="7" s="1"/>
  <c r="DK2" i="7" s="1"/>
  <c r="DL2" i="7" s="1"/>
  <c r="DM2" i="7" s="1"/>
  <c r="DN2" i="7" s="1"/>
  <c r="DO2" i="7" s="1"/>
  <c r="DP2" i="7" s="1"/>
  <c r="DQ2" i="7" s="1"/>
  <c r="DR2" i="7" s="1"/>
  <c r="DS2" i="7" s="1"/>
  <c r="DT2" i="7" s="1"/>
  <c r="DU2" i="7" s="1"/>
  <c r="DV2" i="7" s="1"/>
  <c r="DW2" i="7" s="1"/>
  <c r="DX2" i="7" s="1"/>
  <c r="DY2" i="7" s="1"/>
  <c r="DZ2" i="7" s="1"/>
  <c r="EA2" i="7" s="1"/>
  <c r="EB2" i="7" s="1"/>
  <c r="EC2" i="7" s="1"/>
  <c r="ED2" i="7" s="1"/>
  <c r="EE2" i="7" s="1"/>
  <c r="EF2" i="7" s="1"/>
  <c r="EG2" i="7" s="1"/>
  <c r="EH2" i="7" s="1"/>
  <c r="EI2" i="7" s="1"/>
  <c r="EJ2" i="7" s="1"/>
  <c r="EK2" i="7" s="1"/>
  <c r="EL2" i="7" s="1"/>
  <c r="EM2" i="7" s="1"/>
  <c r="EN2" i="7" s="1"/>
  <c r="EO2" i="7" s="1"/>
  <c r="EP2" i="7" s="1"/>
  <c r="EQ2" i="7" s="1"/>
  <c r="ER2" i="7" s="1"/>
  <c r="ES2" i="7" s="1"/>
  <c r="ET2" i="7" s="1"/>
  <c r="EU2" i="7" s="1"/>
  <c r="EV2" i="7" s="1"/>
  <c r="EW2" i="7" s="1"/>
  <c r="EX2" i="7" s="1"/>
  <c r="EY2" i="7" s="1"/>
  <c r="EZ2" i="7" s="1"/>
  <c r="FA2" i="7" s="1"/>
  <c r="FB2" i="7" s="1"/>
  <c r="FC2" i="7" s="1"/>
  <c r="FD2" i="7" s="1"/>
  <c r="FE2" i="7" s="1"/>
  <c r="FF2" i="7" s="1"/>
  <c r="FG2" i="7" s="1"/>
  <c r="FH2" i="7" s="1"/>
  <c r="FI2" i="7" s="1"/>
  <c r="FJ2" i="7" s="1"/>
  <c r="FK2" i="7" s="1"/>
  <c r="FL2" i="7" s="1"/>
  <c r="FM2" i="7" s="1"/>
  <c r="FN2" i="7" s="1"/>
  <c r="FO2" i="7" s="1"/>
  <c r="FP2" i="7" s="1"/>
  <c r="FQ2" i="7" s="1"/>
  <c r="FR2" i="7" s="1"/>
  <c r="FS2" i="7" s="1"/>
  <c r="FT2" i="7" s="1"/>
  <c r="FU2" i="7" s="1"/>
  <c r="FV2" i="7" s="1"/>
  <c r="FW2" i="7" s="1"/>
  <c r="FX2" i="7" s="1"/>
  <c r="FY2" i="7" s="1"/>
  <c r="FZ2" i="7" s="1"/>
  <c r="GA2" i="7" s="1"/>
  <c r="GB2" i="7" s="1"/>
  <c r="GC2" i="7" s="1"/>
  <c r="GD2" i="7" s="1"/>
  <c r="GE2" i="7" s="1"/>
  <c r="GF2" i="7" s="1"/>
  <c r="GG2" i="7" s="1"/>
  <c r="GH2" i="7" s="1"/>
  <c r="GI2" i="7" s="1"/>
  <c r="GJ2" i="7" s="1"/>
  <c r="GK2" i="7" s="1"/>
  <c r="GL2" i="7" s="1"/>
  <c r="GM2" i="7" s="1"/>
  <c r="GN2" i="7" s="1"/>
  <c r="GO2" i="7" s="1"/>
  <c r="GP2" i="7" s="1"/>
  <c r="GQ2" i="7" s="1"/>
  <c r="GR2" i="7" s="1"/>
  <c r="GS2" i="7" s="1"/>
  <c r="GT2" i="7" s="1"/>
  <c r="GU2" i="7" s="1"/>
  <c r="GV2" i="7" s="1"/>
  <c r="GW2" i="7" s="1"/>
  <c r="GX2" i="7" s="1"/>
  <c r="GY2" i="7" s="1"/>
  <c r="GZ2" i="7" s="1"/>
  <c r="HA2" i="7" s="1"/>
  <c r="HB2" i="7" s="1"/>
  <c r="HC2" i="7" s="1"/>
  <c r="HD2" i="7" s="1"/>
  <c r="HE2" i="7" s="1"/>
  <c r="HF2" i="7" s="1"/>
  <c r="HG2" i="7" s="1"/>
  <c r="HH2" i="7" s="1"/>
  <c r="HI2" i="7" s="1"/>
  <c r="HJ2" i="7" s="1"/>
  <c r="HK2" i="7" s="1"/>
  <c r="HL2" i="7" s="1"/>
  <c r="HM2" i="7" s="1"/>
  <c r="HN2" i="7" s="1"/>
  <c r="HO2" i="7" s="1"/>
  <c r="HP2" i="7" s="1"/>
  <c r="HQ2" i="7" s="1"/>
  <c r="HR2" i="7" s="1"/>
  <c r="HS2" i="7" s="1"/>
  <c r="HT2" i="7" s="1"/>
  <c r="HU2" i="7" s="1"/>
  <c r="HV2" i="7" s="1"/>
  <c r="HW2" i="7" s="1"/>
  <c r="HX2" i="7" s="1"/>
  <c r="HY2" i="7" s="1"/>
  <c r="HZ2" i="7" s="1"/>
  <c r="IA2" i="7" s="1"/>
  <c r="IB2" i="7" s="1"/>
  <c r="IC2" i="7" s="1"/>
  <c r="ID2" i="7" s="1"/>
  <c r="IE2" i="7" s="1"/>
  <c r="IF2" i="7" s="1"/>
  <c r="IG2" i="7" s="1"/>
  <c r="IH2" i="7" s="1"/>
  <c r="II2" i="7" s="1"/>
  <c r="IJ2" i="7" s="1"/>
  <c r="IK2" i="7" s="1"/>
  <c r="IL2" i="7" s="1"/>
  <c r="IM2" i="7" s="1"/>
  <c r="IN2" i="7" s="1"/>
  <c r="IO2" i="7" s="1"/>
  <c r="IP2" i="7" s="1"/>
  <c r="IQ2" i="7" s="1"/>
  <c r="IR2" i="7" s="1"/>
  <c r="IS2" i="7" s="1"/>
  <c r="IT2" i="7" s="1"/>
  <c r="IU2" i="7" s="1"/>
  <c r="IV2" i="7" s="1"/>
  <c r="IW2" i="7" s="1"/>
  <c r="IX2" i="7" s="1"/>
  <c r="IY2" i="7" s="1"/>
  <c r="IZ2" i="7" s="1"/>
  <c r="JA2" i="7" s="1"/>
  <c r="JB2" i="7" s="1"/>
  <c r="JC2" i="7" s="1"/>
  <c r="JD2" i="7" s="1"/>
  <c r="JE2" i="7" s="1"/>
  <c r="JF2" i="7" s="1"/>
  <c r="JG2" i="7" s="1"/>
  <c r="JH2" i="7" s="1"/>
  <c r="JI2" i="7" s="1"/>
  <c r="JJ2" i="7" s="1"/>
  <c r="JK2" i="7" s="1"/>
  <c r="JL2" i="7" s="1"/>
  <c r="JM2" i="7" s="1"/>
  <c r="JN2" i="7" s="1"/>
  <c r="JO2" i="7" s="1"/>
  <c r="JP2" i="7" s="1"/>
  <c r="JQ2" i="7" s="1"/>
  <c r="JR2" i="7" s="1"/>
  <c r="JS2" i="7" s="1"/>
  <c r="JT2" i="7" s="1"/>
  <c r="JU2" i="7" s="1"/>
  <c r="JV2" i="7" s="1"/>
  <c r="JW2" i="7" s="1"/>
  <c r="JX2" i="7" s="1"/>
  <c r="JY2" i="7" s="1"/>
  <c r="JZ2" i="7" s="1"/>
  <c r="KA2" i="7" s="1"/>
  <c r="KB2" i="7" s="1"/>
  <c r="KC2" i="7" s="1"/>
  <c r="KD2" i="7" s="1"/>
  <c r="KE2" i="7" s="1"/>
  <c r="KF2" i="7" s="1"/>
  <c r="KG2" i="7" s="1"/>
  <c r="KH2" i="7" s="1"/>
  <c r="KI2" i="7" s="1"/>
  <c r="KJ2" i="7" s="1"/>
  <c r="KK2" i="7" s="1"/>
  <c r="KL2" i="7" s="1"/>
  <c r="KM2" i="7" s="1"/>
  <c r="KN2" i="7" s="1"/>
  <c r="KO2" i="7" s="1"/>
  <c r="KP2" i="7" s="1"/>
  <c r="KQ2" i="7" s="1"/>
  <c r="KR2" i="7" s="1"/>
  <c r="KS2" i="7" s="1"/>
  <c r="KT2" i="7" s="1"/>
  <c r="KU2" i="7" s="1"/>
  <c r="KV2" i="7" s="1"/>
  <c r="KW2" i="7" s="1"/>
  <c r="KX2" i="7" s="1"/>
  <c r="KY2" i="7" s="1"/>
  <c r="KZ2" i="7" s="1"/>
  <c r="LA2" i="7" s="1"/>
  <c r="LB2" i="7" s="1"/>
  <c r="LC2" i="7" s="1"/>
  <c r="LD2" i="7" s="1"/>
  <c r="LE2" i="7" s="1"/>
  <c r="LF2" i="7" s="1"/>
  <c r="LG2" i="7" s="1"/>
  <c r="LH2" i="7" s="1"/>
  <c r="LI2" i="7" s="1"/>
  <c r="LJ2" i="7" s="1"/>
  <c r="LK2" i="7" s="1"/>
  <c r="LL2" i="7" s="1"/>
  <c r="LM2" i="7" s="1"/>
  <c r="LN2" i="7" s="1"/>
  <c r="LO2" i="7" s="1"/>
  <c r="LP2" i="7" s="1"/>
  <c r="LQ2" i="7" s="1"/>
  <c r="LR2" i="7" s="1"/>
  <c r="LS2" i="7" s="1"/>
  <c r="LT2" i="7" s="1"/>
  <c r="LU2" i="7" s="1"/>
  <c r="LV2" i="7" s="1"/>
  <c r="LW2" i="7" s="1"/>
  <c r="LX2" i="7" s="1"/>
  <c r="LY2" i="7" s="1"/>
  <c r="LZ2" i="7" s="1"/>
  <c r="MA2" i="7" s="1"/>
  <c r="MB2" i="7" s="1"/>
  <c r="MC2" i="7" s="1"/>
  <c r="MD2" i="7" s="1"/>
  <c r="ME2" i="7" s="1"/>
  <c r="MF2" i="7" s="1"/>
  <c r="MG2" i="7" s="1"/>
  <c r="MH2" i="7" s="1"/>
  <c r="MI2" i="7" s="1"/>
  <c r="MJ2" i="7" s="1"/>
  <c r="MK2" i="7" s="1"/>
  <c r="ML2" i="7" s="1"/>
  <c r="MM2" i="7" s="1"/>
  <c r="MN2" i="7" s="1"/>
  <c r="MO2" i="7" s="1"/>
  <c r="MP2" i="7" s="1"/>
  <c r="MQ2" i="7" s="1"/>
  <c r="MR2" i="7" s="1"/>
  <c r="MS2" i="7" s="1"/>
  <c r="MT2" i="7" s="1"/>
  <c r="MU2" i="7" s="1"/>
  <c r="MV2" i="7" s="1"/>
  <c r="MW2" i="7" s="1"/>
  <c r="MX2" i="7" s="1"/>
  <c r="MY2" i="7" s="1"/>
  <c r="I19" i="7" l="1"/>
  <c r="I22" i="7"/>
  <c r="I20" i="7"/>
  <c r="I18" i="7"/>
  <c r="I21" i="7"/>
  <c r="I4" i="7"/>
  <c r="I5" i="7"/>
  <c r="I7" i="7"/>
  <c r="I8" i="7"/>
  <c r="I9" i="7"/>
  <c r="I11" i="7"/>
  <c r="I14" i="7"/>
  <c r="I10" i="7"/>
  <c r="I6" i="7"/>
  <c r="I12" i="7"/>
  <c r="I13" i="7"/>
  <c r="I15" i="7"/>
  <c r="I17" i="7"/>
  <c r="I16" i="7"/>
  <c r="J1" i="7"/>
  <c r="I3" i="7"/>
  <c r="J18" i="7" l="1"/>
  <c r="J22" i="7"/>
  <c r="J19" i="7"/>
  <c r="J21" i="7"/>
  <c r="J20" i="7"/>
  <c r="J4" i="7"/>
  <c r="J7" i="7"/>
  <c r="J8" i="7"/>
  <c r="J6" i="7"/>
  <c r="J9" i="7"/>
  <c r="J10" i="7"/>
  <c r="J12" i="7"/>
  <c r="J5" i="7"/>
  <c r="J14" i="7"/>
  <c r="J13" i="7"/>
  <c r="J11" i="7"/>
  <c r="J15" i="7"/>
  <c r="J16" i="7"/>
  <c r="J17" i="7"/>
  <c r="K1" i="7"/>
  <c r="J3" i="7"/>
  <c r="K18" i="7" l="1"/>
  <c r="K20" i="7"/>
  <c r="K21" i="7"/>
  <c r="K22" i="7"/>
  <c r="K19" i="7"/>
  <c r="K6" i="7"/>
  <c r="K4" i="7"/>
  <c r="K5" i="7"/>
  <c r="K7" i="7"/>
  <c r="K13" i="7"/>
  <c r="K8" i="7"/>
  <c r="K11" i="7"/>
  <c r="K9" i="7"/>
  <c r="K14" i="7"/>
  <c r="K10" i="7"/>
  <c r="K12" i="7"/>
  <c r="K15" i="7"/>
  <c r="K17" i="7"/>
  <c r="K16" i="7"/>
  <c r="L1" i="7"/>
  <c r="K3" i="7"/>
  <c r="L22" i="7" l="1"/>
  <c r="L18" i="7"/>
  <c r="L20" i="7"/>
  <c r="L21" i="7"/>
  <c r="L19" i="7"/>
  <c r="L5" i="7"/>
  <c r="L6" i="7"/>
  <c r="L4" i="7"/>
  <c r="L9" i="7"/>
  <c r="L7" i="7"/>
  <c r="L12" i="7"/>
  <c r="L8" i="7"/>
  <c r="L11" i="7"/>
  <c r="L10" i="7"/>
  <c r="L13" i="7"/>
  <c r="L16" i="7"/>
  <c r="L14" i="7"/>
  <c r="L17" i="7"/>
  <c r="L15" i="7"/>
  <c r="M1" i="7"/>
  <c r="L3" i="7"/>
  <c r="M20" i="7" l="1"/>
  <c r="M18" i="7"/>
  <c r="M19" i="7"/>
  <c r="M22" i="7"/>
  <c r="M21" i="7"/>
  <c r="M4" i="7"/>
  <c r="M5" i="7"/>
  <c r="M6" i="7"/>
  <c r="M11" i="7"/>
  <c r="M7" i="7"/>
  <c r="M9" i="7"/>
  <c r="M10" i="7"/>
  <c r="M8" i="7"/>
  <c r="M13" i="7"/>
  <c r="M15" i="7"/>
  <c r="M17" i="7"/>
  <c r="M16" i="7"/>
  <c r="M12" i="7"/>
  <c r="M14" i="7"/>
  <c r="N1" i="7"/>
  <c r="M3" i="7"/>
  <c r="N18" i="7" l="1"/>
  <c r="N21" i="7"/>
  <c r="N20" i="7"/>
  <c r="N19" i="7"/>
  <c r="N22" i="7"/>
  <c r="N4" i="7"/>
  <c r="N6" i="7"/>
  <c r="N5" i="7"/>
  <c r="N10" i="7"/>
  <c r="N8" i="7"/>
  <c r="N7" i="7"/>
  <c r="N11" i="7"/>
  <c r="N9" i="7"/>
  <c r="N13" i="7"/>
  <c r="N17" i="7"/>
  <c r="N16" i="7"/>
  <c r="N12" i="7"/>
  <c r="N14" i="7"/>
  <c r="N15" i="7"/>
  <c r="O1" i="7"/>
  <c r="N3" i="7"/>
  <c r="O18" i="7" l="1"/>
  <c r="O22" i="7"/>
  <c r="O21" i="7"/>
  <c r="O19" i="7"/>
  <c r="O20" i="7"/>
  <c r="O5" i="7"/>
  <c r="O6" i="7"/>
  <c r="O4" i="7"/>
  <c r="O8" i="7"/>
  <c r="O9" i="7"/>
  <c r="O12" i="7"/>
  <c r="O7" i="7"/>
  <c r="O10" i="7"/>
  <c r="O17" i="7"/>
  <c r="O11" i="7"/>
  <c r="O13" i="7"/>
  <c r="O15" i="7"/>
  <c r="O16" i="7"/>
  <c r="O14" i="7"/>
  <c r="P1" i="7"/>
  <c r="O3" i="7"/>
  <c r="P20" i="7" l="1"/>
  <c r="P21" i="7"/>
  <c r="P18" i="7"/>
  <c r="P19" i="7"/>
  <c r="P22" i="7"/>
  <c r="P4" i="7"/>
  <c r="P5" i="7"/>
  <c r="P7" i="7"/>
  <c r="P6" i="7"/>
  <c r="P8" i="7"/>
  <c r="P9" i="7"/>
  <c r="P10" i="7"/>
  <c r="P11" i="7"/>
  <c r="P13" i="7"/>
  <c r="P15" i="7"/>
  <c r="P14" i="7"/>
  <c r="P17" i="7"/>
  <c r="P16" i="7"/>
  <c r="P12" i="7"/>
  <c r="Q1" i="7"/>
  <c r="P3" i="7"/>
  <c r="Q18" i="7" l="1"/>
  <c r="Q22" i="7"/>
  <c r="Q20" i="7"/>
  <c r="Q19" i="7"/>
  <c r="Q21" i="7"/>
  <c r="Q4" i="7"/>
  <c r="Q5" i="7"/>
  <c r="Q6" i="7"/>
  <c r="Q9" i="7"/>
  <c r="Q7" i="7"/>
  <c r="Q8" i="7"/>
  <c r="Q10" i="7"/>
  <c r="Q11" i="7"/>
  <c r="Q12" i="7"/>
  <c r="Q14" i="7"/>
  <c r="Q13" i="7"/>
  <c r="Q17" i="7"/>
  <c r="Q16" i="7"/>
  <c r="Q15" i="7"/>
  <c r="R1" i="7"/>
  <c r="Q3" i="7"/>
  <c r="R22" i="7" l="1"/>
  <c r="R21" i="7"/>
  <c r="R18" i="7"/>
  <c r="R20" i="7"/>
  <c r="R19" i="7"/>
  <c r="R4" i="7"/>
  <c r="R5" i="7"/>
  <c r="R7" i="7"/>
  <c r="R6" i="7"/>
  <c r="R8" i="7"/>
  <c r="R9" i="7"/>
  <c r="R12" i="7"/>
  <c r="R11" i="7"/>
  <c r="R10" i="7"/>
  <c r="R16" i="7"/>
  <c r="R14" i="7"/>
  <c r="R13" i="7"/>
  <c r="R15" i="7"/>
  <c r="R17" i="7"/>
  <c r="S1" i="7"/>
  <c r="R3" i="7"/>
  <c r="S19" i="7" l="1"/>
  <c r="S18" i="7"/>
  <c r="S20" i="7"/>
  <c r="S22" i="7"/>
  <c r="S21" i="7"/>
  <c r="S4" i="7"/>
  <c r="S6" i="7"/>
  <c r="S5" i="7"/>
  <c r="S7" i="7"/>
  <c r="S8" i="7"/>
  <c r="S16" i="7"/>
  <c r="S12" i="7"/>
  <c r="S9" i="7"/>
  <c r="S10" i="7"/>
  <c r="S14" i="7"/>
  <c r="S11" i="7"/>
  <c r="S13" i="7"/>
  <c r="S15" i="7"/>
  <c r="S17" i="7"/>
  <c r="T1" i="7"/>
  <c r="S3" i="7"/>
  <c r="T19" i="7" l="1"/>
  <c r="T18" i="7"/>
  <c r="T21" i="7"/>
  <c r="T22" i="7"/>
  <c r="T20" i="7"/>
  <c r="T5" i="7"/>
  <c r="T6" i="7"/>
  <c r="T8" i="7"/>
  <c r="T4" i="7"/>
  <c r="T7" i="7"/>
  <c r="T9" i="7"/>
  <c r="T13" i="7"/>
  <c r="T15" i="7"/>
  <c r="T10" i="7"/>
  <c r="T11" i="7"/>
  <c r="T14" i="7"/>
  <c r="T17" i="7"/>
  <c r="T12" i="7"/>
  <c r="T16" i="7"/>
  <c r="U1" i="7"/>
  <c r="T3" i="7"/>
  <c r="U21" i="7" l="1"/>
  <c r="U20" i="7"/>
  <c r="U18" i="7"/>
  <c r="U22" i="7"/>
  <c r="U19" i="7"/>
  <c r="U4" i="7"/>
  <c r="U5" i="7"/>
  <c r="U7" i="7"/>
  <c r="U8" i="7"/>
  <c r="U9" i="7"/>
  <c r="U6" i="7"/>
  <c r="U14" i="7"/>
  <c r="U10" i="7"/>
  <c r="U11" i="7"/>
  <c r="U12" i="7"/>
  <c r="U15" i="7"/>
  <c r="U13" i="7"/>
  <c r="U17" i="7"/>
  <c r="U16" i="7"/>
  <c r="V1" i="7"/>
  <c r="U3" i="7"/>
  <c r="V21" i="7" l="1"/>
  <c r="V18" i="7"/>
  <c r="V19" i="7"/>
  <c r="V22" i="7"/>
  <c r="V20" i="7"/>
  <c r="V4" i="7"/>
  <c r="V6" i="7"/>
  <c r="V7" i="7"/>
  <c r="V8" i="7"/>
  <c r="V5" i="7"/>
  <c r="V11" i="7"/>
  <c r="V9" i="7"/>
  <c r="V10" i="7"/>
  <c r="V13" i="7"/>
  <c r="V12" i="7"/>
  <c r="V14" i="7"/>
  <c r="V16" i="7"/>
  <c r="V17" i="7"/>
  <c r="V15" i="7"/>
  <c r="W1" i="7"/>
  <c r="V3" i="7"/>
  <c r="W21" i="7" l="1"/>
  <c r="W22" i="7"/>
  <c r="W18" i="7"/>
  <c r="W20" i="7"/>
  <c r="W19" i="7"/>
  <c r="W6" i="7"/>
  <c r="W7" i="7"/>
  <c r="W4" i="7"/>
  <c r="W5" i="7"/>
  <c r="W13" i="7"/>
  <c r="W8" i="7"/>
  <c r="W9" i="7"/>
  <c r="W10" i="7"/>
  <c r="W12" i="7"/>
  <c r="W14" i="7"/>
  <c r="W15" i="7"/>
  <c r="W11" i="7"/>
  <c r="W16" i="7"/>
  <c r="W17" i="7"/>
  <c r="X1" i="7"/>
  <c r="W3" i="7"/>
  <c r="X18" i="7" l="1"/>
  <c r="X21" i="7"/>
  <c r="X22" i="7"/>
  <c r="X20" i="7"/>
  <c r="X19" i="7"/>
  <c r="X5" i="7"/>
  <c r="X6" i="7"/>
  <c r="X4" i="7"/>
  <c r="X12" i="7"/>
  <c r="X8" i="7"/>
  <c r="X9" i="7"/>
  <c r="X7" i="7"/>
  <c r="X10" i="7"/>
  <c r="X14" i="7"/>
  <c r="X15" i="7"/>
  <c r="X16" i="7"/>
  <c r="X17" i="7"/>
  <c r="X11" i="7"/>
  <c r="X13" i="7"/>
  <c r="Y1" i="7"/>
  <c r="X3" i="7"/>
  <c r="Y21" i="7" l="1"/>
  <c r="Y18" i="7"/>
  <c r="Y22" i="7"/>
  <c r="Y20" i="7"/>
  <c r="Y19" i="7"/>
  <c r="Y4" i="7"/>
  <c r="Y5" i="7"/>
  <c r="Y6" i="7"/>
  <c r="Y9" i="7"/>
  <c r="Y7" i="7"/>
  <c r="Y11" i="7"/>
  <c r="Y8" i="7"/>
  <c r="Y10" i="7"/>
  <c r="Y12" i="7"/>
  <c r="Y13" i="7"/>
  <c r="Y14" i="7"/>
  <c r="Y15" i="7"/>
  <c r="Y17" i="7"/>
  <c r="Y16" i="7"/>
  <c r="Z1" i="7"/>
  <c r="Y3" i="7"/>
  <c r="Z18" i="7" l="1"/>
  <c r="Z20" i="7"/>
  <c r="Z21" i="7"/>
  <c r="Z19" i="7"/>
  <c r="Z22" i="7"/>
  <c r="Z4" i="7"/>
  <c r="Z6" i="7"/>
  <c r="Z5" i="7"/>
  <c r="Z10" i="7"/>
  <c r="Z8" i="7"/>
  <c r="Z9" i="7"/>
  <c r="Z11" i="7"/>
  <c r="Z7" i="7"/>
  <c r="Z15" i="7"/>
  <c r="Z13" i="7"/>
  <c r="Z16" i="7"/>
  <c r="Z17" i="7"/>
  <c r="Z14" i="7"/>
  <c r="Z12" i="7"/>
  <c r="AA1" i="7"/>
  <c r="Z3" i="7"/>
  <c r="AA18" i="7" l="1"/>
  <c r="AA20" i="7"/>
  <c r="AA19" i="7"/>
  <c r="AA22" i="7"/>
  <c r="AA21" i="7"/>
  <c r="AA5" i="7"/>
  <c r="AA6" i="7"/>
  <c r="AA8" i="7"/>
  <c r="AA7" i="7"/>
  <c r="AA4" i="7"/>
  <c r="AA9" i="7"/>
  <c r="AA11" i="7"/>
  <c r="AA10" i="7"/>
  <c r="AA13" i="7"/>
  <c r="AA17" i="7"/>
  <c r="AA12" i="7"/>
  <c r="AA16" i="7"/>
  <c r="AA15" i="7"/>
  <c r="AA14" i="7"/>
  <c r="AB1" i="7"/>
  <c r="AA3" i="7"/>
  <c r="AB22" i="7" l="1"/>
  <c r="AB18" i="7"/>
  <c r="AB19" i="7"/>
  <c r="AB21" i="7"/>
  <c r="AB20" i="7"/>
  <c r="AB4" i="7"/>
  <c r="AB5" i="7"/>
  <c r="AB6" i="7"/>
  <c r="AB7" i="7"/>
  <c r="AB12" i="7"/>
  <c r="AB8" i="7"/>
  <c r="AB9" i="7"/>
  <c r="AB10" i="7"/>
  <c r="AB15" i="7"/>
  <c r="AB17" i="7"/>
  <c r="AB16" i="7"/>
  <c r="AB14" i="7"/>
  <c r="AB11" i="7"/>
  <c r="AB13" i="7"/>
  <c r="AC1" i="7"/>
  <c r="AB3" i="7"/>
  <c r="AC20" i="7" l="1"/>
  <c r="AC18" i="7"/>
  <c r="AC22" i="7"/>
  <c r="AC21" i="7"/>
  <c r="AC19" i="7"/>
  <c r="AC4" i="7"/>
  <c r="AC6" i="7"/>
  <c r="AC5" i="7"/>
  <c r="AC7" i="7"/>
  <c r="AC9" i="7"/>
  <c r="AC8" i="7"/>
  <c r="AC10" i="7"/>
  <c r="AC13" i="7"/>
  <c r="AC12" i="7"/>
  <c r="AC15" i="7"/>
  <c r="AC11" i="7"/>
  <c r="AC14" i="7"/>
  <c r="AC17" i="7"/>
  <c r="AC16" i="7"/>
  <c r="AD1" i="7"/>
  <c r="AC3" i="7"/>
  <c r="AD22" i="7" l="1"/>
  <c r="AD19" i="7"/>
  <c r="AD18" i="7"/>
  <c r="AD20" i="7"/>
  <c r="AD21" i="7"/>
  <c r="AD4" i="7"/>
  <c r="AD5" i="7"/>
  <c r="AD7" i="7"/>
  <c r="AD6" i="7"/>
  <c r="AD8" i="7"/>
  <c r="AD10" i="7"/>
  <c r="AD9" i="7"/>
  <c r="AD13" i="7"/>
  <c r="AD17" i="7"/>
  <c r="AD15" i="7"/>
  <c r="AD16" i="7"/>
  <c r="AD12" i="7"/>
  <c r="AD14" i="7"/>
  <c r="AD11" i="7"/>
  <c r="AE1" i="7"/>
  <c r="AD3" i="7"/>
  <c r="AE20" i="7" l="1"/>
  <c r="AE18" i="7"/>
  <c r="AE21" i="7"/>
  <c r="AE19" i="7"/>
  <c r="AE22" i="7"/>
  <c r="AE4" i="7"/>
  <c r="AE6" i="7"/>
  <c r="AE5" i="7"/>
  <c r="AE7" i="7"/>
  <c r="AE9" i="7"/>
  <c r="AE16" i="7"/>
  <c r="AE12" i="7"/>
  <c r="AE8" i="7"/>
  <c r="AE11" i="7"/>
  <c r="AE10" i="7"/>
  <c r="AE14" i="7"/>
  <c r="AE13" i="7"/>
  <c r="AE15" i="7"/>
  <c r="AE17" i="7"/>
  <c r="AF1" i="7"/>
  <c r="AE3" i="7"/>
  <c r="AF19" i="7" l="1"/>
  <c r="AF18" i="7"/>
  <c r="AF21" i="7"/>
  <c r="AF22" i="7"/>
  <c r="AF20" i="7"/>
  <c r="AF5" i="7"/>
  <c r="AF6" i="7"/>
  <c r="AF8" i="7"/>
  <c r="AF4" i="7"/>
  <c r="AF7" i="7"/>
  <c r="AF9" i="7"/>
  <c r="AF15" i="7"/>
  <c r="AF12" i="7"/>
  <c r="AF16" i="7"/>
  <c r="AF11" i="7"/>
  <c r="AF14" i="7"/>
  <c r="AF13" i="7"/>
  <c r="AF10" i="7"/>
  <c r="AF17" i="7"/>
  <c r="AG1" i="7"/>
  <c r="AF3" i="7"/>
  <c r="AG19" i="7" l="1"/>
  <c r="AG20" i="7"/>
  <c r="AG22" i="7"/>
  <c r="AG21" i="7"/>
  <c r="AG18" i="7"/>
  <c r="AG4" i="7"/>
  <c r="AG5" i="7"/>
  <c r="AG7" i="7"/>
  <c r="AG8" i="7"/>
  <c r="AG9" i="7"/>
  <c r="AG6" i="7"/>
  <c r="AG13" i="7"/>
  <c r="AG14" i="7"/>
  <c r="AG10" i="7"/>
  <c r="AG11" i="7"/>
  <c r="AG12" i="7"/>
  <c r="AG16" i="7"/>
  <c r="AG15" i="7"/>
  <c r="AG17" i="7"/>
  <c r="AH1" i="7"/>
  <c r="AG3" i="7"/>
  <c r="AH21" i="7" l="1"/>
  <c r="AH18" i="7"/>
  <c r="AH22" i="7"/>
  <c r="AH19" i="7"/>
  <c r="AH20" i="7"/>
  <c r="AH4" i="7"/>
  <c r="AH7" i="7"/>
  <c r="AH8" i="7"/>
  <c r="AH5" i="7"/>
  <c r="AH6" i="7"/>
  <c r="AH10" i="7"/>
  <c r="AH11" i="7"/>
  <c r="AH14" i="7"/>
  <c r="AH9" i="7"/>
  <c r="AH12" i="7"/>
  <c r="AH13" i="7"/>
  <c r="AH16" i="7"/>
  <c r="AH15" i="7"/>
  <c r="AH17" i="7"/>
  <c r="AI1" i="7"/>
  <c r="AH3" i="7"/>
  <c r="AI20" i="7" l="1"/>
  <c r="AI21" i="7"/>
  <c r="AI18" i="7"/>
  <c r="AI22" i="7"/>
  <c r="AI19" i="7"/>
  <c r="AI6" i="7"/>
  <c r="AI7" i="7"/>
  <c r="AI4" i="7"/>
  <c r="AI8" i="7"/>
  <c r="AI5" i="7"/>
  <c r="AI13" i="7"/>
  <c r="AI11" i="7"/>
  <c r="AI10" i="7"/>
  <c r="AI9" i="7"/>
  <c r="AI15" i="7"/>
  <c r="AI17" i="7"/>
  <c r="AI14" i="7"/>
  <c r="AI16" i="7"/>
  <c r="AI12" i="7"/>
  <c r="AJ1" i="7"/>
  <c r="AI3" i="7"/>
  <c r="AJ21" i="7" l="1"/>
  <c r="AJ19" i="7"/>
  <c r="AJ20" i="7"/>
  <c r="AJ22" i="7"/>
  <c r="AJ18" i="7"/>
  <c r="AJ5" i="7"/>
  <c r="AJ6" i="7"/>
  <c r="AJ4" i="7"/>
  <c r="AJ12" i="7"/>
  <c r="AJ7" i="7"/>
  <c r="AJ8" i="7"/>
  <c r="AJ10" i="7"/>
  <c r="AJ9" i="7"/>
  <c r="AJ14" i="7"/>
  <c r="AJ11" i="7"/>
  <c r="AJ16" i="7"/>
  <c r="AJ15" i="7"/>
  <c r="AJ17" i="7"/>
  <c r="AJ13" i="7"/>
  <c r="AK1" i="7"/>
  <c r="AJ3" i="7"/>
  <c r="AK18" i="7" l="1"/>
  <c r="AK22" i="7"/>
  <c r="AK21" i="7"/>
  <c r="AK19" i="7"/>
  <c r="AK20" i="7"/>
  <c r="AK4" i="7"/>
  <c r="AK5" i="7"/>
  <c r="AK6" i="7"/>
  <c r="AK11" i="7"/>
  <c r="AK8" i="7"/>
  <c r="AK12" i="7"/>
  <c r="AK9" i="7"/>
  <c r="AK14" i="7"/>
  <c r="AK13" i="7"/>
  <c r="AK7" i="7"/>
  <c r="AK16" i="7"/>
  <c r="AK15" i="7"/>
  <c r="AK17" i="7"/>
  <c r="AK10" i="7"/>
  <c r="AL1" i="7"/>
  <c r="AK3" i="7"/>
  <c r="AL21" i="7" l="1"/>
  <c r="AL18" i="7"/>
  <c r="AL20" i="7"/>
  <c r="AL19" i="7"/>
  <c r="AL22" i="7"/>
  <c r="AL4" i="7"/>
  <c r="AL6" i="7"/>
  <c r="AL9" i="7"/>
  <c r="AL5" i="7"/>
  <c r="AL8" i="7"/>
  <c r="AL10" i="7"/>
  <c r="AL7" i="7"/>
  <c r="AL11" i="7"/>
  <c r="AL12" i="7"/>
  <c r="AL13" i="7"/>
  <c r="AL14" i="7"/>
  <c r="AL16" i="7"/>
  <c r="AL17" i="7"/>
  <c r="AL15" i="7"/>
  <c r="AM1" i="7"/>
  <c r="AL3" i="7"/>
  <c r="AM18" i="7" l="1"/>
  <c r="AM21" i="7"/>
  <c r="AM22" i="7"/>
  <c r="AM20" i="7"/>
  <c r="AM19" i="7"/>
  <c r="AM5" i="7"/>
  <c r="AM6" i="7"/>
  <c r="AM8" i="7"/>
  <c r="AM4" i="7"/>
  <c r="AM9" i="7"/>
  <c r="AM11" i="7"/>
  <c r="AM10" i="7"/>
  <c r="AM7" i="7"/>
  <c r="AM15" i="7"/>
  <c r="AM17" i="7"/>
  <c r="AM13" i="7"/>
  <c r="AM12" i="7"/>
  <c r="AM14" i="7"/>
  <c r="AM16" i="7"/>
  <c r="AN1" i="7"/>
  <c r="AM3" i="7"/>
  <c r="AN19" i="7" l="1"/>
  <c r="AN21" i="7"/>
  <c r="AN22" i="7"/>
  <c r="AN18" i="7"/>
  <c r="AN20" i="7"/>
  <c r="AN4" i="7"/>
  <c r="AN5" i="7"/>
  <c r="AN7" i="7"/>
  <c r="AN6" i="7"/>
  <c r="AN11" i="7"/>
  <c r="AN8" i="7"/>
  <c r="AN10" i="7"/>
  <c r="AN9" i="7"/>
  <c r="AN12" i="7"/>
  <c r="AN13" i="7"/>
  <c r="AN15" i="7"/>
  <c r="AN16" i="7"/>
  <c r="AN17" i="7"/>
  <c r="AN14" i="7"/>
  <c r="AO1" i="7"/>
  <c r="AN3" i="7"/>
  <c r="AO19" i="7" l="1"/>
  <c r="AO22" i="7"/>
  <c r="AO18" i="7"/>
  <c r="AO21" i="7"/>
  <c r="AO20" i="7"/>
  <c r="AO4" i="7"/>
  <c r="AO5" i="7"/>
  <c r="AO6" i="7"/>
  <c r="AO8" i="7"/>
  <c r="AO9" i="7"/>
  <c r="AO12" i="7"/>
  <c r="AO7" i="7"/>
  <c r="AO10" i="7"/>
  <c r="AO13" i="7"/>
  <c r="AO11" i="7"/>
  <c r="AO15" i="7"/>
  <c r="AO16" i="7"/>
  <c r="AO17" i="7"/>
  <c r="AO14" i="7"/>
  <c r="AP1" i="7"/>
  <c r="AO3" i="7"/>
  <c r="AP19" i="7" l="1"/>
  <c r="AP20" i="7"/>
  <c r="AP18" i="7"/>
  <c r="AP22" i="7"/>
  <c r="AP21" i="7"/>
  <c r="AP4" i="7"/>
  <c r="AP5" i="7"/>
  <c r="AP7" i="7"/>
  <c r="AP8" i="7"/>
  <c r="AP6" i="7"/>
  <c r="AP9" i="7"/>
  <c r="AP10" i="7"/>
  <c r="AP11" i="7"/>
  <c r="AP14" i="7"/>
  <c r="AP12" i="7"/>
  <c r="AP13" i="7"/>
  <c r="AP15" i="7"/>
  <c r="AP16" i="7"/>
  <c r="AP17" i="7"/>
  <c r="AQ1" i="7"/>
  <c r="AP3" i="7"/>
  <c r="AQ19" i="7" l="1"/>
  <c r="AQ18" i="7"/>
  <c r="AQ21" i="7"/>
  <c r="AQ22" i="7"/>
  <c r="AQ20" i="7"/>
  <c r="AQ4" i="7"/>
  <c r="AQ6" i="7"/>
  <c r="AQ5" i="7"/>
  <c r="AQ9" i="7"/>
  <c r="AQ7" i="7"/>
  <c r="AQ10" i="7"/>
  <c r="AQ16" i="7"/>
  <c r="AQ8" i="7"/>
  <c r="AQ12" i="7"/>
  <c r="AQ13" i="7"/>
  <c r="AQ11" i="7"/>
  <c r="AQ14" i="7"/>
  <c r="AQ15" i="7"/>
  <c r="AQ17" i="7"/>
  <c r="AR1" i="7"/>
  <c r="AQ3" i="7"/>
  <c r="AR18" i="7" l="1"/>
  <c r="AR21" i="7"/>
  <c r="AR22" i="7"/>
  <c r="AR19" i="7"/>
  <c r="AR20" i="7"/>
  <c r="AR5" i="7"/>
  <c r="AR6" i="7"/>
  <c r="AR4" i="7"/>
  <c r="AR8" i="7"/>
  <c r="AR15" i="7"/>
  <c r="AR9" i="7"/>
  <c r="AR12" i="7"/>
  <c r="AR11" i="7"/>
  <c r="AR7" i="7"/>
  <c r="AR13" i="7"/>
  <c r="AR14" i="7"/>
  <c r="AR16" i="7"/>
  <c r="AR10" i="7"/>
  <c r="AR17" i="7"/>
  <c r="AS1" i="7"/>
  <c r="AR3" i="7"/>
  <c r="AS19" i="7" l="1"/>
  <c r="AS18" i="7"/>
  <c r="AS20" i="7"/>
  <c r="AS21" i="7"/>
  <c r="AS22" i="7"/>
  <c r="AS4" i="7"/>
  <c r="AS5" i="7"/>
  <c r="AS7" i="7"/>
  <c r="AS8" i="7"/>
  <c r="AS9" i="7"/>
  <c r="AS6" i="7"/>
  <c r="AS14" i="7"/>
  <c r="AS12" i="7"/>
  <c r="AS16" i="7"/>
  <c r="AS13" i="7"/>
  <c r="AS15" i="7"/>
  <c r="AS11" i="7"/>
  <c r="AS10" i="7"/>
  <c r="AS17" i="7"/>
  <c r="AT1" i="7"/>
  <c r="AS3" i="7"/>
  <c r="AT21" i="7" l="1"/>
  <c r="AT18" i="7"/>
  <c r="AT19" i="7"/>
  <c r="AT22" i="7"/>
  <c r="AT20" i="7"/>
  <c r="AT4" i="7"/>
  <c r="AT6" i="7"/>
  <c r="AT7" i="7"/>
  <c r="AT5" i="7"/>
  <c r="AT8" i="7"/>
  <c r="AT9" i="7"/>
  <c r="AT13" i="7"/>
  <c r="AT10" i="7"/>
  <c r="AT11" i="7"/>
  <c r="AT14" i="7"/>
  <c r="AT12" i="7"/>
  <c r="AT15" i="7"/>
  <c r="AT16" i="7"/>
  <c r="AT17" i="7"/>
  <c r="AU1" i="7"/>
  <c r="AT3" i="7"/>
  <c r="AU18" i="7" l="1"/>
  <c r="AU21" i="7"/>
  <c r="AU20" i="7"/>
  <c r="AU19" i="7"/>
  <c r="AU22" i="7"/>
  <c r="AU6" i="7"/>
  <c r="AU4" i="7"/>
  <c r="AU7" i="7"/>
  <c r="AU5" i="7"/>
  <c r="AU9" i="7"/>
  <c r="AU10" i="7"/>
  <c r="AU8" i="7"/>
  <c r="AU11" i="7"/>
  <c r="AU14" i="7"/>
  <c r="AU12" i="7"/>
  <c r="AU13" i="7"/>
  <c r="AU15" i="7"/>
  <c r="AU16" i="7"/>
  <c r="AU17" i="7"/>
  <c r="AV1" i="7"/>
  <c r="AU3" i="7"/>
  <c r="AV18" i="7" l="1"/>
  <c r="AV21" i="7"/>
  <c r="AV19" i="7"/>
  <c r="AV22" i="7"/>
  <c r="AV20" i="7"/>
  <c r="AV5" i="7"/>
  <c r="AV6" i="7"/>
  <c r="AV4" i="7"/>
  <c r="AV12" i="7"/>
  <c r="AV7" i="7"/>
  <c r="AV11" i="7"/>
  <c r="AV9" i="7"/>
  <c r="AV10" i="7"/>
  <c r="AV8" i="7"/>
  <c r="AV14" i="7"/>
  <c r="AV13" i="7"/>
  <c r="AV17" i="7"/>
  <c r="AV15" i="7"/>
  <c r="AV16" i="7"/>
  <c r="AW1" i="7"/>
  <c r="AV3" i="7"/>
  <c r="AW20" i="7" l="1"/>
  <c r="AW18" i="7"/>
  <c r="AW19" i="7"/>
  <c r="AW21" i="7"/>
  <c r="AW22" i="7"/>
  <c r="AW4" i="7"/>
  <c r="AW5" i="7"/>
  <c r="AW6" i="7"/>
  <c r="AW7" i="7"/>
  <c r="AW11" i="7"/>
  <c r="AW9" i="7"/>
  <c r="AW10" i="7"/>
  <c r="AW8" i="7"/>
  <c r="AW14" i="7"/>
  <c r="AW12" i="7"/>
  <c r="AW15" i="7"/>
  <c r="AW16" i="7"/>
  <c r="AW17" i="7"/>
  <c r="AW13" i="7"/>
  <c r="AX1" i="7"/>
  <c r="AW3" i="7"/>
  <c r="AX20" i="7" l="1"/>
  <c r="AX21" i="7"/>
  <c r="AX18" i="7"/>
  <c r="AX19" i="7"/>
  <c r="AX22" i="7"/>
  <c r="AX4" i="7"/>
  <c r="AX6" i="7"/>
  <c r="AX7" i="7"/>
  <c r="AX10" i="7"/>
  <c r="AX5" i="7"/>
  <c r="AX8" i="7"/>
  <c r="AX9" i="7"/>
  <c r="AX14" i="7"/>
  <c r="AX13" i="7"/>
  <c r="AX12" i="7"/>
  <c r="AX15" i="7"/>
  <c r="AX16" i="7"/>
  <c r="AX11" i="7"/>
  <c r="AX17" i="7"/>
  <c r="AY1" i="7"/>
  <c r="AX3" i="7"/>
  <c r="AY18" i="7" l="1"/>
  <c r="AY21" i="7"/>
  <c r="AY20" i="7"/>
  <c r="AY22" i="7"/>
  <c r="AY19" i="7"/>
  <c r="AY5" i="7"/>
  <c r="AY6" i="7"/>
  <c r="AY4" i="7"/>
  <c r="AY8" i="7"/>
  <c r="AY9" i="7"/>
  <c r="AY7" i="7"/>
  <c r="AY17" i="7"/>
  <c r="AY10" i="7"/>
  <c r="AY14" i="7"/>
  <c r="AY12" i="7"/>
  <c r="AY15" i="7"/>
  <c r="AY16" i="7"/>
  <c r="AY11" i="7"/>
  <c r="AY13" i="7"/>
  <c r="AZ1" i="7"/>
  <c r="AY3" i="7"/>
  <c r="AZ22" i="7" l="1"/>
  <c r="AZ18" i="7"/>
  <c r="AZ21" i="7"/>
  <c r="AZ20" i="7"/>
  <c r="AZ19" i="7"/>
  <c r="AZ4" i="7"/>
  <c r="AZ5" i="7"/>
  <c r="AZ6" i="7"/>
  <c r="AZ7" i="7"/>
  <c r="AZ8" i="7"/>
  <c r="AZ11" i="7"/>
  <c r="AZ9" i="7"/>
  <c r="AZ10" i="7"/>
  <c r="AZ15" i="7"/>
  <c r="AZ13" i="7"/>
  <c r="AZ14" i="7"/>
  <c r="AZ12" i="7"/>
  <c r="AZ16" i="7"/>
  <c r="AZ17" i="7"/>
  <c r="BA1" i="7"/>
  <c r="AZ3" i="7"/>
  <c r="BA18" i="7" l="1"/>
  <c r="BA22" i="7"/>
  <c r="BA20" i="7"/>
  <c r="BA19" i="7"/>
  <c r="BA21" i="7"/>
  <c r="BA4" i="7"/>
  <c r="BA6" i="7"/>
  <c r="BA5" i="7"/>
  <c r="BA9" i="7"/>
  <c r="BA7" i="7"/>
  <c r="BA11" i="7"/>
  <c r="BA10" i="7"/>
  <c r="BA8" i="7"/>
  <c r="BA13" i="7"/>
  <c r="BA17" i="7"/>
  <c r="BA14" i="7"/>
  <c r="BA15" i="7"/>
  <c r="BA12" i="7"/>
  <c r="BA16" i="7"/>
  <c r="BB1" i="7"/>
  <c r="BA3" i="7"/>
  <c r="BB18" i="7" l="1"/>
  <c r="BB22" i="7"/>
  <c r="BB19" i="7"/>
  <c r="BB21" i="7"/>
  <c r="BB20" i="7"/>
  <c r="BB4" i="7"/>
  <c r="BB5" i="7"/>
  <c r="BB7" i="7"/>
  <c r="BB6" i="7"/>
  <c r="BB8" i="7"/>
  <c r="BB12" i="7"/>
  <c r="BB10" i="7"/>
  <c r="BB13" i="7"/>
  <c r="BB15" i="7"/>
  <c r="BB9" i="7"/>
  <c r="BB16" i="7"/>
  <c r="BB17" i="7"/>
  <c r="BB11" i="7"/>
  <c r="BB14" i="7"/>
  <c r="BC1" i="7"/>
  <c r="BB3" i="7"/>
  <c r="BC21" i="7" l="1"/>
  <c r="BC22" i="7"/>
  <c r="BC18" i="7"/>
  <c r="BC20" i="7"/>
  <c r="BC19" i="7"/>
  <c r="BC4" i="7"/>
  <c r="BC6" i="7"/>
  <c r="BC7" i="7"/>
  <c r="BC8" i="7"/>
  <c r="BC16" i="7"/>
  <c r="BC5" i="7"/>
  <c r="BC9" i="7"/>
  <c r="BC10" i="7"/>
  <c r="BC11" i="7"/>
  <c r="BC12" i="7"/>
  <c r="BC14" i="7"/>
  <c r="BC17" i="7"/>
  <c r="BC13" i="7"/>
  <c r="BC15" i="7"/>
  <c r="BD1" i="7"/>
  <c r="BC3" i="7"/>
  <c r="BD22" i="7" l="1"/>
  <c r="BD18" i="7"/>
  <c r="BD19" i="7"/>
  <c r="BD21" i="7"/>
  <c r="BD20" i="7"/>
  <c r="BD5" i="7"/>
  <c r="BD6" i="7"/>
  <c r="BD8" i="7"/>
  <c r="BD4" i="7"/>
  <c r="BD7" i="7"/>
  <c r="BD10" i="7"/>
  <c r="BD15" i="7"/>
  <c r="BD9" i="7"/>
  <c r="BD13" i="7"/>
  <c r="BD11" i="7"/>
  <c r="BD16" i="7"/>
  <c r="BD17" i="7"/>
  <c r="BD14" i="7"/>
  <c r="BD12" i="7"/>
  <c r="BE1" i="7"/>
  <c r="BD3" i="7"/>
  <c r="BE18" i="7" l="1"/>
  <c r="BE22" i="7"/>
  <c r="BE21" i="7"/>
  <c r="BE19" i="7"/>
  <c r="BE20" i="7"/>
  <c r="BE4" i="7"/>
  <c r="BE5" i="7"/>
  <c r="BE7" i="7"/>
  <c r="BE8" i="7"/>
  <c r="BE9" i="7"/>
  <c r="BE14" i="7"/>
  <c r="BE12" i="7"/>
  <c r="BE11" i="7"/>
  <c r="BE6" i="7"/>
  <c r="BE13" i="7"/>
  <c r="BE15" i="7"/>
  <c r="BE16" i="7"/>
  <c r="BE10" i="7"/>
  <c r="BE17" i="7"/>
  <c r="BF1" i="7"/>
  <c r="BE3" i="7"/>
  <c r="BF20" i="7" l="1"/>
  <c r="BF18" i="7"/>
  <c r="BF19" i="7"/>
  <c r="BF22" i="7"/>
  <c r="BF21" i="7"/>
  <c r="BF4" i="7"/>
  <c r="BF7" i="7"/>
  <c r="BF8" i="7"/>
  <c r="BF5" i="7"/>
  <c r="BF9" i="7"/>
  <c r="BF6" i="7"/>
  <c r="BF13" i="7"/>
  <c r="BF12" i="7"/>
  <c r="BF16" i="7"/>
  <c r="BF10" i="7"/>
  <c r="BF11" i="7"/>
  <c r="BF15" i="7"/>
  <c r="BF14" i="7"/>
  <c r="BF17" i="7"/>
  <c r="BG1" i="7"/>
  <c r="BF3" i="7"/>
  <c r="BG20" i="7" l="1"/>
  <c r="BG22" i="7"/>
  <c r="BG18" i="7"/>
  <c r="BG21" i="7"/>
  <c r="BG19" i="7"/>
  <c r="BG6" i="7"/>
  <c r="BG7" i="7"/>
  <c r="BG5" i="7"/>
  <c r="BG4" i="7"/>
  <c r="BG8" i="7"/>
  <c r="BG10" i="7"/>
  <c r="BG9" i="7"/>
  <c r="BG11" i="7"/>
  <c r="BG12" i="7"/>
  <c r="BG14" i="7"/>
  <c r="BG15" i="7"/>
  <c r="BG16" i="7"/>
  <c r="BG13" i="7"/>
  <c r="BG17" i="7"/>
  <c r="BH1" i="7"/>
  <c r="BG3" i="7"/>
  <c r="BH18" i="7" l="1"/>
  <c r="BH20" i="7"/>
  <c r="BH22" i="7"/>
  <c r="BH21" i="7"/>
  <c r="BH19" i="7"/>
  <c r="BH5" i="7"/>
  <c r="BH6" i="7"/>
  <c r="BH12" i="7"/>
  <c r="BH4" i="7"/>
  <c r="BH7" i="7"/>
  <c r="BH9" i="7"/>
  <c r="BH8" i="7"/>
  <c r="BH10" i="7"/>
  <c r="BH11" i="7"/>
  <c r="BH14" i="7"/>
  <c r="BH15" i="7"/>
  <c r="BH16" i="7"/>
  <c r="BH13" i="7"/>
  <c r="BH17" i="7"/>
  <c r="BI1" i="7"/>
  <c r="BH3" i="7"/>
  <c r="BI19" i="7" l="1"/>
  <c r="BI20" i="7"/>
  <c r="BI18" i="7"/>
  <c r="BI21" i="7"/>
  <c r="BI22" i="7"/>
  <c r="BI4" i="7"/>
  <c r="BI5" i="7"/>
  <c r="BI6" i="7"/>
  <c r="BI11" i="7"/>
  <c r="BI8" i="7"/>
  <c r="BI7" i="7"/>
  <c r="BI9" i="7"/>
  <c r="BI10" i="7"/>
  <c r="BI12" i="7"/>
  <c r="BI15" i="7"/>
  <c r="BI14" i="7"/>
  <c r="BI17" i="7"/>
  <c r="BI13" i="7"/>
  <c r="BI16" i="7"/>
  <c r="BJ1" i="7"/>
  <c r="BI3" i="7"/>
  <c r="BJ19" i="7" l="1"/>
  <c r="BJ18" i="7"/>
  <c r="BJ21" i="7"/>
  <c r="BJ22" i="7"/>
  <c r="BJ20" i="7"/>
  <c r="BJ4" i="7"/>
  <c r="BJ6" i="7"/>
  <c r="BJ5" i="7"/>
  <c r="BJ10" i="7"/>
  <c r="BJ8" i="7"/>
  <c r="BJ11" i="7"/>
  <c r="BJ7" i="7"/>
  <c r="BJ9" i="7"/>
  <c r="BJ12" i="7"/>
  <c r="BJ14" i="7"/>
  <c r="BJ17" i="7"/>
  <c r="BJ15" i="7"/>
  <c r="BJ16" i="7"/>
  <c r="BJ13" i="7"/>
  <c r="BK1" i="7"/>
  <c r="BJ3" i="7"/>
  <c r="BK18" i="7" l="1"/>
  <c r="BK19" i="7"/>
  <c r="BK20" i="7"/>
  <c r="BK21" i="7"/>
  <c r="BK22" i="7"/>
  <c r="BK5" i="7"/>
  <c r="BK6" i="7"/>
  <c r="BK8" i="7"/>
  <c r="BK4" i="7"/>
  <c r="BK9" i="7"/>
  <c r="BK7" i="7"/>
  <c r="BK10" i="7"/>
  <c r="BK17" i="7"/>
  <c r="BK14" i="7"/>
  <c r="BK13" i="7"/>
  <c r="BK11" i="7"/>
  <c r="BK15" i="7"/>
  <c r="BK12" i="7"/>
  <c r="BK16" i="7"/>
  <c r="BL1" i="7"/>
  <c r="BK3" i="7"/>
  <c r="BL21" i="7" l="1"/>
  <c r="BL18" i="7"/>
  <c r="BL20" i="7"/>
  <c r="BL19" i="7"/>
  <c r="BL22" i="7"/>
  <c r="BL4" i="7"/>
  <c r="BL5" i="7"/>
  <c r="BL7" i="7"/>
  <c r="BL6" i="7"/>
  <c r="BL9" i="7"/>
  <c r="BL8" i="7"/>
  <c r="BL11" i="7"/>
  <c r="BL12" i="7"/>
  <c r="BL10" i="7"/>
  <c r="BL13" i="7"/>
  <c r="BL16" i="7"/>
  <c r="BL14" i="7"/>
  <c r="BL17" i="7"/>
  <c r="BL15" i="7"/>
  <c r="BM1" i="7"/>
  <c r="BL3" i="7"/>
  <c r="BM18" i="7" l="1"/>
  <c r="BM20" i="7"/>
  <c r="BM22" i="7"/>
  <c r="BM19" i="7"/>
  <c r="BM21" i="7"/>
  <c r="BM4" i="7"/>
  <c r="BM6" i="7"/>
  <c r="BM9" i="7"/>
  <c r="BM8" i="7"/>
  <c r="BM7" i="7"/>
  <c r="BM11" i="7"/>
  <c r="BM10" i="7"/>
  <c r="BM5" i="7"/>
  <c r="BM15" i="7"/>
  <c r="BM12" i="7"/>
  <c r="BM13" i="7"/>
  <c r="BM16" i="7"/>
  <c r="BM14" i="7"/>
  <c r="BM17" i="7"/>
  <c r="BN1" i="7"/>
  <c r="BM3" i="7"/>
  <c r="BN21" i="7" l="1"/>
  <c r="BN18" i="7"/>
  <c r="BN20" i="7"/>
  <c r="BN22" i="7"/>
  <c r="BN19" i="7"/>
  <c r="BN4" i="7"/>
  <c r="BN5" i="7"/>
  <c r="BN7" i="7"/>
  <c r="BN6" i="7"/>
  <c r="BN9" i="7"/>
  <c r="BN8" i="7"/>
  <c r="BN11" i="7"/>
  <c r="BN10" i="7"/>
  <c r="BN13" i="7"/>
  <c r="BN17" i="7"/>
  <c r="BN12" i="7"/>
  <c r="BN15" i="7"/>
  <c r="BN16" i="7"/>
  <c r="BN14" i="7"/>
  <c r="BO1" i="7"/>
  <c r="BN3" i="7"/>
  <c r="BO21" i="7" l="1"/>
  <c r="BO19" i="7"/>
  <c r="BO18" i="7"/>
  <c r="BO22" i="7"/>
  <c r="BO20" i="7"/>
  <c r="BO4" i="7"/>
  <c r="BO6" i="7"/>
  <c r="BO5" i="7"/>
  <c r="BO9" i="7"/>
  <c r="BO12" i="7"/>
  <c r="BO16" i="7"/>
  <c r="BO7" i="7"/>
  <c r="BO8" i="7"/>
  <c r="BO10" i="7"/>
  <c r="BO13" i="7"/>
  <c r="BO11" i="7"/>
  <c r="BO15" i="7"/>
  <c r="BO14" i="7"/>
  <c r="BO17" i="7"/>
  <c r="BP1" i="7"/>
  <c r="BO3" i="7"/>
  <c r="BP21" i="7" l="1"/>
  <c r="BP19" i="7"/>
  <c r="BP18" i="7"/>
  <c r="BP22" i="7"/>
  <c r="BP20" i="7"/>
  <c r="BP5" i="7"/>
  <c r="BP6" i="7"/>
  <c r="BP8" i="7"/>
  <c r="BP4" i="7"/>
  <c r="BP7" i="7"/>
  <c r="BP15" i="7"/>
  <c r="BP9" i="7"/>
  <c r="BP10" i="7"/>
  <c r="BP11" i="7"/>
  <c r="BP14" i="7"/>
  <c r="BP13" i="7"/>
  <c r="BP17" i="7"/>
  <c r="BP12" i="7"/>
  <c r="BP16" i="7"/>
  <c r="BQ1" i="7"/>
  <c r="BP3" i="7"/>
  <c r="BQ22" i="7" l="1"/>
  <c r="BQ18" i="7"/>
  <c r="BQ21" i="7"/>
  <c r="BQ19" i="7"/>
  <c r="BQ20" i="7"/>
  <c r="BQ4" i="7"/>
  <c r="BQ5" i="7"/>
  <c r="BQ7" i="7"/>
  <c r="BQ8" i="7"/>
  <c r="BQ9" i="7"/>
  <c r="BQ6" i="7"/>
  <c r="BQ10" i="7"/>
  <c r="BQ14" i="7"/>
  <c r="BQ13" i="7"/>
  <c r="BQ11" i="7"/>
  <c r="BQ16" i="7"/>
  <c r="BQ17" i="7"/>
  <c r="BQ15" i="7"/>
  <c r="BQ12" i="7"/>
  <c r="BR1" i="7"/>
  <c r="BQ3" i="7"/>
  <c r="BR20" i="7" l="1"/>
  <c r="BR18" i="7"/>
  <c r="BR22" i="7"/>
  <c r="BR19" i="7"/>
  <c r="BR21" i="7"/>
  <c r="BR4" i="7"/>
  <c r="BR5" i="7"/>
  <c r="BR6" i="7"/>
  <c r="BR7" i="7"/>
  <c r="BR8" i="7"/>
  <c r="BR13" i="7"/>
  <c r="BR12" i="7"/>
  <c r="BR9" i="7"/>
  <c r="BR11" i="7"/>
  <c r="BR10" i="7"/>
  <c r="BR14" i="7"/>
  <c r="BR16" i="7"/>
  <c r="BR15" i="7"/>
  <c r="BR17" i="7"/>
  <c r="BS1" i="7"/>
  <c r="BR3" i="7"/>
  <c r="BS18" i="7" l="1"/>
  <c r="BS20" i="7"/>
  <c r="BS22" i="7"/>
  <c r="BS19" i="7"/>
  <c r="BS21" i="7"/>
  <c r="BS6" i="7"/>
  <c r="BS5" i="7"/>
  <c r="BS7" i="7"/>
  <c r="BS4" i="7"/>
  <c r="BS8" i="7"/>
  <c r="BS12" i="7"/>
  <c r="BS9" i="7"/>
  <c r="BS16" i="7"/>
  <c r="BS10" i="7"/>
  <c r="BS13" i="7"/>
  <c r="BS11" i="7"/>
  <c r="BS14" i="7"/>
  <c r="BS17" i="7"/>
  <c r="BS15" i="7"/>
  <c r="BT1" i="7"/>
  <c r="BS3" i="7"/>
  <c r="BT19" i="7" l="1"/>
  <c r="BT22" i="7"/>
  <c r="BT21" i="7"/>
  <c r="BT18" i="7"/>
  <c r="BT20" i="7"/>
  <c r="BT5" i="7"/>
  <c r="BT6" i="7"/>
  <c r="BT4" i="7"/>
  <c r="BT7" i="7"/>
  <c r="BT9" i="7"/>
  <c r="BT12" i="7"/>
  <c r="BT8" i="7"/>
  <c r="BT10" i="7"/>
  <c r="BT11" i="7"/>
  <c r="BT14" i="7"/>
  <c r="BT15" i="7"/>
  <c r="BT13" i="7"/>
  <c r="BT16" i="7"/>
  <c r="BT17" i="7"/>
  <c r="BU1" i="7"/>
  <c r="BT3" i="7"/>
  <c r="BU18" i="7" l="1"/>
  <c r="BU21" i="7"/>
  <c r="BU19" i="7"/>
  <c r="BU22" i="7"/>
  <c r="BU20" i="7"/>
  <c r="BU4" i="7"/>
  <c r="BU5" i="7"/>
  <c r="BU6" i="7"/>
  <c r="BU7" i="7"/>
  <c r="BU11" i="7"/>
  <c r="BU10" i="7"/>
  <c r="BU8" i="7"/>
  <c r="BU9" i="7"/>
  <c r="BU14" i="7"/>
  <c r="BU15" i="7"/>
  <c r="BU13" i="7"/>
  <c r="BU16" i="7"/>
  <c r="BU17" i="7"/>
  <c r="BU12" i="7"/>
  <c r="BV1" i="7"/>
  <c r="BU3" i="7"/>
  <c r="BV20" i="7" l="1"/>
  <c r="BV19" i="7"/>
  <c r="BV21" i="7"/>
  <c r="BV18" i="7"/>
  <c r="BV22" i="7"/>
  <c r="BV4" i="7"/>
  <c r="BV6" i="7"/>
  <c r="BV5" i="7"/>
  <c r="BV10" i="7"/>
  <c r="BV9" i="7"/>
  <c r="BV7" i="7"/>
  <c r="BV8" i="7"/>
  <c r="BV11" i="7"/>
  <c r="BV12" i="7"/>
  <c r="BV15" i="7"/>
  <c r="BV14" i="7"/>
  <c r="BV13" i="7"/>
  <c r="BV16" i="7"/>
  <c r="BV17" i="7"/>
  <c r="BW1" i="7"/>
  <c r="BV3" i="7"/>
  <c r="BW18" i="7" l="1"/>
  <c r="BW20" i="7"/>
  <c r="BW21" i="7"/>
  <c r="BW19" i="7"/>
  <c r="BW22" i="7"/>
  <c r="BW5" i="7"/>
  <c r="BW6" i="7"/>
  <c r="BW8" i="7"/>
  <c r="BW4" i="7"/>
  <c r="BW9" i="7"/>
  <c r="BW11" i="7"/>
  <c r="BW7" i="7"/>
  <c r="BW10" i="7"/>
  <c r="BW17" i="7"/>
  <c r="BW14" i="7"/>
  <c r="BW12" i="7"/>
  <c r="BW15" i="7"/>
  <c r="BW13" i="7"/>
  <c r="BW16" i="7"/>
  <c r="BX1" i="7"/>
  <c r="BW3" i="7"/>
  <c r="BX22" i="7" l="1"/>
  <c r="BX19" i="7"/>
  <c r="BX21" i="7"/>
  <c r="BX18" i="7"/>
  <c r="BX20" i="7"/>
  <c r="BX4" i="7"/>
  <c r="BX5" i="7"/>
  <c r="BX6" i="7"/>
  <c r="BX7" i="7"/>
  <c r="BX8" i="7"/>
  <c r="BX10" i="7"/>
  <c r="BX14" i="7"/>
  <c r="BX13" i="7"/>
  <c r="BX12" i="7"/>
  <c r="BX11" i="7"/>
  <c r="BX15" i="7"/>
  <c r="BX9" i="7"/>
  <c r="BX16" i="7"/>
  <c r="BX17" i="7"/>
  <c r="BY1" i="7"/>
  <c r="BX3" i="7"/>
  <c r="BY20" i="7" l="1"/>
  <c r="BY22" i="7"/>
  <c r="BY18" i="7"/>
  <c r="BY19" i="7"/>
  <c r="BY21" i="7"/>
  <c r="BY4" i="7"/>
  <c r="BY5" i="7"/>
  <c r="BY6" i="7"/>
  <c r="BY9" i="7"/>
  <c r="BY8" i="7"/>
  <c r="BY7" i="7"/>
  <c r="BY10" i="7"/>
  <c r="BY12" i="7"/>
  <c r="BY11" i="7"/>
  <c r="BY14" i="7"/>
  <c r="BY17" i="7"/>
  <c r="BY15" i="7"/>
  <c r="BY13" i="7"/>
  <c r="BY16" i="7"/>
  <c r="BZ1" i="7"/>
  <c r="BY3" i="7"/>
  <c r="BZ22" i="7" l="1"/>
  <c r="BZ20" i="7"/>
  <c r="BZ21" i="7"/>
  <c r="BZ18" i="7"/>
  <c r="BZ19" i="7"/>
  <c r="BZ4" i="7"/>
  <c r="BZ5" i="7"/>
  <c r="BZ7" i="7"/>
  <c r="BZ6" i="7"/>
  <c r="BZ11" i="7"/>
  <c r="BZ8" i="7"/>
  <c r="BZ9" i="7"/>
  <c r="BZ10" i="7"/>
  <c r="BZ12" i="7"/>
  <c r="BZ15" i="7"/>
  <c r="BZ13" i="7"/>
  <c r="BZ16" i="7"/>
  <c r="BZ14" i="7"/>
  <c r="BZ17" i="7"/>
  <c r="CA1" i="7"/>
  <c r="BZ3" i="7"/>
  <c r="CA18" i="7" l="1"/>
  <c r="CA20" i="7"/>
  <c r="CA21" i="7"/>
  <c r="CA22" i="7"/>
  <c r="CA19" i="7"/>
  <c r="CA4" i="7"/>
  <c r="CA6" i="7"/>
  <c r="CA8" i="7"/>
  <c r="CA7" i="7"/>
  <c r="CA16" i="7"/>
  <c r="CA11" i="7"/>
  <c r="CA9" i="7"/>
  <c r="CA10" i="7"/>
  <c r="CA5" i="7"/>
  <c r="CA13" i="7"/>
  <c r="CA17" i="7"/>
  <c r="CA12" i="7"/>
  <c r="CA15" i="7"/>
  <c r="CA14" i="7"/>
  <c r="CB1" i="7"/>
  <c r="CA3" i="7"/>
  <c r="CB18" i="7" l="1"/>
  <c r="CB19" i="7"/>
  <c r="CB21" i="7"/>
  <c r="CB22" i="7"/>
  <c r="CB20" i="7"/>
  <c r="CB5" i="7"/>
  <c r="CB6" i="7"/>
  <c r="CB4" i="7"/>
  <c r="CB8" i="7"/>
  <c r="CB7" i="7"/>
  <c r="CB12" i="7"/>
  <c r="CB15" i="7"/>
  <c r="CB9" i="7"/>
  <c r="CB10" i="7"/>
  <c r="CB13" i="7"/>
  <c r="CB17" i="7"/>
  <c r="CB11" i="7"/>
  <c r="CB16" i="7"/>
  <c r="CB14" i="7"/>
  <c r="CC1" i="7"/>
  <c r="CB3" i="7"/>
  <c r="CC18" i="7" l="1"/>
  <c r="CC19" i="7"/>
  <c r="CC21" i="7"/>
  <c r="CC22" i="7"/>
  <c r="CC20" i="7"/>
  <c r="CC4" i="7"/>
  <c r="CC5" i="7"/>
  <c r="CC7" i="7"/>
  <c r="CC8" i="7"/>
  <c r="CC9" i="7"/>
  <c r="CC6" i="7"/>
  <c r="CC14" i="7"/>
  <c r="CC10" i="7"/>
  <c r="CC12" i="7"/>
  <c r="CC15" i="7"/>
  <c r="CC11" i="7"/>
  <c r="CC17" i="7"/>
  <c r="CC16" i="7"/>
  <c r="CC13" i="7"/>
  <c r="CD1" i="7"/>
  <c r="CC3" i="7"/>
  <c r="CD21" i="7" l="1"/>
  <c r="CD20" i="7"/>
  <c r="CD18" i="7"/>
  <c r="CD22" i="7"/>
  <c r="CD19" i="7"/>
  <c r="CD4" i="7"/>
  <c r="CD7" i="7"/>
  <c r="CD8" i="7"/>
  <c r="CD6" i="7"/>
  <c r="CD5" i="7"/>
  <c r="CD9" i="7"/>
  <c r="CD10" i="7"/>
  <c r="CD13" i="7"/>
  <c r="CD12" i="7"/>
  <c r="CD14" i="7"/>
  <c r="CD17" i="7"/>
  <c r="CD15" i="7"/>
  <c r="CD16" i="7"/>
  <c r="CD11" i="7"/>
  <c r="CE1" i="7"/>
  <c r="CD3" i="7"/>
  <c r="CE18" i="7" l="1"/>
  <c r="CE21" i="7"/>
  <c r="CE20" i="7"/>
  <c r="CE22" i="7"/>
  <c r="CE19" i="7"/>
  <c r="CE6" i="7"/>
  <c r="CE4" i="7"/>
  <c r="CE7" i="7"/>
  <c r="CE8" i="7"/>
  <c r="CE5" i="7"/>
  <c r="CE12" i="7"/>
  <c r="CE11" i="7"/>
  <c r="CE9" i="7"/>
  <c r="CE13" i="7"/>
  <c r="CE10" i="7"/>
  <c r="CE16" i="7"/>
  <c r="CE14" i="7"/>
  <c r="CE15" i="7"/>
  <c r="CE17" i="7"/>
  <c r="CF1" i="7"/>
  <c r="CE3" i="7"/>
  <c r="CF18" i="7" l="1"/>
  <c r="CF19" i="7"/>
  <c r="CF22" i="7"/>
  <c r="CF21" i="7"/>
  <c r="CF20" i="7"/>
  <c r="CF5" i="7"/>
  <c r="CF6" i="7"/>
  <c r="CF4" i="7"/>
  <c r="CF12" i="7"/>
  <c r="CF9" i="7"/>
  <c r="CF7" i="7"/>
  <c r="CF16" i="7"/>
  <c r="CF8" i="7"/>
  <c r="CF13" i="7"/>
  <c r="CF11" i="7"/>
  <c r="CF14" i="7"/>
  <c r="CF15" i="7"/>
  <c r="CF17" i="7"/>
  <c r="CF10" i="7"/>
  <c r="CG1" i="7"/>
  <c r="CF3" i="7"/>
  <c r="CG19" i="7" l="1"/>
  <c r="CG18" i="7"/>
  <c r="CG20" i="7"/>
  <c r="CG22" i="7"/>
  <c r="CG21" i="7"/>
  <c r="CG4" i="7"/>
  <c r="CG5" i="7"/>
  <c r="CG6" i="7"/>
  <c r="CG11" i="7"/>
  <c r="CG7" i="7"/>
  <c r="CG9" i="7"/>
  <c r="CG10" i="7"/>
  <c r="CG12" i="7"/>
  <c r="CG8" i="7"/>
  <c r="CG14" i="7"/>
  <c r="CG16" i="7"/>
  <c r="CG13" i="7"/>
  <c r="CG15" i="7"/>
  <c r="CG17" i="7"/>
  <c r="CH1" i="7"/>
  <c r="CG3" i="7"/>
  <c r="CH21" i="7" l="1"/>
  <c r="CH18" i="7"/>
  <c r="CH20" i="7"/>
  <c r="CH19" i="7"/>
  <c r="CH22" i="7"/>
  <c r="CH4" i="7"/>
  <c r="CH6" i="7"/>
  <c r="CH5" i="7"/>
  <c r="CH9" i="7"/>
  <c r="CH10" i="7"/>
  <c r="CH7" i="7"/>
  <c r="CH8" i="7"/>
  <c r="CH11" i="7"/>
  <c r="CH14" i="7"/>
  <c r="CH12" i="7"/>
  <c r="CH16" i="7"/>
  <c r="CH13" i="7"/>
  <c r="CH15" i="7"/>
  <c r="CH17" i="7"/>
  <c r="CI1" i="7"/>
  <c r="CH3" i="7"/>
  <c r="CI18" i="7" l="1"/>
  <c r="CI19" i="7"/>
  <c r="CI21" i="7"/>
  <c r="CI22" i="7"/>
  <c r="CI20" i="7"/>
  <c r="CI5" i="7"/>
  <c r="CI6" i="7"/>
  <c r="CI4" i="7"/>
  <c r="CI8" i="7"/>
  <c r="CI9" i="7"/>
  <c r="CI10" i="7"/>
  <c r="CI11" i="7"/>
  <c r="CI17" i="7"/>
  <c r="CI15" i="7"/>
  <c r="CI7" i="7"/>
  <c r="CI12" i="7"/>
  <c r="CI16" i="7"/>
  <c r="CI13" i="7"/>
  <c r="CI14" i="7"/>
  <c r="CJ1" i="7"/>
  <c r="CI3" i="7"/>
  <c r="CJ20" i="7" l="1"/>
  <c r="CJ21" i="7"/>
  <c r="CJ18" i="7"/>
  <c r="CJ19" i="7"/>
  <c r="CJ22" i="7"/>
  <c r="CJ4" i="7"/>
  <c r="CJ5" i="7"/>
  <c r="CJ7" i="7"/>
  <c r="CJ6" i="7"/>
  <c r="CJ8" i="7"/>
  <c r="CJ9" i="7"/>
  <c r="CJ11" i="7"/>
  <c r="CJ10" i="7"/>
  <c r="CJ14" i="7"/>
  <c r="CJ15" i="7"/>
  <c r="CJ12" i="7"/>
  <c r="CJ16" i="7"/>
  <c r="CJ17" i="7"/>
  <c r="CJ13" i="7"/>
  <c r="CK1" i="7"/>
  <c r="CJ3" i="7"/>
  <c r="CK22" i="7" l="1"/>
  <c r="CK18" i="7"/>
  <c r="CK20" i="7"/>
  <c r="CK19" i="7"/>
  <c r="CK21" i="7"/>
  <c r="CK4" i="7"/>
  <c r="CK5" i="7"/>
  <c r="CK6" i="7"/>
  <c r="CK7" i="7"/>
  <c r="CK9" i="7"/>
  <c r="CK10" i="7"/>
  <c r="CK8" i="7"/>
  <c r="CK14" i="7"/>
  <c r="CK13" i="7"/>
  <c r="CK11" i="7"/>
  <c r="CK15" i="7"/>
  <c r="CK12" i="7"/>
  <c r="CK17" i="7"/>
  <c r="CK16" i="7"/>
  <c r="CL1" i="7"/>
  <c r="CK3" i="7"/>
  <c r="CL21" i="7" l="1"/>
  <c r="CL18" i="7"/>
  <c r="CL22" i="7"/>
  <c r="CL20" i="7"/>
  <c r="CL19" i="7"/>
  <c r="CL4" i="7"/>
  <c r="CL5" i="7"/>
  <c r="CL7" i="7"/>
  <c r="CL9" i="7"/>
  <c r="CL6" i="7"/>
  <c r="CL8" i="7"/>
  <c r="CL11" i="7"/>
  <c r="CL12" i="7"/>
  <c r="CL10" i="7"/>
  <c r="CL13" i="7"/>
  <c r="CL15" i="7"/>
  <c r="CL17" i="7"/>
  <c r="CL16" i="7"/>
  <c r="CL14" i="7"/>
  <c r="CM1" i="7"/>
  <c r="CL3" i="7"/>
  <c r="CM21" i="7" l="1"/>
  <c r="CM20" i="7"/>
  <c r="CM18" i="7"/>
  <c r="CM22" i="7"/>
  <c r="CM19" i="7"/>
  <c r="CM4" i="7"/>
  <c r="CM6" i="7"/>
  <c r="CM5" i="7"/>
  <c r="CM7" i="7"/>
  <c r="CM16" i="7"/>
  <c r="CM9" i="7"/>
  <c r="CM11" i="7"/>
  <c r="CM10" i="7"/>
  <c r="CM8" i="7"/>
  <c r="CM15" i="7"/>
  <c r="CM13" i="7"/>
  <c r="CM14" i="7"/>
  <c r="CM12" i="7"/>
  <c r="CM17" i="7"/>
  <c r="CN1" i="7"/>
  <c r="CM3" i="7"/>
  <c r="CN22" i="7" l="1"/>
  <c r="CN21" i="7"/>
  <c r="CN18" i="7"/>
  <c r="CN20" i="7"/>
  <c r="CN19" i="7"/>
  <c r="CN5" i="7"/>
  <c r="CN6" i="7"/>
  <c r="CN8" i="7"/>
  <c r="CN4" i="7"/>
  <c r="CN7" i="7"/>
  <c r="CN15" i="7"/>
  <c r="CN9" i="7"/>
  <c r="CN11" i="7"/>
  <c r="CN10" i="7"/>
  <c r="CN12" i="7"/>
  <c r="CN13" i="7"/>
  <c r="CN17" i="7"/>
  <c r="CN14" i="7"/>
  <c r="CN16" i="7"/>
  <c r="CO1" i="7"/>
  <c r="CN3" i="7"/>
  <c r="CO19" i="7" l="1"/>
  <c r="CO22" i="7"/>
  <c r="CO21" i="7"/>
  <c r="CO20" i="7"/>
  <c r="CO18" i="7"/>
  <c r="CO4" i="7"/>
  <c r="CO5" i="7"/>
  <c r="CO7" i="7"/>
  <c r="CO8" i="7"/>
  <c r="CO9" i="7"/>
  <c r="CO6" i="7"/>
  <c r="CO12" i="7"/>
  <c r="CO14" i="7"/>
  <c r="CO10" i="7"/>
  <c r="CO13" i="7"/>
  <c r="CO11" i="7"/>
  <c r="CO17" i="7"/>
  <c r="CO15" i="7"/>
  <c r="CO16" i="7"/>
  <c r="CP1" i="7"/>
  <c r="CO3" i="7"/>
  <c r="CP19" i="7" l="1"/>
  <c r="CP21" i="7"/>
  <c r="CP18" i="7"/>
  <c r="CP22" i="7"/>
  <c r="CP20" i="7"/>
  <c r="CP4" i="7"/>
  <c r="CP6" i="7"/>
  <c r="CP7" i="7"/>
  <c r="CP8" i="7"/>
  <c r="CP5" i="7"/>
  <c r="CP13" i="7"/>
  <c r="CP9" i="7"/>
  <c r="CP10" i="7"/>
  <c r="CP11" i="7"/>
  <c r="CP15" i="7"/>
  <c r="CP12" i="7"/>
  <c r="CP14" i="7"/>
  <c r="CP17" i="7"/>
  <c r="CP16" i="7"/>
  <c r="CQ1" i="7"/>
  <c r="CP3" i="7"/>
  <c r="CQ20" i="7" l="1"/>
  <c r="CQ21" i="7"/>
  <c r="CQ22" i="7"/>
  <c r="CQ18" i="7"/>
  <c r="CQ19" i="7"/>
  <c r="CQ6" i="7"/>
  <c r="CQ5" i="7"/>
  <c r="CQ7" i="7"/>
  <c r="CQ4" i="7"/>
  <c r="CQ8" i="7"/>
  <c r="CQ10" i="7"/>
  <c r="CQ9" i="7"/>
  <c r="CQ12" i="7"/>
  <c r="CQ11" i="7"/>
  <c r="CQ14" i="7"/>
  <c r="CQ13" i="7"/>
  <c r="CQ17" i="7"/>
  <c r="CQ16" i="7"/>
  <c r="CQ15" i="7"/>
  <c r="CR1" i="7"/>
  <c r="CQ3" i="7"/>
  <c r="CR18" i="7" l="1"/>
  <c r="CR19" i="7"/>
  <c r="CR20" i="7"/>
  <c r="CR22" i="7"/>
  <c r="CR21" i="7"/>
  <c r="CR5" i="7"/>
  <c r="CR6" i="7"/>
  <c r="CR12" i="7"/>
  <c r="CR4" i="7"/>
  <c r="CR9" i="7"/>
  <c r="CR8" i="7"/>
  <c r="CR7" i="7"/>
  <c r="CR11" i="7"/>
  <c r="CR13" i="7"/>
  <c r="CR10" i="7"/>
  <c r="CR14" i="7"/>
  <c r="CR17" i="7"/>
  <c r="CR15" i="7"/>
  <c r="CR16" i="7"/>
  <c r="CS1" i="7"/>
  <c r="CR3" i="7"/>
  <c r="CS20" i="7" l="1"/>
  <c r="CS18" i="7"/>
  <c r="CS19" i="7"/>
  <c r="CS21" i="7"/>
  <c r="CS22" i="7"/>
  <c r="CS4" i="7"/>
  <c r="CS5" i="7"/>
  <c r="CS6" i="7"/>
  <c r="CS8" i="7"/>
  <c r="CS11" i="7"/>
  <c r="CS12" i="7"/>
  <c r="CS7" i="7"/>
  <c r="CS16" i="7"/>
  <c r="CS13" i="7"/>
  <c r="CS10" i="7"/>
  <c r="CS14" i="7"/>
  <c r="CS9" i="7"/>
  <c r="CS17" i="7"/>
  <c r="CS15" i="7"/>
  <c r="CT1" i="7"/>
  <c r="CS3" i="7"/>
  <c r="CT21" i="7" l="1"/>
  <c r="CT20" i="7"/>
  <c r="CT18" i="7"/>
  <c r="CT19" i="7"/>
  <c r="CT22" i="7"/>
  <c r="CT4" i="7"/>
  <c r="CT6" i="7"/>
  <c r="CT5" i="7"/>
  <c r="CT10" i="7"/>
  <c r="CT8" i="7"/>
  <c r="CT12" i="7"/>
  <c r="CT9" i="7"/>
  <c r="CT7" i="7"/>
  <c r="CT14" i="7"/>
  <c r="CT16" i="7"/>
  <c r="CT13" i="7"/>
  <c r="CT15" i="7"/>
  <c r="CT17" i="7"/>
  <c r="CT11" i="7"/>
  <c r="CU1" i="7"/>
  <c r="CT3" i="7"/>
  <c r="CU18" i="7" l="1"/>
  <c r="CU22" i="7"/>
  <c r="CU20" i="7"/>
  <c r="CU19" i="7"/>
  <c r="CU21" i="7"/>
  <c r="CU5" i="7"/>
  <c r="CU6" i="7"/>
  <c r="CU8" i="7"/>
  <c r="CU4" i="7"/>
  <c r="CU7" i="7"/>
  <c r="CU10" i="7"/>
  <c r="CU9" i="7"/>
  <c r="CU11" i="7"/>
  <c r="CU14" i="7"/>
  <c r="CU17" i="7"/>
  <c r="CU16" i="7"/>
  <c r="CU13" i="7"/>
  <c r="CU15" i="7"/>
  <c r="CU12" i="7"/>
  <c r="CV1" i="7"/>
  <c r="CU3" i="7"/>
  <c r="CV18" i="7" l="1"/>
  <c r="CV20" i="7"/>
  <c r="CV19" i="7"/>
  <c r="CV22" i="7"/>
  <c r="CV21" i="7"/>
  <c r="CV4" i="7"/>
  <c r="CV5" i="7"/>
  <c r="CV6" i="7"/>
  <c r="CV7" i="7"/>
  <c r="CV9" i="7"/>
  <c r="CV8" i="7"/>
  <c r="CV10" i="7"/>
  <c r="CV11" i="7"/>
  <c r="CV12" i="7"/>
  <c r="CV16" i="7"/>
  <c r="CV13" i="7"/>
  <c r="CV15" i="7"/>
  <c r="CV14" i="7"/>
  <c r="CV17" i="7"/>
  <c r="CW1" i="7"/>
  <c r="CV3" i="7"/>
  <c r="CW20" i="7" l="1"/>
  <c r="CW18" i="7"/>
  <c r="CW19" i="7"/>
  <c r="CW21" i="7"/>
  <c r="CW22" i="7"/>
  <c r="CW4" i="7"/>
  <c r="CW5" i="7"/>
  <c r="CW8" i="7"/>
  <c r="CW11" i="7"/>
  <c r="CW6" i="7"/>
  <c r="CW10" i="7"/>
  <c r="CW9" i="7"/>
  <c r="CW7" i="7"/>
  <c r="CW14" i="7"/>
  <c r="CW12" i="7"/>
  <c r="CW16" i="7"/>
  <c r="CW17" i="7"/>
  <c r="CW13" i="7"/>
  <c r="CW15" i="7"/>
  <c r="CX1" i="7"/>
  <c r="CW3" i="7"/>
  <c r="CX18" i="7" l="1"/>
  <c r="CX22" i="7"/>
  <c r="CX21" i="7"/>
  <c r="CX19" i="7"/>
  <c r="CX20" i="7"/>
  <c r="CX4" i="7"/>
  <c r="CX5" i="7"/>
  <c r="CX7" i="7"/>
  <c r="CX9" i="7"/>
  <c r="CX8" i="7"/>
  <c r="CX6" i="7"/>
  <c r="CX10" i="7"/>
  <c r="CX14" i="7"/>
  <c r="CX13" i="7"/>
  <c r="CX15" i="7"/>
  <c r="CX16" i="7"/>
  <c r="CX12" i="7"/>
  <c r="CX11" i="7"/>
  <c r="CX17" i="7"/>
  <c r="CY1" i="7"/>
  <c r="CX3" i="7"/>
  <c r="CY21" i="7" l="1"/>
  <c r="CY18" i="7"/>
  <c r="CY22" i="7"/>
  <c r="CY20" i="7"/>
  <c r="CY19" i="7"/>
  <c r="CY4" i="7"/>
  <c r="CY6" i="7"/>
  <c r="CY9" i="7"/>
  <c r="CY5" i="7"/>
  <c r="CY7" i="7"/>
  <c r="CY16" i="7"/>
  <c r="CY8" i="7"/>
  <c r="CY10" i="7"/>
  <c r="CY15" i="7"/>
  <c r="CY11" i="7"/>
  <c r="CY12" i="7"/>
  <c r="CY17" i="7"/>
  <c r="CY14" i="7"/>
  <c r="CY13" i="7"/>
  <c r="CZ1" i="7"/>
  <c r="CY3" i="7"/>
  <c r="CZ22" i="7" l="1"/>
  <c r="CZ18" i="7"/>
  <c r="CZ21" i="7"/>
  <c r="CZ19" i="7"/>
  <c r="CZ20" i="7"/>
  <c r="CZ5" i="7"/>
  <c r="CZ6" i="7"/>
  <c r="CZ8" i="7"/>
  <c r="CZ4" i="7"/>
  <c r="CZ9" i="7"/>
  <c r="CZ7" i="7"/>
  <c r="CZ15" i="7"/>
  <c r="CZ11" i="7"/>
  <c r="CZ10" i="7"/>
  <c r="CZ13" i="7"/>
  <c r="CZ12" i="7"/>
  <c r="CZ14" i="7"/>
  <c r="CZ16" i="7"/>
  <c r="CZ17" i="7"/>
  <c r="DA1" i="7"/>
  <c r="CZ3" i="7"/>
  <c r="DA22" i="7" l="1"/>
  <c r="DA19" i="7"/>
  <c r="DA18" i="7"/>
  <c r="DA21" i="7"/>
  <c r="DA20" i="7"/>
  <c r="DA4" i="7"/>
  <c r="DA5" i="7"/>
  <c r="DA7" i="7"/>
  <c r="DA8" i="7"/>
  <c r="DA9" i="7"/>
  <c r="DA6" i="7"/>
  <c r="DA14" i="7"/>
  <c r="DA11" i="7"/>
  <c r="DA10" i="7"/>
  <c r="DA15" i="7"/>
  <c r="DA13" i="7"/>
  <c r="DA17" i="7"/>
  <c r="DA12" i="7"/>
  <c r="DA16" i="7"/>
  <c r="DB1" i="7"/>
  <c r="DA3" i="7"/>
  <c r="DB21" i="7" l="1"/>
  <c r="DB18" i="7"/>
  <c r="DB19" i="7"/>
  <c r="DB22" i="7"/>
  <c r="DB20" i="7"/>
  <c r="DB4" i="7"/>
  <c r="DB7" i="7"/>
  <c r="DB8" i="7"/>
  <c r="DB5" i="7"/>
  <c r="DB6" i="7"/>
  <c r="DB12" i="7"/>
  <c r="DB13" i="7"/>
  <c r="DB10" i="7"/>
  <c r="DB9" i="7"/>
  <c r="DB17" i="7"/>
  <c r="DB15" i="7"/>
  <c r="DB14" i="7"/>
  <c r="DB11" i="7"/>
  <c r="DB16" i="7"/>
  <c r="DC1" i="7"/>
  <c r="DB3" i="7"/>
  <c r="DC21" i="7" l="1"/>
  <c r="DC18" i="7"/>
  <c r="DC22" i="7"/>
  <c r="DC19" i="7"/>
  <c r="DC20" i="7"/>
  <c r="DC6" i="7"/>
  <c r="DC7" i="7"/>
  <c r="DC4" i="7"/>
  <c r="DC8" i="7"/>
  <c r="DC5" i="7"/>
  <c r="DC9" i="7"/>
  <c r="DC10" i="7"/>
  <c r="DC13" i="7"/>
  <c r="DC15" i="7"/>
  <c r="DC11" i="7"/>
  <c r="DC12" i="7"/>
  <c r="DC17" i="7"/>
  <c r="DC16" i="7"/>
  <c r="DC14" i="7"/>
  <c r="DD1" i="7"/>
  <c r="DC3" i="7"/>
  <c r="DD20" i="7" l="1"/>
  <c r="DD21" i="7"/>
  <c r="DD18" i="7"/>
  <c r="DD22" i="7"/>
  <c r="DD19" i="7"/>
  <c r="DD5" i="7"/>
  <c r="DD6" i="7"/>
  <c r="DD4" i="7"/>
  <c r="DD7" i="7"/>
  <c r="DD12" i="7"/>
  <c r="DD10" i="7"/>
  <c r="DD9" i="7"/>
  <c r="DD8" i="7"/>
  <c r="DD14" i="7"/>
  <c r="DD15" i="7"/>
  <c r="DD17" i="7"/>
  <c r="DD11" i="7"/>
  <c r="DD16" i="7"/>
  <c r="DD13" i="7"/>
  <c r="DE1" i="7"/>
  <c r="DD3" i="7"/>
  <c r="DE18" i="7" l="1"/>
  <c r="DE19" i="7"/>
  <c r="DE21" i="7"/>
  <c r="DE20" i="7"/>
  <c r="DE22" i="7"/>
  <c r="DE4" i="7"/>
  <c r="DE5" i="7"/>
  <c r="DE6" i="7"/>
  <c r="DE11" i="7"/>
  <c r="DE7" i="7"/>
  <c r="DE8" i="7"/>
  <c r="DE13" i="7"/>
  <c r="DE9" i="7"/>
  <c r="DE12" i="7"/>
  <c r="DE10" i="7"/>
  <c r="DE15" i="7"/>
  <c r="DE14" i="7"/>
  <c r="DE16" i="7"/>
  <c r="DE17" i="7"/>
  <c r="DF1" i="7"/>
  <c r="DE3" i="7"/>
  <c r="DF19" i="7" l="1"/>
  <c r="DF20" i="7"/>
  <c r="DF18" i="7"/>
  <c r="DF21" i="7"/>
  <c r="DF22" i="7"/>
  <c r="DF4" i="7"/>
  <c r="DF6" i="7"/>
  <c r="DF5" i="7"/>
  <c r="DF7" i="7"/>
  <c r="DF10" i="7"/>
  <c r="DF8" i="7"/>
  <c r="DF9" i="7"/>
  <c r="DF12" i="7"/>
  <c r="DF11" i="7"/>
  <c r="DF16" i="7"/>
  <c r="DF13" i="7"/>
  <c r="DF14" i="7"/>
  <c r="DF15" i="7"/>
  <c r="DF17" i="7"/>
  <c r="DG1" i="7"/>
  <c r="DF3" i="7"/>
  <c r="DG18" i="7" l="1"/>
  <c r="DG19" i="7"/>
  <c r="DG20" i="7"/>
  <c r="DG21" i="7"/>
  <c r="DG22" i="7"/>
  <c r="DG5" i="7"/>
  <c r="DG6" i="7"/>
  <c r="DG8" i="7"/>
  <c r="DG7" i="7"/>
  <c r="DG4" i="7"/>
  <c r="DG9" i="7"/>
  <c r="DG12" i="7"/>
  <c r="DG17" i="7"/>
  <c r="DG10" i="7"/>
  <c r="DG11" i="7"/>
  <c r="DG14" i="7"/>
  <c r="DG13" i="7"/>
  <c r="DG16" i="7"/>
  <c r="DG15" i="7"/>
  <c r="DH1" i="7"/>
  <c r="DG3" i="7"/>
  <c r="DH21" i="7" l="1"/>
  <c r="DH19" i="7"/>
  <c r="DH20" i="7"/>
  <c r="DH22" i="7"/>
  <c r="DH18" i="7"/>
  <c r="DH4" i="7"/>
  <c r="DH5" i="7"/>
  <c r="DH7" i="7"/>
  <c r="DH6" i="7"/>
  <c r="DH10" i="7"/>
  <c r="DH9" i="7"/>
  <c r="DH8" i="7"/>
  <c r="DH11" i="7"/>
  <c r="DH14" i="7"/>
  <c r="DH12" i="7"/>
  <c r="DH16" i="7"/>
  <c r="DH13" i="7"/>
  <c r="DH15" i="7"/>
  <c r="DH17" i="7"/>
  <c r="DI1" i="7"/>
  <c r="DH3" i="7"/>
  <c r="DI18" i="7" l="1"/>
  <c r="DI20" i="7"/>
  <c r="DI22" i="7"/>
  <c r="DI19" i="7"/>
  <c r="DI21" i="7"/>
  <c r="DI4" i="7"/>
  <c r="DI5" i="7"/>
  <c r="DI6" i="7"/>
  <c r="DI7" i="7"/>
  <c r="DI8" i="7"/>
  <c r="DI10" i="7"/>
  <c r="DI9" i="7"/>
  <c r="DI11" i="7"/>
  <c r="DI12" i="7"/>
  <c r="DI14" i="7"/>
  <c r="DI16" i="7"/>
  <c r="DI15" i="7"/>
  <c r="DI13" i="7"/>
  <c r="DI17" i="7"/>
  <c r="DJ1" i="7"/>
  <c r="DI3" i="7"/>
  <c r="DJ19" i="7" l="1"/>
  <c r="DJ18" i="7"/>
  <c r="DJ20" i="7"/>
  <c r="DJ21" i="7"/>
  <c r="DJ22" i="7"/>
  <c r="DJ4" i="7"/>
  <c r="DJ5" i="7"/>
  <c r="DJ7" i="7"/>
  <c r="DJ9" i="7"/>
  <c r="DJ6" i="7"/>
  <c r="DJ8" i="7"/>
  <c r="DJ11" i="7"/>
  <c r="DJ10" i="7"/>
  <c r="DJ12" i="7"/>
  <c r="DJ14" i="7"/>
  <c r="DJ16" i="7"/>
  <c r="DJ17" i="7"/>
  <c r="DJ15" i="7"/>
  <c r="DJ13" i="7"/>
  <c r="DK1" i="7"/>
  <c r="DJ3" i="7"/>
  <c r="DK21" i="7" l="1"/>
  <c r="DK20" i="7"/>
  <c r="DK22" i="7"/>
  <c r="DK18" i="7"/>
  <c r="DK19" i="7"/>
  <c r="DK4" i="7"/>
  <c r="DK6" i="7"/>
  <c r="DK8" i="7"/>
  <c r="DK7" i="7"/>
  <c r="DK5" i="7"/>
  <c r="DK16" i="7"/>
  <c r="DK9" i="7"/>
  <c r="DK10" i="7"/>
  <c r="DK14" i="7"/>
  <c r="DK13" i="7"/>
  <c r="DK11" i="7"/>
  <c r="DK12" i="7"/>
  <c r="DK15" i="7"/>
  <c r="DK17" i="7"/>
  <c r="DL1" i="7"/>
  <c r="DK3" i="7"/>
  <c r="DL18" i="7" l="1"/>
  <c r="DL22" i="7"/>
  <c r="DL21" i="7"/>
  <c r="DL19" i="7"/>
  <c r="DL20" i="7"/>
  <c r="DL5" i="7"/>
  <c r="DL6" i="7"/>
  <c r="DL4" i="7"/>
  <c r="DL8" i="7"/>
  <c r="DL9" i="7"/>
  <c r="DL15" i="7"/>
  <c r="DL7" i="7"/>
  <c r="DL11" i="7"/>
  <c r="DL12" i="7"/>
  <c r="DL10" i="7"/>
  <c r="DL13" i="7"/>
  <c r="DL14" i="7"/>
  <c r="DL16" i="7"/>
  <c r="DL17" i="7"/>
  <c r="DM1" i="7"/>
  <c r="DL3" i="7"/>
  <c r="DM20" i="7" l="1"/>
  <c r="DM18" i="7"/>
  <c r="DM21" i="7"/>
  <c r="DM22" i="7"/>
  <c r="DM19" i="7"/>
  <c r="DM4" i="7"/>
  <c r="DM5" i="7"/>
  <c r="DM7" i="7"/>
  <c r="DM9" i="7"/>
  <c r="DM6" i="7"/>
  <c r="DM14" i="7"/>
  <c r="DM11" i="7"/>
  <c r="DM8" i="7"/>
  <c r="DM10" i="7"/>
  <c r="DM12" i="7"/>
  <c r="DM13" i="7"/>
  <c r="DM16" i="7"/>
  <c r="DM17" i="7"/>
  <c r="DM15" i="7"/>
  <c r="DN1" i="7"/>
  <c r="DM3" i="7"/>
  <c r="DN22" i="7" l="1"/>
  <c r="DN21" i="7"/>
  <c r="DN19" i="7"/>
  <c r="DN18" i="7"/>
  <c r="DN20" i="7"/>
  <c r="DN4" i="7"/>
  <c r="DN6" i="7"/>
  <c r="DN7" i="7"/>
  <c r="DN8" i="7"/>
  <c r="DN5" i="7"/>
  <c r="DN9" i="7"/>
  <c r="DN13" i="7"/>
  <c r="DN11" i="7"/>
  <c r="DN10" i="7"/>
  <c r="DN15" i="7"/>
  <c r="DN17" i="7"/>
  <c r="DN12" i="7"/>
  <c r="DN14" i="7"/>
  <c r="DN16" i="7"/>
  <c r="DO1" i="7"/>
  <c r="DN3" i="7"/>
  <c r="DO21" i="7" l="1"/>
  <c r="DO18" i="7"/>
  <c r="DO22" i="7"/>
  <c r="DO20" i="7"/>
  <c r="DO19" i="7"/>
  <c r="DO6" i="7"/>
  <c r="DO4" i="7"/>
  <c r="DO5" i="7"/>
  <c r="DO7" i="7"/>
  <c r="DO8" i="7"/>
  <c r="DO9" i="7"/>
  <c r="DO12" i="7"/>
  <c r="DO10" i="7"/>
  <c r="DO11" i="7"/>
  <c r="DO13" i="7"/>
  <c r="DO15" i="7"/>
  <c r="DO17" i="7"/>
  <c r="DO14" i="7"/>
  <c r="DO16" i="7"/>
  <c r="DP1" i="7"/>
  <c r="DO3" i="7"/>
  <c r="DP22" i="7" l="1"/>
  <c r="DP18" i="7"/>
  <c r="DP21" i="7"/>
  <c r="DP19" i="7"/>
  <c r="DP20" i="7"/>
  <c r="DP5" i="7"/>
  <c r="DP6" i="7"/>
  <c r="DP4" i="7"/>
  <c r="DP12" i="7"/>
  <c r="DP8" i="7"/>
  <c r="DP7" i="7"/>
  <c r="DP10" i="7"/>
  <c r="DP13" i="7"/>
  <c r="DP11" i="7"/>
  <c r="DP15" i="7"/>
  <c r="DP9" i="7"/>
  <c r="DP17" i="7"/>
  <c r="DP14" i="7"/>
  <c r="DP16" i="7"/>
  <c r="DQ1" i="7"/>
  <c r="DP3" i="7"/>
  <c r="DQ22" i="7" l="1"/>
  <c r="DQ18" i="7"/>
  <c r="DQ20" i="7"/>
  <c r="DQ21" i="7"/>
  <c r="DQ19" i="7"/>
  <c r="DQ4" i="7"/>
  <c r="DQ5" i="7"/>
  <c r="DQ6" i="7"/>
  <c r="DQ11" i="7"/>
  <c r="DQ10" i="7"/>
  <c r="DQ7" i="7"/>
  <c r="DQ9" i="7"/>
  <c r="DQ8" i="7"/>
  <c r="DQ14" i="7"/>
  <c r="DQ13" i="7"/>
  <c r="DQ15" i="7"/>
  <c r="DQ12" i="7"/>
  <c r="DQ17" i="7"/>
  <c r="DQ16" i="7"/>
  <c r="DR1" i="7"/>
  <c r="DQ3" i="7"/>
  <c r="DR18" i="7" l="1"/>
  <c r="DR21" i="7"/>
  <c r="DR20" i="7"/>
  <c r="DR19" i="7"/>
  <c r="DR22" i="7"/>
  <c r="DR4" i="7"/>
  <c r="DR6" i="7"/>
  <c r="DR5" i="7"/>
  <c r="DR8" i="7"/>
  <c r="DR10" i="7"/>
  <c r="DR7" i="7"/>
  <c r="DR9" i="7"/>
  <c r="DR13" i="7"/>
  <c r="DR11" i="7"/>
  <c r="DR15" i="7"/>
  <c r="DR12" i="7"/>
  <c r="DR17" i="7"/>
  <c r="DR14" i="7"/>
  <c r="DR16" i="7"/>
  <c r="DS1" i="7"/>
  <c r="DR3" i="7"/>
  <c r="DS18" i="7" l="1"/>
  <c r="DS20" i="7"/>
  <c r="DS22" i="7"/>
  <c r="DS19" i="7"/>
  <c r="DS21" i="7"/>
  <c r="DS5" i="7"/>
  <c r="DS6" i="7"/>
  <c r="DS4" i="7"/>
  <c r="DS7" i="7"/>
  <c r="DS12" i="7"/>
  <c r="DS8" i="7"/>
  <c r="DS11" i="7"/>
  <c r="DS9" i="7"/>
  <c r="DS10" i="7"/>
  <c r="DS16" i="7"/>
  <c r="DS17" i="7"/>
  <c r="DS13" i="7"/>
  <c r="DS15" i="7"/>
  <c r="DS14" i="7"/>
  <c r="DT1" i="7"/>
  <c r="DS3" i="7"/>
  <c r="DT19" i="7" l="1"/>
  <c r="DT20" i="7"/>
  <c r="DT18" i="7"/>
  <c r="DT21" i="7"/>
  <c r="DT22" i="7"/>
  <c r="DT4" i="7"/>
  <c r="DT5" i="7"/>
  <c r="DT6" i="7"/>
  <c r="DT7" i="7"/>
  <c r="DT9" i="7"/>
  <c r="DT12" i="7"/>
  <c r="DT8" i="7"/>
  <c r="DT10" i="7"/>
  <c r="DT14" i="7"/>
  <c r="DT13" i="7"/>
  <c r="DT15" i="7"/>
  <c r="DT16" i="7"/>
  <c r="DT17" i="7"/>
  <c r="DT11" i="7"/>
  <c r="DU1" i="7"/>
  <c r="DT3" i="7"/>
  <c r="DU20" i="7" l="1"/>
  <c r="DU19" i="7"/>
  <c r="DU18" i="7"/>
  <c r="DU22" i="7"/>
  <c r="DU21" i="7"/>
  <c r="DU4" i="7"/>
  <c r="DU5" i="7"/>
  <c r="DU6" i="7"/>
  <c r="DU10" i="7"/>
  <c r="DU7" i="7"/>
  <c r="DU8" i="7"/>
  <c r="DU11" i="7"/>
  <c r="DU9" i="7"/>
  <c r="DU14" i="7"/>
  <c r="DU13" i="7"/>
  <c r="DU15" i="7"/>
  <c r="DU12" i="7"/>
  <c r="DU17" i="7"/>
  <c r="DU16" i="7"/>
  <c r="DV1" i="7"/>
  <c r="DU3" i="7"/>
  <c r="DV18" i="7" l="1"/>
  <c r="DV20" i="7"/>
  <c r="DV19" i="7"/>
  <c r="DV21" i="7"/>
  <c r="DV22" i="7"/>
  <c r="DV4" i="7"/>
  <c r="DV5" i="7"/>
  <c r="DV7" i="7"/>
  <c r="DV6" i="7"/>
  <c r="DV8" i="7"/>
  <c r="DV9" i="7"/>
  <c r="DV10" i="7"/>
  <c r="DV11" i="7"/>
  <c r="DV12" i="7"/>
  <c r="DV16" i="7"/>
  <c r="DV13" i="7"/>
  <c r="DV15" i="7"/>
  <c r="DV17" i="7"/>
  <c r="DV14" i="7"/>
  <c r="DW1" i="7"/>
  <c r="DV3" i="7"/>
  <c r="DW21" i="7" l="1"/>
  <c r="DW20" i="7"/>
  <c r="DW18" i="7"/>
  <c r="DW19" i="7"/>
  <c r="DW22" i="7"/>
  <c r="DW4" i="7"/>
  <c r="DW6" i="7"/>
  <c r="DW7" i="7"/>
  <c r="DW11" i="7"/>
  <c r="DW16" i="7"/>
  <c r="DW9" i="7"/>
  <c r="DW10" i="7"/>
  <c r="DW5" i="7"/>
  <c r="DW8" i="7"/>
  <c r="DW14" i="7"/>
  <c r="DW17" i="7"/>
  <c r="DW15" i="7"/>
  <c r="DW12" i="7"/>
  <c r="DW13" i="7"/>
  <c r="DX1" i="7"/>
  <c r="DW3" i="7"/>
  <c r="DX22" i="7" l="1"/>
  <c r="DX18" i="7"/>
  <c r="DX19" i="7"/>
  <c r="DX20" i="7"/>
  <c r="DX21" i="7"/>
  <c r="DX5" i="7"/>
  <c r="DX6" i="7"/>
  <c r="DX8" i="7"/>
  <c r="DX4" i="7"/>
  <c r="DX9" i="7"/>
  <c r="DX7" i="7"/>
  <c r="DX15" i="7"/>
  <c r="DX10" i="7"/>
  <c r="DX14" i="7"/>
  <c r="DX13" i="7"/>
  <c r="DX12" i="7"/>
  <c r="DX11" i="7"/>
  <c r="DX16" i="7"/>
  <c r="DX17" i="7"/>
  <c r="DY1" i="7"/>
  <c r="DX3" i="7"/>
  <c r="DY21" i="7" l="1"/>
  <c r="DY20" i="7"/>
  <c r="DY22" i="7"/>
  <c r="DY18" i="7"/>
  <c r="DY19" i="7"/>
  <c r="DY4" i="7"/>
  <c r="DY5" i="7"/>
  <c r="DY7" i="7"/>
  <c r="DY9" i="7"/>
  <c r="DY6" i="7"/>
  <c r="DY8" i="7"/>
  <c r="DY14" i="7"/>
  <c r="DY10" i="7"/>
  <c r="DY12" i="7"/>
  <c r="DY11" i="7"/>
  <c r="DY16" i="7"/>
  <c r="DY15" i="7"/>
  <c r="DY17" i="7"/>
  <c r="DY13" i="7"/>
  <c r="DZ1" i="7"/>
  <c r="DY3" i="7"/>
  <c r="DZ21" i="7" l="1"/>
  <c r="DZ22" i="7"/>
  <c r="DZ18" i="7"/>
  <c r="DZ20" i="7"/>
  <c r="DZ19" i="7"/>
  <c r="DZ4" i="7"/>
  <c r="DZ7" i="7"/>
  <c r="DZ8" i="7"/>
  <c r="DZ9" i="7"/>
  <c r="DZ6" i="7"/>
  <c r="DZ5" i="7"/>
  <c r="DZ13" i="7"/>
  <c r="DZ11" i="7"/>
  <c r="DZ10" i="7"/>
  <c r="DZ12" i="7"/>
  <c r="DZ16" i="7"/>
  <c r="DZ14" i="7"/>
  <c r="DZ15" i="7"/>
  <c r="DZ17" i="7"/>
  <c r="EA1" i="7"/>
  <c r="DZ3" i="7"/>
  <c r="EA18" i="7" l="1"/>
  <c r="EA20" i="7"/>
  <c r="EA22" i="7"/>
  <c r="EA21" i="7"/>
  <c r="EA19" i="7"/>
  <c r="EA6" i="7"/>
  <c r="EA7" i="7"/>
  <c r="EA4" i="7"/>
  <c r="EA5" i="7"/>
  <c r="EA8" i="7"/>
  <c r="EA11" i="7"/>
  <c r="EA10" i="7"/>
  <c r="EA15" i="7"/>
  <c r="EA9" i="7"/>
  <c r="EA13" i="7"/>
  <c r="EA17" i="7"/>
  <c r="EA16" i="7"/>
  <c r="EA14" i="7"/>
  <c r="EA12" i="7"/>
  <c r="EB1" i="7"/>
  <c r="EA3" i="7"/>
  <c r="EB19" i="7" l="1"/>
  <c r="EB18" i="7"/>
  <c r="EB22" i="7"/>
  <c r="EB21" i="7"/>
  <c r="EB20" i="7"/>
  <c r="EB5" i="7"/>
  <c r="EB6" i="7"/>
  <c r="EB7" i="7"/>
  <c r="EB4" i="7"/>
  <c r="EB8" i="7"/>
  <c r="EB12" i="7"/>
  <c r="EB9" i="7"/>
  <c r="EB10" i="7"/>
  <c r="EB13" i="7"/>
  <c r="EB17" i="7"/>
  <c r="EB11" i="7"/>
  <c r="EB14" i="7"/>
  <c r="EB15" i="7"/>
  <c r="EB16" i="7"/>
  <c r="EC1" i="7"/>
  <c r="EB3" i="7"/>
  <c r="EC22" i="7" l="1"/>
  <c r="EC21" i="7"/>
  <c r="EC18" i="7"/>
  <c r="EC19" i="7"/>
  <c r="EC20" i="7"/>
  <c r="EC4" i="7"/>
  <c r="EC5" i="7"/>
  <c r="EC6" i="7"/>
  <c r="EC7" i="7"/>
  <c r="EC11" i="7"/>
  <c r="EC9" i="7"/>
  <c r="EC12" i="7"/>
  <c r="EC8" i="7"/>
  <c r="EC10" i="7"/>
  <c r="EC13" i="7"/>
  <c r="EC15" i="7"/>
  <c r="EC17" i="7"/>
  <c r="EC16" i="7"/>
  <c r="EC14" i="7"/>
  <c r="ED1" i="7"/>
  <c r="EC3" i="7"/>
  <c r="ED21" i="7" l="1"/>
  <c r="ED18" i="7"/>
  <c r="ED22" i="7"/>
  <c r="ED20" i="7"/>
  <c r="ED19" i="7"/>
  <c r="ED4" i="7"/>
  <c r="ED6" i="7"/>
  <c r="ED5" i="7"/>
  <c r="ED7" i="7"/>
  <c r="ED10" i="7"/>
  <c r="ED8" i="7"/>
  <c r="ED9" i="7"/>
  <c r="ED12" i="7"/>
  <c r="ED11" i="7"/>
  <c r="ED14" i="7"/>
  <c r="ED17" i="7"/>
  <c r="ED15" i="7"/>
  <c r="ED16" i="7"/>
  <c r="ED13" i="7"/>
  <c r="EE1" i="7"/>
  <c r="ED3" i="7"/>
  <c r="EE18" i="7" l="1"/>
  <c r="EE19" i="7"/>
  <c r="EE21" i="7"/>
  <c r="EE22" i="7"/>
  <c r="EE20" i="7"/>
  <c r="EE5" i="7"/>
  <c r="EE6" i="7"/>
  <c r="EE4" i="7"/>
  <c r="EE8" i="7"/>
  <c r="EE10" i="7"/>
  <c r="EE9" i="7"/>
  <c r="EE7" i="7"/>
  <c r="EE17" i="7"/>
  <c r="EE13" i="7"/>
  <c r="EE12" i="7"/>
  <c r="EE14" i="7"/>
  <c r="EE15" i="7"/>
  <c r="EE11" i="7"/>
  <c r="EE16" i="7"/>
  <c r="EF1" i="7"/>
  <c r="EE3" i="7"/>
  <c r="EF18" i="7" l="1"/>
  <c r="EF22" i="7"/>
  <c r="EF20" i="7"/>
  <c r="EF19" i="7"/>
  <c r="EF21" i="7"/>
  <c r="EF4" i="7"/>
  <c r="EF5" i="7"/>
  <c r="EF7" i="7"/>
  <c r="EF6" i="7"/>
  <c r="EF8" i="7"/>
  <c r="EF9" i="7"/>
  <c r="EF11" i="7"/>
  <c r="EF16" i="7"/>
  <c r="EF10" i="7"/>
  <c r="EF13" i="7"/>
  <c r="EF14" i="7"/>
  <c r="EF15" i="7"/>
  <c r="EF12" i="7"/>
  <c r="EF17" i="7"/>
  <c r="EG1" i="7"/>
  <c r="EF3" i="7"/>
  <c r="EG18" i="7" l="1"/>
  <c r="EG20" i="7"/>
  <c r="EG19" i="7"/>
  <c r="EG22" i="7"/>
  <c r="EG21" i="7"/>
  <c r="EG4" i="7"/>
  <c r="EG5" i="7"/>
  <c r="EG6" i="7"/>
  <c r="EG7" i="7"/>
  <c r="EG8" i="7"/>
  <c r="EG9" i="7"/>
  <c r="EG11" i="7"/>
  <c r="EG14" i="7"/>
  <c r="EG15" i="7"/>
  <c r="EG10" i="7"/>
  <c r="EG13" i="7"/>
  <c r="EG12" i="7"/>
  <c r="EG17" i="7"/>
  <c r="EG16" i="7"/>
  <c r="EH1" i="7"/>
  <c r="EG3" i="7"/>
  <c r="EH20" i="7" l="1"/>
  <c r="EH22" i="7"/>
  <c r="EH18" i="7"/>
  <c r="EH21" i="7"/>
  <c r="EH19" i="7"/>
  <c r="EH4" i="7"/>
  <c r="EH5" i="7"/>
  <c r="EH7" i="7"/>
  <c r="EH6" i="7"/>
  <c r="EH9" i="7"/>
  <c r="EH8" i="7"/>
  <c r="EH10" i="7"/>
  <c r="EH11" i="7"/>
  <c r="EH14" i="7"/>
  <c r="EH15" i="7"/>
  <c r="EH13" i="7"/>
  <c r="EH12" i="7"/>
  <c r="EH16" i="7"/>
  <c r="EH17" i="7"/>
  <c r="EI1" i="7"/>
  <c r="EH3" i="7"/>
  <c r="EI18" i="7" l="1"/>
  <c r="EI22" i="7"/>
  <c r="EI19" i="7"/>
  <c r="EI21" i="7"/>
  <c r="EI20" i="7"/>
  <c r="EI4" i="7"/>
  <c r="EI6" i="7"/>
  <c r="EI5" i="7"/>
  <c r="EI7" i="7"/>
  <c r="EI16" i="7"/>
  <c r="EI8" i="7"/>
  <c r="EI10" i="7"/>
  <c r="EI11" i="7"/>
  <c r="EI9" i="7"/>
  <c r="EI14" i="7"/>
  <c r="EI15" i="7"/>
  <c r="EI13" i="7"/>
  <c r="EI12" i="7"/>
  <c r="EI17" i="7"/>
  <c r="EJ1" i="7"/>
  <c r="EI3" i="7"/>
  <c r="EJ21" i="7" l="1"/>
  <c r="EJ18" i="7"/>
  <c r="EJ20" i="7"/>
  <c r="EJ22" i="7"/>
  <c r="EJ19" i="7"/>
  <c r="EJ5" i="7"/>
  <c r="EJ8" i="7"/>
  <c r="EJ4" i="7"/>
  <c r="EJ11" i="7"/>
  <c r="EJ15" i="7"/>
  <c r="EJ6" i="7"/>
  <c r="EJ10" i="7"/>
  <c r="EJ9" i="7"/>
  <c r="EJ14" i="7"/>
  <c r="EJ12" i="7"/>
  <c r="EJ7" i="7"/>
  <c r="EJ17" i="7"/>
  <c r="EJ16" i="7"/>
  <c r="EJ13" i="7"/>
  <c r="EK1" i="7"/>
  <c r="EJ3" i="7"/>
  <c r="EK19" i="7" l="1"/>
  <c r="EK18" i="7"/>
  <c r="EK21" i="7"/>
  <c r="EK22" i="7"/>
  <c r="EK20" i="7"/>
  <c r="EK4" i="7"/>
  <c r="EK5" i="7"/>
  <c r="EK6" i="7"/>
  <c r="EK7" i="7"/>
  <c r="EK9" i="7"/>
  <c r="EK14" i="7"/>
  <c r="EK8" i="7"/>
  <c r="EK10" i="7"/>
  <c r="EK13" i="7"/>
  <c r="EK11" i="7"/>
  <c r="EK12" i="7"/>
  <c r="EK16" i="7"/>
  <c r="EK17" i="7"/>
  <c r="EK15" i="7"/>
  <c r="EL1" i="7"/>
  <c r="EK3" i="7"/>
  <c r="EL20" i="7" l="1"/>
  <c r="EL18" i="7"/>
  <c r="EL19" i="7"/>
  <c r="EL22" i="7"/>
  <c r="EL21" i="7"/>
  <c r="EL4" i="7"/>
  <c r="EL6" i="7"/>
  <c r="EL7" i="7"/>
  <c r="EL8" i="7"/>
  <c r="EL5" i="7"/>
  <c r="EL13" i="7"/>
  <c r="EL9" i="7"/>
  <c r="EL11" i="7"/>
  <c r="EL14" i="7"/>
  <c r="EL12" i="7"/>
  <c r="EL16" i="7"/>
  <c r="EL17" i="7"/>
  <c r="EL10" i="7"/>
  <c r="EL15" i="7"/>
  <c r="EM1" i="7"/>
  <c r="EL3" i="7"/>
  <c r="EM20" i="7" l="1"/>
  <c r="EM21" i="7"/>
  <c r="EM18" i="7"/>
  <c r="EM22" i="7"/>
  <c r="EM19" i="7"/>
  <c r="EM6" i="7"/>
  <c r="EM5" i="7"/>
  <c r="EM7" i="7"/>
  <c r="EM4" i="7"/>
  <c r="EM9" i="7"/>
  <c r="EM8" i="7"/>
  <c r="EM11" i="7"/>
  <c r="EM10" i="7"/>
  <c r="EM12" i="7"/>
  <c r="EM13" i="7"/>
  <c r="EM16" i="7"/>
  <c r="EM14" i="7"/>
  <c r="EM17" i="7"/>
  <c r="EM15" i="7"/>
  <c r="EN1" i="7"/>
  <c r="EM3" i="7"/>
  <c r="EN20" i="7" l="1"/>
  <c r="EN18" i="7"/>
  <c r="EN21" i="7"/>
  <c r="EN22" i="7"/>
  <c r="EN19" i="7"/>
  <c r="EN5" i="7"/>
  <c r="EN6" i="7"/>
  <c r="EN4" i="7"/>
  <c r="EN9" i="7"/>
  <c r="EN12" i="7"/>
  <c r="EN11" i="7"/>
  <c r="EN8" i="7"/>
  <c r="EN7" i="7"/>
  <c r="EN10" i="7"/>
  <c r="EN15" i="7"/>
  <c r="EN13" i="7"/>
  <c r="EN17" i="7"/>
  <c r="EN16" i="7"/>
  <c r="EN14" i="7"/>
  <c r="EO1" i="7"/>
  <c r="EN3" i="7"/>
  <c r="EO21" i="7" l="1"/>
  <c r="EO19" i="7"/>
  <c r="EO22" i="7"/>
  <c r="EO18" i="7"/>
  <c r="EO20" i="7"/>
  <c r="EO4" i="7"/>
  <c r="EO5" i="7"/>
  <c r="EO6" i="7"/>
  <c r="EO11" i="7"/>
  <c r="EO8" i="7"/>
  <c r="EO7" i="7"/>
  <c r="EO9" i="7"/>
  <c r="EO10" i="7"/>
  <c r="EO12" i="7"/>
  <c r="EO13" i="7"/>
  <c r="EO16" i="7"/>
  <c r="EO15" i="7"/>
  <c r="EO17" i="7"/>
  <c r="EO14" i="7"/>
  <c r="EP1" i="7"/>
  <c r="EO3" i="7"/>
  <c r="EP18" i="7" l="1"/>
  <c r="EP19" i="7"/>
  <c r="EP21" i="7"/>
  <c r="EP22" i="7"/>
  <c r="EP20" i="7"/>
  <c r="EP4" i="7"/>
  <c r="EP6" i="7"/>
  <c r="EP5" i="7"/>
  <c r="EP10" i="7"/>
  <c r="EP9" i="7"/>
  <c r="EP12" i="7"/>
  <c r="EP7" i="7"/>
  <c r="EP13" i="7"/>
  <c r="EP11" i="7"/>
  <c r="EP15" i="7"/>
  <c r="EP8" i="7"/>
  <c r="EP17" i="7"/>
  <c r="EP16" i="7"/>
  <c r="EP14" i="7"/>
  <c r="EQ1" i="7"/>
  <c r="EP3" i="7"/>
  <c r="EQ18" i="7" l="1"/>
  <c r="EQ21" i="7"/>
  <c r="EQ19" i="7"/>
  <c r="EQ20" i="7"/>
  <c r="EQ22" i="7"/>
  <c r="EQ5" i="7"/>
  <c r="EQ6" i="7"/>
  <c r="EQ4" i="7"/>
  <c r="EQ8" i="7"/>
  <c r="EQ9" i="7"/>
  <c r="EQ7" i="7"/>
  <c r="EQ10" i="7"/>
  <c r="EQ17" i="7"/>
  <c r="EQ11" i="7"/>
  <c r="EQ14" i="7"/>
  <c r="EQ12" i="7"/>
  <c r="EQ13" i="7"/>
  <c r="EQ15" i="7"/>
  <c r="EQ16" i="7"/>
  <c r="ER1" i="7"/>
  <c r="EQ3" i="7"/>
  <c r="ER18" i="7" l="1"/>
  <c r="ER21" i="7"/>
  <c r="ER19" i="7"/>
  <c r="ER22" i="7"/>
  <c r="ER20" i="7"/>
  <c r="ER4" i="7"/>
  <c r="ER5" i="7"/>
  <c r="ER7" i="7"/>
  <c r="ER6" i="7"/>
  <c r="ER10" i="7"/>
  <c r="ER8" i="7"/>
  <c r="ER9" i="7"/>
  <c r="ER12" i="7"/>
  <c r="ER13" i="7"/>
  <c r="ER11" i="7"/>
  <c r="ER17" i="7"/>
  <c r="ER15" i="7"/>
  <c r="ER16" i="7"/>
  <c r="ER14" i="7"/>
  <c r="ES1" i="7"/>
  <c r="ER3" i="7"/>
  <c r="ES18" i="7" l="1"/>
  <c r="ES19" i="7"/>
  <c r="ES20" i="7"/>
  <c r="ES22" i="7"/>
  <c r="ES21" i="7"/>
  <c r="ES4" i="7"/>
  <c r="ES5" i="7"/>
  <c r="ES8" i="7"/>
  <c r="ES6" i="7"/>
  <c r="ES9" i="7"/>
  <c r="ES11" i="7"/>
  <c r="ES7" i="7"/>
  <c r="ES16" i="7"/>
  <c r="ES12" i="7"/>
  <c r="ES13" i="7"/>
  <c r="ES14" i="7"/>
  <c r="ES10" i="7"/>
  <c r="ES17" i="7"/>
  <c r="ES15" i="7"/>
  <c r="ET1" i="7"/>
  <c r="ES3" i="7"/>
  <c r="ET18" i="7" l="1"/>
  <c r="ET20" i="7"/>
  <c r="ET22" i="7"/>
  <c r="ET19" i="7"/>
  <c r="ET21" i="7"/>
  <c r="ET4" i="7"/>
  <c r="ET5" i="7"/>
  <c r="ET7" i="7"/>
  <c r="ET8" i="7"/>
  <c r="ET6" i="7"/>
  <c r="ET9" i="7"/>
  <c r="ET14" i="7"/>
  <c r="ET15" i="7"/>
  <c r="ET12" i="7"/>
  <c r="ET13" i="7"/>
  <c r="ET11" i="7"/>
  <c r="ET16" i="7"/>
  <c r="ET10" i="7"/>
  <c r="ET17" i="7"/>
  <c r="EU1" i="7"/>
  <c r="ET3" i="7"/>
  <c r="EU19" i="7" l="1"/>
  <c r="EU20" i="7"/>
  <c r="EU21" i="7"/>
  <c r="EU18" i="7"/>
  <c r="EU22" i="7"/>
  <c r="EU4" i="7"/>
  <c r="EU6" i="7"/>
  <c r="EU5" i="7"/>
  <c r="EU7" i="7"/>
  <c r="EU8" i="7"/>
  <c r="EU16" i="7"/>
  <c r="EU10" i="7"/>
  <c r="EU11" i="7"/>
  <c r="EU14" i="7"/>
  <c r="EU9" i="7"/>
  <c r="EU15" i="7"/>
  <c r="EU12" i="7"/>
  <c r="EU13" i="7"/>
  <c r="EU17" i="7"/>
  <c r="EV1" i="7"/>
  <c r="EU3" i="7"/>
  <c r="EV19" i="7" l="1"/>
  <c r="EV18" i="7"/>
  <c r="EV22" i="7"/>
  <c r="EV21" i="7"/>
  <c r="EV20" i="7"/>
  <c r="EV5" i="7"/>
  <c r="EV4" i="7"/>
  <c r="EV9" i="7"/>
  <c r="EV7" i="7"/>
  <c r="EV15" i="7"/>
  <c r="EV6" i="7"/>
  <c r="EV10" i="7"/>
  <c r="EV8" i="7"/>
  <c r="EV11" i="7"/>
  <c r="EV12" i="7"/>
  <c r="EV13" i="7"/>
  <c r="EV14" i="7"/>
  <c r="EV16" i="7"/>
  <c r="EV17" i="7"/>
  <c r="EW1" i="7"/>
  <c r="EV3" i="7"/>
  <c r="EW21" i="7" l="1"/>
  <c r="EW20" i="7"/>
  <c r="EW18" i="7"/>
  <c r="EW19" i="7"/>
  <c r="EW22" i="7"/>
  <c r="EW4" i="7"/>
  <c r="EW5" i="7"/>
  <c r="EW7" i="7"/>
  <c r="EW9" i="7"/>
  <c r="EW6" i="7"/>
  <c r="EW11" i="7"/>
  <c r="EW14" i="7"/>
  <c r="EW10" i="7"/>
  <c r="EW8" i="7"/>
  <c r="EW15" i="7"/>
  <c r="EW16" i="7"/>
  <c r="EW13" i="7"/>
  <c r="EW12" i="7"/>
  <c r="EW17" i="7"/>
  <c r="EX1" i="7"/>
  <c r="EW3" i="7"/>
  <c r="EX22" i="7" l="1"/>
  <c r="EX20" i="7"/>
  <c r="EX21" i="7"/>
  <c r="EX18" i="7"/>
  <c r="EX19" i="7"/>
  <c r="EX4" i="7"/>
  <c r="EX7" i="7"/>
  <c r="EX8" i="7"/>
  <c r="EX6" i="7"/>
  <c r="EX5" i="7"/>
  <c r="EX13" i="7"/>
  <c r="EX9" i="7"/>
  <c r="EX10" i="7"/>
  <c r="EX14" i="7"/>
  <c r="EX12" i="7"/>
  <c r="EX15" i="7"/>
  <c r="EX16" i="7"/>
  <c r="EX11" i="7"/>
  <c r="EX17" i="7"/>
  <c r="EY1" i="7"/>
  <c r="EX3" i="7"/>
  <c r="EY22" i="7" l="1"/>
  <c r="EY20" i="7"/>
  <c r="EY18" i="7"/>
  <c r="EY21" i="7"/>
  <c r="EY19" i="7"/>
  <c r="EY6" i="7"/>
  <c r="EY4" i="7"/>
  <c r="EY7" i="7"/>
  <c r="EY5" i="7"/>
  <c r="EY9" i="7"/>
  <c r="EY8" i="7"/>
  <c r="EY14" i="7"/>
  <c r="EY10" i="7"/>
  <c r="EY13" i="7"/>
  <c r="EY16" i="7"/>
  <c r="EY15" i="7"/>
  <c r="EY11" i="7"/>
  <c r="EY12" i="7"/>
  <c r="EY17" i="7"/>
  <c r="EZ1" i="7"/>
  <c r="EY3" i="7"/>
  <c r="EZ22" i="7" l="1"/>
  <c r="EZ18" i="7"/>
  <c r="EZ20" i="7"/>
  <c r="EZ21" i="7"/>
  <c r="EZ19" i="7"/>
  <c r="EZ5" i="7"/>
  <c r="EZ6" i="7"/>
  <c r="EZ4" i="7"/>
  <c r="EZ9" i="7"/>
  <c r="EZ12" i="7"/>
  <c r="EZ7" i="7"/>
  <c r="EZ8" i="7"/>
  <c r="EZ11" i="7"/>
  <c r="EZ10" i="7"/>
  <c r="EZ16" i="7"/>
  <c r="EZ14" i="7"/>
  <c r="EZ13" i="7"/>
  <c r="EZ15" i="7"/>
  <c r="EZ17" i="7"/>
  <c r="FA1" i="7"/>
  <c r="EZ3" i="7"/>
  <c r="FA20" i="7" l="1"/>
  <c r="FA21" i="7"/>
  <c r="FA19" i="7"/>
  <c r="FA18" i="7"/>
  <c r="FA22" i="7"/>
  <c r="FA4" i="7"/>
  <c r="FA5" i="7"/>
  <c r="FA6" i="7"/>
  <c r="FA7" i="7"/>
  <c r="FA11" i="7"/>
  <c r="FA8" i="7"/>
  <c r="FA9" i="7"/>
  <c r="FA10" i="7"/>
  <c r="FA15" i="7"/>
  <c r="FA12" i="7"/>
  <c r="FA13" i="7"/>
  <c r="FA16" i="7"/>
  <c r="FA17" i="7"/>
  <c r="FA14" i="7"/>
  <c r="FB1" i="7"/>
  <c r="FA3" i="7"/>
  <c r="FB18" i="7" l="1"/>
  <c r="FB21" i="7"/>
  <c r="FB19" i="7"/>
  <c r="FB20" i="7"/>
  <c r="FB22" i="7"/>
  <c r="FB4" i="7"/>
  <c r="FB6" i="7"/>
  <c r="FB5" i="7"/>
  <c r="FB9" i="7"/>
  <c r="FB10" i="7"/>
  <c r="FB7" i="7"/>
  <c r="FB8" i="7"/>
  <c r="FB11" i="7"/>
  <c r="FB12" i="7"/>
  <c r="FB13" i="7"/>
  <c r="FB14" i="7"/>
  <c r="FB16" i="7"/>
  <c r="FB17" i="7"/>
  <c r="FB15" i="7"/>
  <c r="FC1" i="7"/>
  <c r="FB3" i="7"/>
  <c r="FC18" i="7" l="1"/>
  <c r="FC19" i="7"/>
  <c r="FC22" i="7"/>
  <c r="FC21" i="7"/>
  <c r="FC20" i="7"/>
  <c r="FC5" i="7"/>
  <c r="FC6" i="7"/>
  <c r="FC4" i="7"/>
  <c r="FC7" i="7"/>
  <c r="FC8" i="7"/>
  <c r="FC12" i="7"/>
  <c r="FC9" i="7"/>
  <c r="FC10" i="7"/>
  <c r="FC13" i="7"/>
  <c r="FC17" i="7"/>
  <c r="FC15" i="7"/>
  <c r="FC14" i="7"/>
  <c r="FC16" i="7"/>
  <c r="FC11" i="7"/>
  <c r="FD1" i="7"/>
  <c r="FC3" i="7"/>
  <c r="FD21" i="7" l="1"/>
  <c r="FD18" i="7"/>
  <c r="FD22" i="7"/>
  <c r="FD20" i="7"/>
  <c r="FD19" i="7"/>
  <c r="FD4" i="7"/>
  <c r="FD5" i="7"/>
  <c r="FD7" i="7"/>
  <c r="FD9" i="7"/>
  <c r="FD8" i="7"/>
  <c r="FD6" i="7"/>
  <c r="FD10" i="7"/>
  <c r="FD12" i="7"/>
  <c r="FD11" i="7"/>
  <c r="FD14" i="7"/>
  <c r="FD17" i="7"/>
  <c r="FD13" i="7"/>
  <c r="FD16" i="7"/>
  <c r="FD15" i="7"/>
  <c r="FE1" i="7"/>
  <c r="FD3" i="7"/>
  <c r="FE18" i="7" l="1"/>
  <c r="FE22" i="7"/>
  <c r="FE19" i="7"/>
  <c r="FE20" i="7"/>
  <c r="FE21" i="7"/>
  <c r="FE4" i="7"/>
  <c r="FE5" i="7"/>
  <c r="FE8" i="7"/>
  <c r="FE7" i="7"/>
  <c r="FE9" i="7"/>
  <c r="FE10" i="7"/>
  <c r="FE6" i="7"/>
  <c r="FE13" i="7"/>
  <c r="FE14" i="7"/>
  <c r="FE17" i="7"/>
  <c r="FE11" i="7"/>
  <c r="FE15" i="7"/>
  <c r="FE16" i="7"/>
  <c r="FE12" i="7"/>
  <c r="FF1" i="7"/>
  <c r="FE3" i="7"/>
  <c r="FF18" i="7" l="1"/>
  <c r="FF21" i="7"/>
  <c r="FF22" i="7"/>
  <c r="FF19" i="7"/>
  <c r="FF20" i="7"/>
  <c r="FF4" i="7"/>
  <c r="FF6" i="7"/>
  <c r="FF5" i="7"/>
  <c r="FF7" i="7"/>
  <c r="FF8" i="7"/>
  <c r="FF11" i="7"/>
  <c r="FF16" i="7"/>
  <c r="FF12" i="7"/>
  <c r="FF13" i="7"/>
  <c r="FF9" i="7"/>
  <c r="FF14" i="7"/>
  <c r="FF10" i="7"/>
  <c r="FF15" i="7"/>
  <c r="FF17" i="7"/>
  <c r="FG1" i="7"/>
  <c r="FF3" i="7"/>
  <c r="FG20" i="7" l="1"/>
  <c r="FG19" i="7"/>
  <c r="FG18" i="7"/>
  <c r="FG22" i="7"/>
  <c r="FG21" i="7"/>
  <c r="FG4" i="7"/>
  <c r="FG6" i="7"/>
  <c r="FG8" i="7"/>
  <c r="FG5" i="7"/>
  <c r="FG16" i="7"/>
  <c r="FG7" i="7"/>
  <c r="FG9" i="7"/>
  <c r="FG12" i="7"/>
  <c r="FG10" i="7"/>
  <c r="FG11" i="7"/>
  <c r="FG14" i="7"/>
  <c r="FG13" i="7"/>
  <c r="FG15" i="7"/>
  <c r="FG17" i="7"/>
  <c r="FH1" i="7"/>
  <c r="FG3" i="7"/>
  <c r="FH18" i="7" l="1"/>
  <c r="FH21" i="7"/>
  <c r="FH22" i="7"/>
  <c r="FH19" i="7"/>
  <c r="FH20" i="7"/>
  <c r="FH5" i="7"/>
  <c r="FH6" i="7"/>
  <c r="FH4" i="7"/>
  <c r="FH8" i="7"/>
  <c r="FH15" i="7"/>
  <c r="FH7" i="7"/>
  <c r="FH10" i="7"/>
  <c r="FH9" i="7"/>
  <c r="FH14" i="7"/>
  <c r="FH11" i="7"/>
  <c r="FH12" i="7"/>
  <c r="FH13" i="7"/>
  <c r="FH17" i="7"/>
  <c r="FH16" i="7"/>
  <c r="FI1" i="7"/>
  <c r="FH3" i="7"/>
  <c r="FI18" i="7" l="1"/>
  <c r="FI20" i="7"/>
  <c r="FI21" i="7"/>
  <c r="FI22" i="7"/>
  <c r="FI19" i="7"/>
  <c r="FI4" i="7"/>
  <c r="FI5" i="7"/>
  <c r="FI7" i="7"/>
  <c r="FI6" i="7"/>
  <c r="FI9" i="7"/>
  <c r="FI8" i="7"/>
  <c r="FI14" i="7"/>
  <c r="FI10" i="7"/>
  <c r="FI11" i="7"/>
  <c r="FI16" i="7"/>
  <c r="FI12" i="7"/>
  <c r="FI13" i="7"/>
  <c r="FI17" i="7"/>
  <c r="FI15" i="7"/>
  <c r="FJ1" i="7"/>
  <c r="FI3" i="7"/>
  <c r="FJ21" i="7" l="1"/>
  <c r="FJ18" i="7"/>
  <c r="FJ19" i="7"/>
  <c r="FJ22" i="7"/>
  <c r="FJ20" i="7"/>
  <c r="FJ4" i="7"/>
  <c r="FJ7" i="7"/>
  <c r="FJ8" i="7"/>
  <c r="FJ6" i="7"/>
  <c r="FJ5" i="7"/>
  <c r="FJ11" i="7"/>
  <c r="FJ13" i="7"/>
  <c r="FJ10" i="7"/>
  <c r="FJ9" i="7"/>
  <c r="FJ15" i="7"/>
  <c r="FJ14" i="7"/>
  <c r="FJ12" i="7"/>
  <c r="FJ17" i="7"/>
  <c r="FJ16" i="7"/>
  <c r="FK1" i="7"/>
  <c r="FJ3" i="7"/>
  <c r="FK21" i="7" l="1"/>
  <c r="FK18" i="7"/>
  <c r="FK22" i="7"/>
  <c r="FK20" i="7"/>
  <c r="FK19" i="7"/>
  <c r="FK6" i="7"/>
  <c r="FK5" i="7"/>
  <c r="FK7" i="7"/>
  <c r="FK9" i="7"/>
  <c r="FK4" i="7"/>
  <c r="FK8" i="7"/>
  <c r="FK10" i="7"/>
  <c r="FK11" i="7"/>
  <c r="FK14" i="7"/>
  <c r="FK15" i="7"/>
  <c r="FK16" i="7"/>
  <c r="FK13" i="7"/>
  <c r="FK17" i="7"/>
  <c r="FK12" i="7"/>
  <c r="FL1" i="7"/>
  <c r="FK3" i="7"/>
  <c r="FL21" i="7" l="1"/>
  <c r="FL20" i="7"/>
  <c r="FL18" i="7"/>
  <c r="FL22" i="7"/>
  <c r="FL19" i="7"/>
  <c r="FL5" i="7"/>
  <c r="FL6" i="7"/>
  <c r="FL12" i="7"/>
  <c r="FL4" i="7"/>
  <c r="FL7" i="7"/>
  <c r="FL8" i="7"/>
  <c r="FL9" i="7"/>
  <c r="FL11" i="7"/>
  <c r="FL14" i="7"/>
  <c r="FL13" i="7"/>
  <c r="FL10" i="7"/>
  <c r="FL15" i="7"/>
  <c r="FL17" i="7"/>
  <c r="FL16" i="7"/>
  <c r="FM1" i="7"/>
  <c r="FL3" i="7"/>
  <c r="FM21" i="7" l="1"/>
  <c r="FM20" i="7"/>
  <c r="FM18" i="7"/>
  <c r="FM22" i="7"/>
  <c r="FM19" i="7"/>
  <c r="FM4" i="7"/>
  <c r="FM5" i="7"/>
  <c r="FM6" i="7"/>
  <c r="FM9" i="7"/>
  <c r="FM11" i="7"/>
  <c r="FM7" i="7"/>
  <c r="FM8" i="7"/>
  <c r="FM10" i="7"/>
  <c r="FM12" i="7"/>
  <c r="FM13" i="7"/>
  <c r="FM16" i="7"/>
  <c r="FM15" i="7"/>
  <c r="FM14" i="7"/>
  <c r="FM17" i="7"/>
  <c r="FN1" i="7"/>
  <c r="FM3" i="7"/>
  <c r="FN19" i="7" l="1"/>
  <c r="FN20" i="7"/>
  <c r="FN18" i="7"/>
  <c r="FN21" i="7"/>
  <c r="FN22" i="7"/>
  <c r="FN4" i="7"/>
  <c r="FN6" i="7"/>
  <c r="FN5" i="7"/>
  <c r="FN10" i="7"/>
  <c r="FN7" i="7"/>
  <c r="FN9" i="7"/>
  <c r="FN11" i="7"/>
  <c r="FN15" i="7"/>
  <c r="FN13" i="7"/>
  <c r="FN12" i="7"/>
  <c r="FN16" i="7"/>
  <c r="FN8" i="7"/>
  <c r="FN14" i="7"/>
  <c r="FN17" i="7"/>
  <c r="FO1" i="7"/>
  <c r="FN3" i="7"/>
  <c r="FO18" i="7" l="1"/>
  <c r="FO20" i="7"/>
  <c r="FO21" i="7"/>
  <c r="FO22" i="7"/>
  <c r="FO19" i="7"/>
  <c r="FO5" i="7"/>
  <c r="FO6" i="7"/>
  <c r="FO7" i="7"/>
  <c r="FO4" i="7"/>
  <c r="FO8" i="7"/>
  <c r="FO11" i="7"/>
  <c r="FO10" i="7"/>
  <c r="FO9" i="7"/>
  <c r="FO17" i="7"/>
  <c r="FO12" i="7"/>
  <c r="FO13" i="7"/>
  <c r="FO16" i="7"/>
  <c r="FO15" i="7"/>
  <c r="FO14" i="7"/>
  <c r="FP1" i="7"/>
  <c r="FO3" i="7"/>
  <c r="FP22" i="7" l="1"/>
  <c r="FP19" i="7"/>
  <c r="FP18" i="7"/>
  <c r="FP21" i="7"/>
  <c r="FP20" i="7"/>
  <c r="FP4" i="7"/>
  <c r="FP5" i="7"/>
  <c r="FP7" i="7"/>
  <c r="FP6" i="7"/>
  <c r="FP9" i="7"/>
  <c r="FP12" i="7"/>
  <c r="FP8" i="7"/>
  <c r="FP10" i="7"/>
  <c r="FP13" i="7"/>
  <c r="FP11" i="7"/>
  <c r="FP15" i="7"/>
  <c r="FP16" i="7"/>
  <c r="FP14" i="7"/>
  <c r="FP17" i="7"/>
  <c r="FQ1" i="7"/>
  <c r="FP3" i="7"/>
  <c r="FQ20" i="7" l="1"/>
  <c r="FQ19" i="7"/>
  <c r="FQ18" i="7"/>
  <c r="FQ21" i="7"/>
  <c r="FQ22" i="7"/>
  <c r="FQ4" i="7"/>
  <c r="FQ5" i="7"/>
  <c r="FQ6" i="7"/>
  <c r="FQ8" i="7"/>
  <c r="FQ7" i="7"/>
  <c r="FQ10" i="7"/>
  <c r="FQ9" i="7"/>
  <c r="FQ11" i="7"/>
  <c r="FQ14" i="7"/>
  <c r="FQ12" i="7"/>
  <c r="FQ13" i="7"/>
  <c r="FQ16" i="7"/>
  <c r="FQ15" i="7"/>
  <c r="FQ17" i="7"/>
  <c r="FR1" i="7"/>
  <c r="FQ3" i="7"/>
  <c r="FR19" i="7" l="1"/>
  <c r="FR21" i="7"/>
  <c r="FR22" i="7"/>
  <c r="FR18" i="7"/>
  <c r="FR20" i="7"/>
  <c r="FR4" i="7"/>
  <c r="FR5" i="7"/>
  <c r="FR6" i="7"/>
  <c r="FR7" i="7"/>
  <c r="FR9" i="7"/>
  <c r="FR10" i="7"/>
  <c r="FR8" i="7"/>
  <c r="FR12" i="7"/>
  <c r="FR13" i="7"/>
  <c r="FR17" i="7"/>
  <c r="FR11" i="7"/>
  <c r="FR14" i="7"/>
  <c r="FR15" i="7"/>
  <c r="FR16" i="7"/>
  <c r="FS1" i="7"/>
  <c r="FR3" i="7"/>
  <c r="FS18" i="7" l="1"/>
  <c r="FS22" i="7"/>
  <c r="FS20" i="7"/>
  <c r="FS19" i="7"/>
  <c r="FS21" i="7"/>
  <c r="FS4" i="7"/>
  <c r="FS6" i="7"/>
  <c r="FS8" i="7"/>
  <c r="FS9" i="7"/>
  <c r="FS7" i="7"/>
  <c r="FS16" i="7"/>
  <c r="FS5" i="7"/>
  <c r="FS11" i="7"/>
  <c r="FS10" i="7"/>
  <c r="FS13" i="7"/>
  <c r="FS12" i="7"/>
  <c r="FS14" i="7"/>
  <c r="FS17" i="7"/>
  <c r="FS15" i="7"/>
  <c r="FT1" i="7"/>
  <c r="FS3" i="7"/>
  <c r="FT19" i="7" l="1"/>
  <c r="FT18" i="7"/>
  <c r="FT20" i="7"/>
  <c r="FT22" i="7"/>
  <c r="FT21" i="7"/>
  <c r="FT5" i="7"/>
  <c r="FT4" i="7"/>
  <c r="FT6" i="7"/>
  <c r="FT8" i="7"/>
  <c r="FT7" i="7"/>
  <c r="FT15" i="7"/>
  <c r="FT9" i="7"/>
  <c r="FT16" i="7"/>
  <c r="FT10" i="7"/>
  <c r="FT12" i="7"/>
  <c r="FT14" i="7"/>
  <c r="FT13" i="7"/>
  <c r="FT11" i="7"/>
  <c r="FT17" i="7"/>
  <c r="FU1" i="7"/>
  <c r="FT3" i="7"/>
  <c r="FU21" i="7" l="1"/>
  <c r="FU22" i="7"/>
  <c r="FU18" i="7"/>
  <c r="FU19" i="7"/>
  <c r="FU20" i="7"/>
  <c r="FU4" i="7"/>
  <c r="FU5" i="7"/>
  <c r="FU7" i="7"/>
  <c r="FU9" i="7"/>
  <c r="FU6" i="7"/>
  <c r="FU14" i="7"/>
  <c r="FU10" i="7"/>
  <c r="FU8" i="7"/>
  <c r="FU12" i="7"/>
  <c r="FU13" i="7"/>
  <c r="FU15" i="7"/>
  <c r="FU17" i="7"/>
  <c r="FU16" i="7"/>
  <c r="FU11" i="7"/>
  <c r="FV1" i="7"/>
  <c r="FU3" i="7"/>
  <c r="FV18" i="7" l="1"/>
  <c r="FV19" i="7"/>
  <c r="FV22" i="7"/>
  <c r="FV21" i="7"/>
  <c r="FV20" i="7"/>
  <c r="FV4" i="7"/>
  <c r="FV7" i="7"/>
  <c r="FV8" i="7"/>
  <c r="FV6" i="7"/>
  <c r="FV13" i="7"/>
  <c r="FV5" i="7"/>
  <c r="FV9" i="7"/>
  <c r="FV10" i="7"/>
  <c r="FV11" i="7"/>
  <c r="FV14" i="7"/>
  <c r="FV12" i="7"/>
  <c r="FV15" i="7"/>
  <c r="FV16" i="7"/>
  <c r="FV17" i="7"/>
  <c r="FW1" i="7"/>
  <c r="FV3" i="7"/>
  <c r="FW20" i="7" l="1"/>
  <c r="FW18" i="7"/>
  <c r="FW21" i="7"/>
  <c r="FW22" i="7"/>
  <c r="FW19" i="7"/>
  <c r="FW6" i="7"/>
  <c r="FW7" i="7"/>
  <c r="FW4" i="7"/>
  <c r="FW8" i="7"/>
  <c r="FW5" i="7"/>
  <c r="FW11" i="7"/>
  <c r="FW9" i="7"/>
  <c r="FW10" i="7"/>
  <c r="FW12" i="7"/>
  <c r="FW13" i="7"/>
  <c r="FW16" i="7"/>
  <c r="FW15" i="7"/>
  <c r="FW14" i="7"/>
  <c r="FW17" i="7"/>
  <c r="FX1" i="7"/>
  <c r="FW3" i="7"/>
  <c r="FX19" i="7" l="1"/>
  <c r="FX18" i="7"/>
  <c r="FX20" i="7"/>
  <c r="FX22" i="7"/>
  <c r="FX21" i="7"/>
  <c r="FX5" i="7"/>
  <c r="FX6" i="7"/>
  <c r="FX4" i="7"/>
  <c r="FX7" i="7"/>
  <c r="FX12" i="7"/>
  <c r="FX8" i="7"/>
  <c r="FX9" i="7"/>
  <c r="FX10" i="7"/>
  <c r="FX14" i="7"/>
  <c r="FX11" i="7"/>
  <c r="FX16" i="7"/>
  <c r="FX15" i="7"/>
  <c r="FX13" i="7"/>
  <c r="FX17" i="7"/>
  <c r="FY1" i="7"/>
  <c r="FX3" i="7"/>
  <c r="FY18" i="7" l="1"/>
  <c r="FY22" i="7"/>
  <c r="FY21" i="7"/>
  <c r="FY20" i="7"/>
  <c r="FY19" i="7"/>
  <c r="FY4" i="7"/>
  <c r="FY5" i="7"/>
  <c r="FY6" i="7"/>
  <c r="FY11" i="7"/>
  <c r="FY9" i="7"/>
  <c r="FY7" i="7"/>
  <c r="FY8" i="7"/>
  <c r="FY10" i="7"/>
  <c r="FY14" i="7"/>
  <c r="FY13" i="7"/>
  <c r="FY15" i="7"/>
  <c r="FY12" i="7"/>
  <c r="FY16" i="7"/>
  <c r="FY17" i="7"/>
  <c r="FZ1" i="7"/>
  <c r="FY3" i="7"/>
  <c r="FZ20" i="7" l="1"/>
  <c r="FZ18" i="7"/>
  <c r="FZ21" i="7"/>
  <c r="FZ19" i="7"/>
  <c r="FZ22" i="7"/>
  <c r="FZ4" i="7"/>
  <c r="FZ6" i="7"/>
  <c r="FZ5" i="7"/>
  <c r="FZ9" i="7"/>
  <c r="FZ10" i="7"/>
  <c r="FZ7" i="7"/>
  <c r="FZ8" i="7"/>
  <c r="FZ11" i="7"/>
  <c r="FZ14" i="7"/>
  <c r="FZ15" i="7"/>
  <c r="FZ12" i="7"/>
  <c r="FZ16" i="7"/>
  <c r="FZ13" i="7"/>
  <c r="FZ17" i="7"/>
  <c r="GA1" i="7"/>
  <c r="FZ3" i="7"/>
  <c r="GA18" i="7" l="1"/>
  <c r="GA21" i="7"/>
  <c r="GA20" i="7"/>
  <c r="GA22" i="7"/>
  <c r="GA19" i="7"/>
  <c r="GA5" i="7"/>
  <c r="GA6" i="7"/>
  <c r="GA7" i="7"/>
  <c r="GA4" i="7"/>
  <c r="GA8" i="7"/>
  <c r="GA11" i="7"/>
  <c r="GA10" i="7"/>
  <c r="GA15" i="7"/>
  <c r="GA17" i="7"/>
  <c r="GA9" i="7"/>
  <c r="GA12" i="7"/>
  <c r="GA13" i="7"/>
  <c r="GA16" i="7"/>
  <c r="GA14" i="7"/>
  <c r="GB1" i="7"/>
  <c r="GA3" i="7"/>
  <c r="GB20" i="7" l="1"/>
  <c r="GB19" i="7"/>
  <c r="GB18" i="7"/>
  <c r="GB22" i="7"/>
  <c r="GB21" i="7"/>
  <c r="GB4" i="7"/>
  <c r="GB5" i="7"/>
  <c r="GB6" i="7"/>
  <c r="GB7" i="7"/>
  <c r="GB8" i="7"/>
  <c r="GB11" i="7"/>
  <c r="GB9" i="7"/>
  <c r="GB10" i="7"/>
  <c r="GB13" i="7"/>
  <c r="GB16" i="7"/>
  <c r="GB14" i="7"/>
  <c r="GB15" i="7"/>
  <c r="GB12" i="7"/>
  <c r="GB17" i="7"/>
  <c r="GC1" i="7"/>
  <c r="GB3" i="7"/>
  <c r="GC19" i="7" l="1"/>
  <c r="GC18" i="7"/>
  <c r="GC22" i="7"/>
  <c r="GC21" i="7"/>
  <c r="GC20" i="7"/>
  <c r="GC4" i="7"/>
  <c r="GC6" i="7"/>
  <c r="GC5" i="7"/>
  <c r="GC8" i="7"/>
  <c r="GC12" i="7"/>
  <c r="GC9" i="7"/>
  <c r="GC10" i="7"/>
  <c r="GC13" i="7"/>
  <c r="GC15" i="7"/>
  <c r="GC11" i="7"/>
  <c r="GC16" i="7"/>
  <c r="GC7" i="7"/>
  <c r="GC14" i="7"/>
  <c r="GC17" i="7"/>
  <c r="GD1" i="7"/>
  <c r="GC3" i="7"/>
  <c r="GD20" i="7" l="1"/>
  <c r="GD21" i="7"/>
  <c r="GD18" i="7"/>
  <c r="GD22" i="7"/>
  <c r="GD19" i="7"/>
  <c r="GD4" i="7"/>
  <c r="GD5" i="7"/>
  <c r="GD7" i="7"/>
  <c r="GD9" i="7"/>
  <c r="GD6" i="7"/>
  <c r="GD8" i="7"/>
  <c r="GD10" i="7"/>
  <c r="GD14" i="7"/>
  <c r="GD11" i="7"/>
  <c r="GD12" i="7"/>
  <c r="GD15" i="7"/>
  <c r="GD16" i="7"/>
  <c r="GD13" i="7"/>
  <c r="GD17" i="7"/>
  <c r="GE1" i="7"/>
  <c r="GD3" i="7"/>
  <c r="GE21" i="7" l="1"/>
  <c r="GE19" i="7"/>
  <c r="GE20" i="7"/>
  <c r="GE18" i="7"/>
  <c r="GE22" i="7"/>
  <c r="GE4" i="7"/>
  <c r="GE5" i="7"/>
  <c r="GE8" i="7"/>
  <c r="GE6" i="7"/>
  <c r="GE10" i="7"/>
  <c r="GE16" i="7"/>
  <c r="GE7" i="7"/>
  <c r="GE9" i="7"/>
  <c r="GE13" i="7"/>
  <c r="GE11" i="7"/>
  <c r="GE12" i="7"/>
  <c r="GE17" i="7"/>
  <c r="GE14" i="7"/>
  <c r="GE15" i="7"/>
  <c r="GF1" i="7"/>
  <c r="GE3" i="7"/>
  <c r="GF18" i="7" l="1"/>
  <c r="GF21" i="7"/>
  <c r="GF19" i="7"/>
  <c r="GF22" i="7"/>
  <c r="GF20" i="7"/>
  <c r="GF5" i="7"/>
  <c r="GF4" i="7"/>
  <c r="GF6" i="7"/>
  <c r="GF9" i="7"/>
  <c r="GF15" i="7"/>
  <c r="GF8" i="7"/>
  <c r="GF11" i="7"/>
  <c r="GF7" i="7"/>
  <c r="GF12" i="7"/>
  <c r="GF10" i="7"/>
  <c r="GF13" i="7"/>
  <c r="GF16" i="7"/>
  <c r="GF17" i="7"/>
  <c r="GF14" i="7"/>
  <c r="GG1" i="7"/>
  <c r="GF3" i="7"/>
  <c r="GG19" i="7" l="1"/>
  <c r="GG20" i="7"/>
  <c r="GG18" i="7"/>
  <c r="GG21" i="7"/>
  <c r="GG22" i="7"/>
  <c r="GG4" i="7"/>
  <c r="GG5" i="7"/>
  <c r="GG7" i="7"/>
  <c r="GG9" i="7"/>
  <c r="GG8" i="7"/>
  <c r="GG14" i="7"/>
  <c r="GG11" i="7"/>
  <c r="GG16" i="7"/>
  <c r="GG6" i="7"/>
  <c r="GG13" i="7"/>
  <c r="GG10" i="7"/>
  <c r="GG17" i="7"/>
  <c r="GG12" i="7"/>
  <c r="GG15" i="7"/>
  <c r="GH1" i="7"/>
  <c r="GG3" i="7"/>
  <c r="GH22" i="7" l="1"/>
  <c r="GH21" i="7"/>
  <c r="GH19" i="7"/>
  <c r="GH20" i="7"/>
  <c r="GH18" i="7"/>
  <c r="GH4" i="7"/>
  <c r="GH7" i="7"/>
  <c r="GH8" i="7"/>
  <c r="GH6" i="7"/>
  <c r="GH9" i="7"/>
  <c r="GH5" i="7"/>
  <c r="GH13" i="7"/>
  <c r="GH10" i="7"/>
  <c r="GH11" i="7"/>
  <c r="GH12" i="7"/>
  <c r="GH14" i="7"/>
  <c r="GH17" i="7"/>
  <c r="GH16" i="7"/>
  <c r="GH15" i="7"/>
  <c r="GI1" i="7"/>
  <c r="GH3" i="7"/>
  <c r="GI18" i="7" l="1"/>
  <c r="GI21" i="7"/>
  <c r="GI22" i="7"/>
  <c r="GI20" i="7"/>
  <c r="GI19" i="7"/>
  <c r="GI6" i="7"/>
  <c r="GI4" i="7"/>
  <c r="GI5" i="7"/>
  <c r="GI7" i="7"/>
  <c r="GI8" i="7"/>
  <c r="GI10" i="7"/>
  <c r="GI9" i="7"/>
  <c r="GI14" i="7"/>
  <c r="GI11" i="7"/>
  <c r="GI12" i="7"/>
  <c r="GI13" i="7"/>
  <c r="GI17" i="7"/>
  <c r="GI16" i="7"/>
  <c r="GI15" i="7"/>
  <c r="GJ1" i="7"/>
  <c r="GI3" i="7"/>
  <c r="GJ21" i="7" l="1"/>
  <c r="GJ18" i="7"/>
  <c r="GJ19" i="7"/>
  <c r="GJ20" i="7"/>
  <c r="GJ22" i="7"/>
  <c r="GJ5" i="7"/>
  <c r="GJ6" i="7"/>
  <c r="GJ4" i="7"/>
  <c r="GJ12" i="7"/>
  <c r="GJ9" i="7"/>
  <c r="GJ11" i="7"/>
  <c r="GJ8" i="7"/>
  <c r="GJ10" i="7"/>
  <c r="GJ7" i="7"/>
  <c r="GJ15" i="7"/>
  <c r="GJ13" i="7"/>
  <c r="GJ17" i="7"/>
  <c r="GJ14" i="7"/>
  <c r="GJ16" i="7"/>
  <c r="GK1" i="7"/>
  <c r="GJ3" i="7"/>
  <c r="GK19" i="7" l="1"/>
  <c r="GK18" i="7"/>
  <c r="GK21" i="7"/>
  <c r="GK22" i="7"/>
  <c r="GK20" i="7"/>
  <c r="GK4" i="7"/>
  <c r="GK5" i="7"/>
  <c r="GK6" i="7"/>
  <c r="GK7" i="7"/>
  <c r="GK11" i="7"/>
  <c r="GK8" i="7"/>
  <c r="GK14" i="7"/>
  <c r="GK9" i="7"/>
  <c r="GK12" i="7"/>
  <c r="GK16" i="7"/>
  <c r="GK15" i="7"/>
  <c r="GK10" i="7"/>
  <c r="GK17" i="7"/>
  <c r="GK13" i="7"/>
  <c r="GL1" i="7"/>
  <c r="GK3" i="7"/>
  <c r="GL18" i="7" l="1"/>
  <c r="GL21" i="7"/>
  <c r="GL19" i="7"/>
  <c r="GL20" i="7"/>
  <c r="GL22" i="7"/>
  <c r="GL4" i="7"/>
  <c r="GL6" i="7"/>
  <c r="GL5" i="7"/>
  <c r="GL10" i="7"/>
  <c r="GL8" i="7"/>
  <c r="GL7" i="7"/>
  <c r="GL11" i="7"/>
  <c r="GL14" i="7"/>
  <c r="GL13" i="7"/>
  <c r="GL9" i="7"/>
  <c r="GL12" i="7"/>
  <c r="GL15" i="7"/>
  <c r="GL16" i="7"/>
  <c r="GL17" i="7"/>
  <c r="GM1" i="7"/>
  <c r="GL3" i="7"/>
  <c r="GM18" i="7" l="1"/>
  <c r="GM20" i="7"/>
  <c r="GM22" i="7"/>
  <c r="GM21" i="7"/>
  <c r="GM19" i="7"/>
  <c r="GM5" i="7"/>
  <c r="GM6" i="7"/>
  <c r="GM4" i="7"/>
  <c r="GM9" i="7"/>
  <c r="GM8" i="7"/>
  <c r="GM7" i="7"/>
  <c r="GM17" i="7"/>
  <c r="GM13" i="7"/>
  <c r="GM11" i="7"/>
  <c r="GM12" i="7"/>
  <c r="GM16" i="7"/>
  <c r="GM10" i="7"/>
  <c r="GM14" i="7"/>
  <c r="GM15" i="7"/>
  <c r="GN1" i="7"/>
  <c r="GM3" i="7"/>
  <c r="GN18" i="7" l="1"/>
  <c r="GN22" i="7"/>
  <c r="GN21" i="7"/>
  <c r="GN19" i="7"/>
  <c r="GN20" i="7"/>
  <c r="GN4" i="7"/>
  <c r="GN5" i="7"/>
  <c r="GN7" i="7"/>
  <c r="GN6" i="7"/>
  <c r="GN9" i="7"/>
  <c r="GN11" i="7"/>
  <c r="GN10" i="7"/>
  <c r="GN15" i="7"/>
  <c r="GN13" i="7"/>
  <c r="GN14" i="7"/>
  <c r="GN8" i="7"/>
  <c r="GN12" i="7"/>
  <c r="GN16" i="7"/>
  <c r="GN17" i="7"/>
  <c r="GO1" i="7"/>
  <c r="GN3" i="7"/>
  <c r="GO20" i="7" l="1"/>
  <c r="GO22" i="7"/>
  <c r="GO18" i="7"/>
  <c r="GO19" i="7"/>
  <c r="GO21" i="7"/>
  <c r="GO4" i="7"/>
  <c r="GO5" i="7"/>
  <c r="GO6" i="7"/>
  <c r="GO7" i="7"/>
  <c r="GO9" i="7"/>
  <c r="GO11" i="7"/>
  <c r="GO8" i="7"/>
  <c r="GO10" i="7"/>
  <c r="GO12" i="7"/>
  <c r="GO13" i="7"/>
  <c r="GO15" i="7"/>
  <c r="GO16" i="7"/>
  <c r="GO14" i="7"/>
  <c r="GO17" i="7"/>
  <c r="GP1" i="7"/>
  <c r="GO3" i="7"/>
  <c r="GP22" i="7" l="1"/>
  <c r="GP18" i="7"/>
  <c r="GP21" i="7"/>
  <c r="GP20" i="7"/>
  <c r="GP19" i="7"/>
  <c r="GP4" i="7"/>
  <c r="GP5" i="7"/>
  <c r="GP7" i="7"/>
  <c r="GP6" i="7"/>
  <c r="GP12" i="7"/>
  <c r="GP9" i="7"/>
  <c r="GP8" i="7"/>
  <c r="GP10" i="7"/>
  <c r="GP13" i="7"/>
  <c r="GP15" i="7"/>
  <c r="GP16" i="7"/>
  <c r="GP11" i="7"/>
  <c r="GP14" i="7"/>
  <c r="GP17" i="7"/>
  <c r="GQ1" i="7"/>
  <c r="GP3" i="7"/>
  <c r="GQ20" i="7" l="1"/>
  <c r="GQ18" i="7"/>
  <c r="GQ22" i="7"/>
  <c r="GQ19" i="7"/>
  <c r="GQ21" i="7"/>
  <c r="GQ4" i="7"/>
  <c r="GQ6" i="7"/>
  <c r="GQ8" i="7"/>
  <c r="GQ5" i="7"/>
  <c r="GQ7" i="7"/>
  <c r="GQ16" i="7"/>
  <c r="GQ9" i="7"/>
  <c r="GQ10" i="7"/>
  <c r="GQ14" i="7"/>
  <c r="GQ12" i="7"/>
  <c r="GQ13" i="7"/>
  <c r="GQ15" i="7"/>
  <c r="GQ11" i="7"/>
  <c r="GQ17" i="7"/>
  <c r="GR1" i="7"/>
  <c r="GQ3" i="7"/>
  <c r="GR18" i="7" l="1"/>
  <c r="GR22" i="7"/>
  <c r="GR21" i="7"/>
  <c r="GR19" i="7"/>
  <c r="GR20" i="7"/>
  <c r="GR5" i="7"/>
  <c r="GR6" i="7"/>
  <c r="GR4" i="7"/>
  <c r="GR7" i="7"/>
  <c r="GR9" i="7"/>
  <c r="GR10" i="7"/>
  <c r="GR15" i="7"/>
  <c r="GR8" i="7"/>
  <c r="GR13" i="7"/>
  <c r="GR12" i="7"/>
  <c r="GR16" i="7"/>
  <c r="GR17" i="7"/>
  <c r="GR11" i="7"/>
  <c r="GR14" i="7"/>
  <c r="GS1" i="7"/>
  <c r="GR3" i="7"/>
  <c r="GS20" i="7" l="1"/>
  <c r="GS18" i="7"/>
  <c r="GS22" i="7"/>
  <c r="GS21" i="7"/>
  <c r="GS19" i="7"/>
  <c r="GS4" i="7"/>
  <c r="GS5" i="7"/>
  <c r="GS7" i="7"/>
  <c r="GS6" i="7"/>
  <c r="GS9" i="7"/>
  <c r="GS8" i="7"/>
  <c r="GS14" i="7"/>
  <c r="GS11" i="7"/>
  <c r="GS13" i="7"/>
  <c r="GS12" i="7"/>
  <c r="GS10" i="7"/>
  <c r="GS15" i="7"/>
  <c r="GS16" i="7"/>
  <c r="GS17" i="7"/>
  <c r="GT1" i="7"/>
  <c r="GS3" i="7"/>
  <c r="GT19" i="7" l="1"/>
  <c r="GT18" i="7"/>
  <c r="GT20" i="7"/>
  <c r="GT21" i="7"/>
  <c r="GT22" i="7"/>
  <c r="GT4" i="7"/>
  <c r="GT7" i="7"/>
  <c r="GT8" i="7"/>
  <c r="GT6" i="7"/>
  <c r="GT5" i="7"/>
  <c r="GT13" i="7"/>
  <c r="GT9" i="7"/>
  <c r="GT12" i="7"/>
  <c r="GT16" i="7"/>
  <c r="GT10" i="7"/>
  <c r="GT11" i="7"/>
  <c r="GT14" i="7"/>
  <c r="GT15" i="7"/>
  <c r="GT17" i="7"/>
  <c r="GU1" i="7"/>
  <c r="GT3" i="7"/>
  <c r="GU18" i="7" l="1"/>
  <c r="GU22" i="7"/>
  <c r="GU21" i="7"/>
  <c r="GU20" i="7"/>
  <c r="GU19" i="7"/>
  <c r="GU6" i="7"/>
  <c r="GU7" i="7"/>
  <c r="GU5" i="7"/>
  <c r="GU8" i="7"/>
  <c r="GU4" i="7"/>
  <c r="GU9" i="7"/>
  <c r="GU10" i="7"/>
  <c r="GU14" i="7"/>
  <c r="GU12" i="7"/>
  <c r="GU13" i="7"/>
  <c r="GU15" i="7"/>
  <c r="GU16" i="7"/>
  <c r="GU11" i="7"/>
  <c r="GU17" i="7"/>
  <c r="GV1" i="7"/>
  <c r="GU3" i="7"/>
  <c r="GV19" i="7" l="1"/>
  <c r="GV21" i="7"/>
  <c r="GV18" i="7"/>
  <c r="GV20" i="7"/>
  <c r="GV22" i="7"/>
  <c r="GV5" i="7"/>
  <c r="GV6" i="7"/>
  <c r="GV12" i="7"/>
  <c r="GV9" i="7"/>
  <c r="GV4" i="7"/>
  <c r="GV7" i="7"/>
  <c r="GV10" i="7"/>
  <c r="GV8" i="7"/>
  <c r="GV14" i="7"/>
  <c r="GV11" i="7"/>
  <c r="GV13" i="7"/>
  <c r="GV17" i="7"/>
  <c r="GV15" i="7"/>
  <c r="GV16" i="7"/>
  <c r="GW1" i="7"/>
  <c r="GV3" i="7"/>
  <c r="GW19" i="7" l="1"/>
  <c r="GW18" i="7"/>
  <c r="GW21" i="7"/>
  <c r="GW20" i="7"/>
  <c r="GW22" i="7"/>
  <c r="GW4" i="7"/>
  <c r="GW5" i="7"/>
  <c r="GW6" i="7"/>
  <c r="GW8" i="7"/>
  <c r="GW11" i="7"/>
  <c r="GW7" i="7"/>
  <c r="GW10" i="7"/>
  <c r="GW12" i="7"/>
  <c r="GW14" i="7"/>
  <c r="GW9" i="7"/>
  <c r="GW13" i="7"/>
  <c r="GW17" i="7"/>
  <c r="GW15" i="7"/>
  <c r="GW16" i="7"/>
  <c r="GX1" i="7"/>
  <c r="GW3" i="7"/>
  <c r="GX19" i="7" l="1"/>
  <c r="GX20" i="7"/>
  <c r="GX18" i="7"/>
  <c r="GX21" i="7"/>
  <c r="GX22" i="7"/>
  <c r="GX4" i="7"/>
  <c r="GX6" i="7"/>
  <c r="GX5" i="7"/>
  <c r="GX10" i="7"/>
  <c r="GX7" i="7"/>
  <c r="GX8" i="7"/>
  <c r="GX11" i="7"/>
  <c r="GX9" i="7"/>
  <c r="GX14" i="7"/>
  <c r="GX12" i="7"/>
  <c r="GX17" i="7"/>
  <c r="GX13" i="7"/>
  <c r="GX15" i="7"/>
  <c r="GX16" i="7"/>
  <c r="GY1" i="7"/>
  <c r="GX3" i="7"/>
  <c r="GY18" i="7" l="1"/>
  <c r="GY21" i="7"/>
  <c r="GY19" i="7"/>
  <c r="GY20" i="7"/>
  <c r="GY22" i="7"/>
  <c r="GY5" i="7"/>
  <c r="GY6" i="7"/>
  <c r="GY8" i="7"/>
  <c r="GY4" i="7"/>
  <c r="GY7" i="7"/>
  <c r="GY9" i="7"/>
  <c r="GY17" i="7"/>
  <c r="GY14" i="7"/>
  <c r="GY13" i="7"/>
  <c r="GY11" i="7"/>
  <c r="GY10" i="7"/>
  <c r="GY12" i="7"/>
  <c r="GY15" i="7"/>
  <c r="GY16" i="7"/>
  <c r="GZ1" i="7"/>
  <c r="GY3" i="7"/>
  <c r="GZ21" i="7" l="1"/>
  <c r="GZ22" i="7"/>
  <c r="GZ18" i="7"/>
  <c r="GZ19" i="7"/>
  <c r="GZ20" i="7"/>
  <c r="GZ4" i="7"/>
  <c r="GZ5" i="7"/>
  <c r="GZ7" i="7"/>
  <c r="GZ9" i="7"/>
  <c r="GZ6" i="7"/>
  <c r="GZ8" i="7"/>
  <c r="GZ11" i="7"/>
  <c r="GZ10" i="7"/>
  <c r="GZ14" i="7"/>
  <c r="GZ12" i="7"/>
  <c r="GZ15" i="7"/>
  <c r="GZ17" i="7"/>
  <c r="GZ13" i="7"/>
  <c r="GZ16" i="7"/>
  <c r="HA1" i="7"/>
  <c r="GZ3" i="7"/>
  <c r="HA19" i="7" l="1"/>
  <c r="HA20" i="7"/>
  <c r="HA18" i="7"/>
  <c r="HA22" i="7"/>
  <c r="HA21" i="7"/>
  <c r="HA4" i="7"/>
  <c r="HA5" i="7"/>
  <c r="HA6" i="7"/>
  <c r="HA8" i="7"/>
  <c r="HA7" i="7"/>
  <c r="HA11" i="7"/>
  <c r="HA10" i="7"/>
  <c r="HA9" i="7"/>
  <c r="HA15" i="7"/>
  <c r="HA13" i="7"/>
  <c r="HA14" i="7"/>
  <c r="HA12" i="7"/>
  <c r="HA16" i="7"/>
  <c r="HA17" i="7"/>
  <c r="HB1" i="7"/>
  <c r="HA3" i="7"/>
  <c r="HB18" i="7" l="1"/>
  <c r="HB21" i="7"/>
  <c r="HB19" i="7"/>
  <c r="HB20" i="7"/>
  <c r="HB22" i="7"/>
  <c r="HB4" i="7"/>
  <c r="HB6" i="7"/>
  <c r="HB5" i="7"/>
  <c r="HB7" i="7"/>
  <c r="HB9" i="7"/>
  <c r="HB8" i="7"/>
  <c r="HB11" i="7"/>
  <c r="HB10" i="7"/>
  <c r="HB13" i="7"/>
  <c r="HB14" i="7"/>
  <c r="HB15" i="7"/>
  <c r="HB16" i="7"/>
  <c r="HB12" i="7"/>
  <c r="HB17" i="7"/>
  <c r="HC1" i="7"/>
  <c r="HB3" i="7"/>
  <c r="HC18" i="7" l="1"/>
  <c r="HC21" i="7"/>
  <c r="HC22" i="7"/>
  <c r="HC19" i="7"/>
  <c r="HC20" i="7"/>
  <c r="HC4" i="7"/>
  <c r="HC6" i="7"/>
  <c r="HC5" i="7"/>
  <c r="HC12" i="7"/>
  <c r="HC16" i="7"/>
  <c r="HC7" i="7"/>
  <c r="HC8" i="7"/>
  <c r="HC10" i="7"/>
  <c r="HC9" i="7"/>
  <c r="HC13" i="7"/>
  <c r="HC11" i="7"/>
  <c r="HC15" i="7"/>
  <c r="HC14" i="7"/>
  <c r="HC17" i="7"/>
  <c r="HD1" i="7"/>
  <c r="HC3" i="7"/>
  <c r="HD21" i="7" l="1"/>
  <c r="HD22" i="7"/>
  <c r="HD19" i="7"/>
  <c r="HD18" i="7"/>
  <c r="HD20" i="7"/>
  <c r="HD5" i="7"/>
  <c r="HD4" i="7"/>
  <c r="HD6" i="7"/>
  <c r="HD7" i="7"/>
  <c r="HD9" i="7"/>
  <c r="HD15" i="7"/>
  <c r="HD8" i="7"/>
  <c r="HD10" i="7"/>
  <c r="HD11" i="7"/>
  <c r="HD12" i="7"/>
  <c r="HD14" i="7"/>
  <c r="HD16" i="7"/>
  <c r="HD17" i="7"/>
  <c r="HD13" i="7"/>
  <c r="HE1" i="7"/>
  <c r="HD3" i="7"/>
  <c r="HE18" i="7" l="1"/>
  <c r="HE22" i="7"/>
  <c r="HE19" i="7"/>
  <c r="HE21" i="7"/>
  <c r="HE20" i="7"/>
  <c r="HE4" i="7"/>
  <c r="HE5" i="7"/>
  <c r="HE7" i="7"/>
  <c r="HE9" i="7"/>
  <c r="HE6" i="7"/>
  <c r="HE8" i="7"/>
  <c r="HE10" i="7"/>
  <c r="HE14" i="7"/>
  <c r="HE13" i="7"/>
  <c r="HE11" i="7"/>
  <c r="HE16" i="7"/>
  <c r="HE17" i="7"/>
  <c r="HE12" i="7"/>
  <c r="HE15" i="7"/>
  <c r="HF1" i="7"/>
  <c r="HE3" i="7"/>
  <c r="HF19" i="7" l="1"/>
  <c r="HF18" i="7"/>
  <c r="HF21" i="7"/>
  <c r="HF22" i="7"/>
  <c r="HF20" i="7"/>
  <c r="HF4" i="7"/>
  <c r="HF7" i="7"/>
  <c r="HF8" i="7"/>
  <c r="HF5" i="7"/>
  <c r="HF13" i="7"/>
  <c r="HF6" i="7"/>
  <c r="HF11" i="7"/>
  <c r="HF12" i="7"/>
  <c r="HF10" i="7"/>
  <c r="HF15" i="7"/>
  <c r="HF16" i="7"/>
  <c r="HF9" i="7"/>
  <c r="HF14" i="7"/>
  <c r="HF17" i="7"/>
  <c r="HG1" i="7"/>
  <c r="HF3" i="7"/>
  <c r="HG20" i="7" l="1"/>
  <c r="HG18" i="7"/>
  <c r="HG22" i="7"/>
  <c r="HG21" i="7"/>
  <c r="HG19" i="7"/>
  <c r="HG6" i="7"/>
  <c r="HG5" i="7"/>
  <c r="HG7" i="7"/>
  <c r="HG4" i="7"/>
  <c r="HG9" i="7"/>
  <c r="HG8" i="7"/>
  <c r="HG10" i="7"/>
  <c r="HG16" i="7"/>
  <c r="HG13" i="7"/>
  <c r="HG12" i="7"/>
  <c r="HG15" i="7"/>
  <c r="HG11" i="7"/>
  <c r="HG14" i="7"/>
  <c r="HG17" i="7"/>
  <c r="HH1" i="7"/>
  <c r="HG3" i="7"/>
  <c r="HH18" i="7" l="1"/>
  <c r="HH21" i="7"/>
  <c r="HH22" i="7"/>
  <c r="HH20" i="7"/>
  <c r="HH19" i="7"/>
  <c r="HH5" i="7"/>
  <c r="HH6" i="7"/>
  <c r="HH4" i="7"/>
  <c r="HH8" i="7"/>
  <c r="HH12" i="7"/>
  <c r="HH10" i="7"/>
  <c r="HH7" i="7"/>
  <c r="HH14" i="7"/>
  <c r="HH15" i="7"/>
  <c r="HH16" i="7"/>
  <c r="HH11" i="7"/>
  <c r="HH13" i="7"/>
  <c r="HH17" i="7"/>
  <c r="HH9" i="7"/>
  <c r="HI1" i="7"/>
  <c r="HH3" i="7"/>
  <c r="HI18" i="7" l="1"/>
  <c r="HI22" i="7"/>
  <c r="HI21" i="7"/>
  <c r="HI20" i="7"/>
  <c r="HI19" i="7"/>
  <c r="HI4" i="7"/>
  <c r="HI5" i="7"/>
  <c r="HI6" i="7"/>
  <c r="HI11" i="7"/>
  <c r="HI9" i="7"/>
  <c r="HI7" i="7"/>
  <c r="HI8" i="7"/>
  <c r="HI10" i="7"/>
  <c r="HI12" i="7"/>
  <c r="HI14" i="7"/>
  <c r="HI15" i="7"/>
  <c r="HI16" i="7"/>
  <c r="HI13" i="7"/>
  <c r="HI17" i="7"/>
  <c r="HJ1" i="7"/>
  <c r="HI3" i="7"/>
  <c r="HJ20" i="7" l="1"/>
  <c r="HJ19" i="7"/>
  <c r="HJ21" i="7"/>
  <c r="HJ18" i="7"/>
  <c r="HJ22" i="7"/>
  <c r="HJ4" i="7"/>
  <c r="HJ6" i="7"/>
  <c r="HJ5" i="7"/>
  <c r="HJ10" i="7"/>
  <c r="HJ9" i="7"/>
  <c r="HJ7" i="7"/>
  <c r="HJ8" i="7"/>
  <c r="HJ15" i="7"/>
  <c r="HJ14" i="7"/>
  <c r="HJ11" i="7"/>
  <c r="HJ13" i="7"/>
  <c r="HJ16" i="7"/>
  <c r="HJ17" i="7"/>
  <c r="HJ12" i="7"/>
  <c r="HK1" i="7"/>
  <c r="HJ3" i="7"/>
  <c r="HK18" i="7" l="1"/>
  <c r="HK19" i="7"/>
  <c r="HK21" i="7"/>
  <c r="HK20" i="7"/>
  <c r="HK22" i="7"/>
  <c r="HK5" i="7"/>
  <c r="HK6" i="7"/>
  <c r="HK4" i="7"/>
  <c r="HK8" i="7"/>
  <c r="HK7" i="7"/>
  <c r="HK11" i="7"/>
  <c r="HK9" i="7"/>
  <c r="HK10" i="7"/>
  <c r="HK17" i="7"/>
  <c r="HK12" i="7"/>
  <c r="HK14" i="7"/>
  <c r="HK15" i="7"/>
  <c r="HK16" i="7"/>
  <c r="HK13" i="7"/>
  <c r="HL1" i="7"/>
  <c r="HK3" i="7"/>
  <c r="HL20" i="7" l="1"/>
  <c r="HL21" i="7"/>
  <c r="HL18" i="7"/>
  <c r="HL19" i="7"/>
  <c r="HL22" i="7"/>
  <c r="HL4" i="7"/>
  <c r="HL5" i="7"/>
  <c r="HL6" i="7"/>
  <c r="HL7" i="7"/>
  <c r="HL9" i="7"/>
  <c r="HL10" i="7"/>
  <c r="HL12" i="7"/>
  <c r="HL14" i="7"/>
  <c r="HL13" i="7"/>
  <c r="HL11" i="7"/>
  <c r="HL15" i="7"/>
  <c r="HL8" i="7"/>
  <c r="HL16" i="7"/>
  <c r="HL17" i="7"/>
  <c r="HM1" i="7"/>
  <c r="HL3" i="7"/>
  <c r="HM20" i="7" l="1"/>
  <c r="HM18" i="7"/>
  <c r="HM19" i="7"/>
  <c r="HM21" i="7"/>
  <c r="HM22" i="7"/>
  <c r="HM4" i="7"/>
  <c r="HM5" i="7"/>
  <c r="HM6" i="7"/>
  <c r="HM9" i="7"/>
  <c r="HM8" i="7"/>
  <c r="HM7" i="7"/>
  <c r="HM10" i="7"/>
  <c r="HM11" i="7"/>
  <c r="HM13" i="7"/>
  <c r="HM12" i="7"/>
  <c r="HM16" i="7"/>
  <c r="HM14" i="7"/>
  <c r="HM15" i="7"/>
  <c r="HM17" i="7"/>
  <c r="HN1" i="7"/>
  <c r="HM3" i="7"/>
  <c r="HN20" i="7" l="1"/>
  <c r="HN18" i="7"/>
  <c r="HN19" i="7"/>
  <c r="HN22" i="7"/>
  <c r="HN21" i="7"/>
  <c r="HN4" i="7"/>
  <c r="HN5" i="7"/>
  <c r="HN7" i="7"/>
  <c r="HN8" i="7"/>
  <c r="HN11" i="7"/>
  <c r="HN9" i="7"/>
  <c r="HN10" i="7"/>
  <c r="HN6" i="7"/>
  <c r="HN15" i="7"/>
  <c r="HN13" i="7"/>
  <c r="HN12" i="7"/>
  <c r="HN14" i="7"/>
  <c r="HN16" i="7"/>
  <c r="HN17" i="7"/>
  <c r="HO1" i="7"/>
  <c r="HN3" i="7"/>
  <c r="HO21" i="7" l="1"/>
  <c r="HO18" i="7"/>
  <c r="HO19" i="7"/>
  <c r="HO22" i="7"/>
  <c r="HO20" i="7"/>
  <c r="HO4" i="7"/>
  <c r="HO5" i="7"/>
  <c r="HO7" i="7"/>
  <c r="HO16" i="7"/>
  <c r="HO11" i="7"/>
  <c r="HO9" i="7"/>
  <c r="HO8" i="7"/>
  <c r="HO10" i="7"/>
  <c r="HO6" i="7"/>
  <c r="HO13" i="7"/>
  <c r="HO15" i="7"/>
  <c r="HO12" i="7"/>
  <c r="HO17" i="7"/>
  <c r="HO14" i="7"/>
  <c r="HP1" i="7"/>
  <c r="HO3" i="7"/>
  <c r="HP19" i="7" l="1"/>
  <c r="HP22" i="7"/>
  <c r="HP18" i="7"/>
  <c r="HP21" i="7"/>
  <c r="HP20" i="7"/>
  <c r="HP5" i="7"/>
  <c r="HP4" i="7"/>
  <c r="HP6" i="7"/>
  <c r="HP9" i="7"/>
  <c r="HP12" i="7"/>
  <c r="HP15" i="7"/>
  <c r="HP7" i="7"/>
  <c r="HP8" i="7"/>
  <c r="HP10" i="7"/>
  <c r="HP13" i="7"/>
  <c r="HP14" i="7"/>
  <c r="HP16" i="7"/>
  <c r="HP11" i="7"/>
  <c r="HP17" i="7"/>
  <c r="HQ1" i="7"/>
  <c r="HP3" i="7"/>
  <c r="HQ21" i="7" l="1"/>
  <c r="HQ18" i="7"/>
  <c r="HQ22" i="7"/>
  <c r="HQ19" i="7"/>
  <c r="HQ20" i="7"/>
  <c r="HQ4" i="7"/>
  <c r="HQ5" i="7"/>
  <c r="HQ7" i="7"/>
  <c r="HQ9" i="7"/>
  <c r="HQ6" i="7"/>
  <c r="HQ14" i="7"/>
  <c r="HQ8" i="7"/>
  <c r="HQ10" i="7"/>
  <c r="HQ15" i="7"/>
  <c r="HQ11" i="7"/>
  <c r="HQ13" i="7"/>
  <c r="HQ16" i="7"/>
  <c r="HQ17" i="7"/>
  <c r="HQ12" i="7"/>
  <c r="HR1" i="7"/>
  <c r="HQ3" i="7"/>
  <c r="HR20" i="7" l="1"/>
  <c r="HR18" i="7"/>
  <c r="HR21" i="7"/>
  <c r="HR22" i="7"/>
  <c r="HR19" i="7"/>
  <c r="HR4" i="7"/>
  <c r="HR7" i="7"/>
  <c r="HR8" i="7"/>
  <c r="HR6" i="7"/>
  <c r="HR5" i="7"/>
  <c r="HR10" i="7"/>
  <c r="HR13" i="7"/>
  <c r="HR9" i="7"/>
  <c r="HR12" i="7"/>
  <c r="HR14" i="7"/>
  <c r="HR11" i="7"/>
  <c r="HR16" i="7"/>
  <c r="HR17" i="7"/>
  <c r="HR15" i="7"/>
  <c r="HS1" i="7"/>
  <c r="HR3" i="7"/>
  <c r="HS18" i="7" l="1"/>
  <c r="HS22" i="7"/>
  <c r="HS20" i="7"/>
  <c r="HS21" i="7"/>
  <c r="HS19" i="7"/>
  <c r="HS6" i="7"/>
  <c r="HS4" i="7"/>
  <c r="HS7" i="7"/>
  <c r="HS5" i="7"/>
  <c r="HS9" i="7"/>
  <c r="HS11" i="7"/>
  <c r="HS8" i="7"/>
  <c r="HS13" i="7"/>
  <c r="HS10" i="7"/>
  <c r="HS12" i="7"/>
  <c r="HS14" i="7"/>
  <c r="HS16" i="7"/>
  <c r="HS15" i="7"/>
  <c r="HS17" i="7"/>
  <c r="HT1" i="7"/>
  <c r="HS3" i="7"/>
  <c r="HT19" i="7" l="1"/>
  <c r="HT18" i="7"/>
  <c r="HT22" i="7"/>
  <c r="HT21" i="7"/>
  <c r="HT20" i="7"/>
  <c r="HT5" i="7"/>
  <c r="HT6" i="7"/>
  <c r="HT4" i="7"/>
  <c r="HT12" i="7"/>
  <c r="HT7" i="7"/>
  <c r="HT8" i="7"/>
  <c r="HT9" i="7"/>
  <c r="HT11" i="7"/>
  <c r="HT16" i="7"/>
  <c r="HT13" i="7"/>
  <c r="HT10" i="7"/>
  <c r="HT14" i="7"/>
  <c r="HT15" i="7"/>
  <c r="HT17" i="7"/>
  <c r="HU1" i="7"/>
  <c r="HT3" i="7"/>
  <c r="HU20" i="7" l="1"/>
  <c r="HU21" i="7"/>
  <c r="HU22" i="7"/>
  <c r="HU18" i="7"/>
  <c r="HU19" i="7"/>
  <c r="HU4" i="7"/>
  <c r="HU5" i="7"/>
  <c r="HU6" i="7"/>
  <c r="HU8" i="7"/>
  <c r="HU9" i="7"/>
  <c r="HU11" i="7"/>
  <c r="HU7" i="7"/>
  <c r="HU10" i="7"/>
  <c r="HU12" i="7"/>
  <c r="HU15" i="7"/>
  <c r="HU13" i="7"/>
  <c r="HU16" i="7"/>
  <c r="HU14" i="7"/>
  <c r="HU17" i="7"/>
  <c r="HV1" i="7"/>
  <c r="HU3" i="7"/>
  <c r="HV18" i="7" l="1"/>
  <c r="HV19" i="7"/>
  <c r="HV21" i="7"/>
  <c r="HV20" i="7"/>
  <c r="HV22" i="7"/>
  <c r="HV4" i="7"/>
  <c r="HV6" i="7"/>
  <c r="HV5" i="7"/>
  <c r="HV10" i="7"/>
  <c r="HV8" i="7"/>
  <c r="HV9" i="7"/>
  <c r="HV14" i="7"/>
  <c r="HV11" i="7"/>
  <c r="HV7" i="7"/>
  <c r="HV12" i="7"/>
  <c r="HV15" i="7"/>
  <c r="HV13" i="7"/>
  <c r="HV16" i="7"/>
  <c r="HV17" i="7"/>
  <c r="HW1" i="7"/>
  <c r="HV3" i="7"/>
  <c r="HW18" i="7" l="1"/>
  <c r="HW19" i="7"/>
  <c r="HW21" i="7"/>
  <c r="HW22" i="7"/>
  <c r="HW20" i="7"/>
  <c r="HW5" i="7"/>
  <c r="HW6" i="7"/>
  <c r="HW4" i="7"/>
  <c r="HW9" i="7"/>
  <c r="HW8" i="7"/>
  <c r="HW10" i="7"/>
  <c r="HW7" i="7"/>
  <c r="HW12" i="7"/>
  <c r="HW17" i="7"/>
  <c r="HW11" i="7"/>
  <c r="HW15" i="7"/>
  <c r="HW13" i="7"/>
  <c r="HW14" i="7"/>
  <c r="HW16" i="7"/>
  <c r="HX1" i="7"/>
  <c r="HW3" i="7"/>
  <c r="HX20" i="7" l="1"/>
  <c r="HX18" i="7"/>
  <c r="HX21" i="7"/>
  <c r="HX22" i="7"/>
  <c r="HX19" i="7"/>
  <c r="HX4" i="7"/>
  <c r="HX5" i="7"/>
  <c r="HX7" i="7"/>
  <c r="HX6" i="7"/>
  <c r="HX9" i="7"/>
  <c r="HX11" i="7"/>
  <c r="HX8" i="7"/>
  <c r="HX10" i="7"/>
  <c r="HX14" i="7"/>
  <c r="HX12" i="7"/>
  <c r="HX15" i="7"/>
  <c r="HX13" i="7"/>
  <c r="HX17" i="7"/>
  <c r="HX16" i="7"/>
  <c r="HY1" i="7"/>
  <c r="HX3" i="7"/>
  <c r="HY19" i="7" l="1"/>
  <c r="HY18" i="7"/>
  <c r="HY22" i="7"/>
  <c r="HY21" i="7"/>
  <c r="HY20" i="7"/>
  <c r="HY4" i="7"/>
  <c r="HY5" i="7"/>
  <c r="HY7" i="7"/>
  <c r="HY8" i="7"/>
  <c r="HY6" i="7"/>
  <c r="HY9" i="7"/>
  <c r="HY12" i="7"/>
  <c r="HY11" i="7"/>
  <c r="HY14" i="7"/>
  <c r="HY13" i="7"/>
  <c r="HY10" i="7"/>
  <c r="HY15" i="7"/>
  <c r="HY17" i="7"/>
  <c r="HY16" i="7"/>
  <c r="HZ1" i="7"/>
  <c r="HY3" i="7"/>
  <c r="HZ22" i="7" l="1"/>
  <c r="HZ18" i="7"/>
  <c r="HZ20" i="7"/>
  <c r="HZ21" i="7"/>
  <c r="HZ19" i="7"/>
  <c r="HZ4" i="7"/>
  <c r="HZ5" i="7"/>
  <c r="HZ7" i="7"/>
  <c r="HZ9" i="7"/>
  <c r="HZ6" i="7"/>
  <c r="HZ8" i="7"/>
  <c r="HZ12" i="7"/>
  <c r="HZ11" i="7"/>
  <c r="HZ10" i="7"/>
  <c r="HZ14" i="7"/>
  <c r="HZ13" i="7"/>
  <c r="HZ17" i="7"/>
  <c r="HZ15" i="7"/>
  <c r="HZ16" i="7"/>
  <c r="IA1" i="7"/>
  <c r="HZ3" i="7"/>
  <c r="IA21" i="7" l="1"/>
  <c r="IA18" i="7"/>
  <c r="IA20" i="7"/>
  <c r="IA22" i="7"/>
  <c r="IA19" i="7"/>
  <c r="IA4" i="7"/>
  <c r="IA6" i="7"/>
  <c r="IA5" i="7"/>
  <c r="IA8" i="7"/>
  <c r="IA9" i="7"/>
  <c r="IA16" i="7"/>
  <c r="IA11" i="7"/>
  <c r="IA10" i="7"/>
  <c r="IA7" i="7"/>
  <c r="IA15" i="7"/>
  <c r="IA13" i="7"/>
  <c r="IA12" i="7"/>
  <c r="IA14" i="7"/>
  <c r="IA17" i="7"/>
  <c r="IB1" i="7"/>
  <c r="IA3" i="7"/>
  <c r="IB19" i="7" l="1"/>
  <c r="IB18" i="7"/>
  <c r="IB21" i="7"/>
  <c r="IB20" i="7"/>
  <c r="IB22" i="7"/>
  <c r="IB5" i="7"/>
  <c r="IB6" i="7"/>
  <c r="IB4" i="7"/>
  <c r="IB8" i="7"/>
  <c r="IB15" i="7"/>
  <c r="IB11" i="7"/>
  <c r="IB10" i="7"/>
  <c r="IB7" i="7"/>
  <c r="IB13" i="7"/>
  <c r="IB12" i="7"/>
  <c r="IB16" i="7"/>
  <c r="IB14" i="7"/>
  <c r="IB17" i="7"/>
  <c r="IB9" i="7"/>
  <c r="IC1" i="7"/>
  <c r="IB3" i="7"/>
  <c r="IC20" i="7" l="1"/>
  <c r="IC21" i="7"/>
  <c r="IC18" i="7"/>
  <c r="IC22" i="7"/>
  <c r="IC19" i="7"/>
  <c r="IC4" i="7"/>
  <c r="IC5" i="7"/>
  <c r="IC7" i="7"/>
  <c r="IC6" i="7"/>
  <c r="IC9" i="7"/>
  <c r="IC12" i="7"/>
  <c r="IC14" i="7"/>
  <c r="IC8" i="7"/>
  <c r="IC10" i="7"/>
  <c r="IC13" i="7"/>
  <c r="IC11" i="7"/>
  <c r="IC15" i="7"/>
  <c r="IC17" i="7"/>
  <c r="IC16" i="7"/>
  <c r="ID1" i="7"/>
  <c r="IC3" i="7"/>
  <c r="ID21" i="7" l="1"/>
  <c r="ID19" i="7"/>
  <c r="ID18" i="7"/>
  <c r="ID22" i="7"/>
  <c r="ID20" i="7"/>
  <c r="ID4" i="7"/>
  <c r="ID7" i="7"/>
  <c r="ID8" i="7"/>
  <c r="ID6" i="7"/>
  <c r="ID5" i="7"/>
  <c r="ID13" i="7"/>
  <c r="ID10" i="7"/>
  <c r="ID15" i="7"/>
  <c r="ID9" i="7"/>
  <c r="ID11" i="7"/>
  <c r="ID12" i="7"/>
  <c r="ID14" i="7"/>
  <c r="ID16" i="7"/>
  <c r="ID17" i="7"/>
  <c r="IE1" i="7"/>
  <c r="ID3" i="7"/>
  <c r="IE20" i="7" l="1"/>
  <c r="IE21" i="7"/>
  <c r="IE18" i="7"/>
  <c r="IE22" i="7"/>
  <c r="IE19" i="7"/>
  <c r="IE5" i="7"/>
  <c r="IE7" i="7"/>
  <c r="IE4" i="7"/>
  <c r="IE6" i="7"/>
  <c r="IE10" i="7"/>
  <c r="IE9" i="7"/>
  <c r="IE8" i="7"/>
  <c r="IE14" i="7"/>
  <c r="IE11" i="7"/>
  <c r="IE17" i="7"/>
  <c r="IE13" i="7"/>
  <c r="IE15" i="7"/>
  <c r="IE12" i="7"/>
  <c r="IE16" i="7"/>
  <c r="IF1" i="7"/>
  <c r="IE3" i="7"/>
  <c r="IF18" i="7" l="1"/>
  <c r="IF22" i="7"/>
  <c r="IF21" i="7"/>
  <c r="IF19" i="7"/>
  <c r="IF20" i="7"/>
  <c r="IF5" i="7"/>
  <c r="IF6" i="7"/>
  <c r="IF4" i="7"/>
  <c r="IF12" i="7"/>
  <c r="IF7" i="7"/>
  <c r="IF9" i="7"/>
  <c r="IF8" i="7"/>
  <c r="IF11" i="7"/>
  <c r="IF13" i="7"/>
  <c r="IF16" i="7"/>
  <c r="IF15" i="7"/>
  <c r="IF14" i="7"/>
  <c r="IF10" i="7"/>
  <c r="IF17" i="7"/>
  <c r="IG1" i="7"/>
  <c r="IF3" i="7"/>
  <c r="IG20" i="7" l="1"/>
  <c r="IG18" i="7"/>
  <c r="IG19" i="7"/>
  <c r="IG22" i="7"/>
  <c r="IG21" i="7"/>
  <c r="IG4" i="7"/>
  <c r="IG5" i="7"/>
  <c r="IG6" i="7"/>
  <c r="IG11" i="7"/>
  <c r="IG9" i="7"/>
  <c r="IG8" i="7"/>
  <c r="IG7" i="7"/>
  <c r="IG16" i="7"/>
  <c r="IG13" i="7"/>
  <c r="IG10" i="7"/>
  <c r="IG12" i="7"/>
  <c r="IG15" i="7"/>
  <c r="IG14" i="7"/>
  <c r="IG17" i="7"/>
  <c r="IH1" i="7"/>
  <c r="IG3" i="7"/>
  <c r="IH18" i="7" l="1"/>
  <c r="IH19" i="7"/>
  <c r="IH20" i="7"/>
  <c r="IH21" i="7"/>
  <c r="IH22" i="7"/>
  <c r="IH4" i="7"/>
  <c r="IH6" i="7"/>
  <c r="IH5" i="7"/>
  <c r="IH8" i="7"/>
  <c r="IH10" i="7"/>
  <c r="IH7" i="7"/>
  <c r="IH9" i="7"/>
  <c r="IH11" i="7"/>
  <c r="IH16" i="7"/>
  <c r="IH13" i="7"/>
  <c r="IH15" i="7"/>
  <c r="IH14" i="7"/>
  <c r="IH12" i="7"/>
  <c r="IH17" i="7"/>
  <c r="II1" i="7"/>
  <c r="IH3" i="7"/>
  <c r="II18" i="7" l="1"/>
  <c r="II21" i="7"/>
  <c r="II19" i="7"/>
  <c r="II22" i="7"/>
  <c r="II20" i="7"/>
  <c r="II5" i="7"/>
  <c r="II6" i="7"/>
  <c r="II4" i="7"/>
  <c r="II9" i="7"/>
  <c r="II8" i="7"/>
  <c r="II7" i="7"/>
  <c r="II10" i="7"/>
  <c r="II14" i="7"/>
  <c r="II17" i="7"/>
  <c r="II12" i="7"/>
  <c r="II16" i="7"/>
  <c r="II11" i="7"/>
  <c r="II13" i="7"/>
  <c r="II15" i="7"/>
  <c r="IJ1" i="7"/>
  <c r="II3" i="7"/>
  <c r="IJ18" i="7" l="1"/>
  <c r="IJ21" i="7"/>
  <c r="IJ20" i="7"/>
  <c r="IJ22" i="7"/>
  <c r="IJ19" i="7"/>
  <c r="IJ4" i="7"/>
  <c r="IJ5" i="7"/>
  <c r="IJ7" i="7"/>
  <c r="IJ6" i="7"/>
  <c r="IJ10" i="7"/>
  <c r="IJ11" i="7"/>
  <c r="IJ9" i="7"/>
  <c r="IJ12" i="7"/>
  <c r="IJ14" i="7"/>
  <c r="IJ15" i="7"/>
  <c r="IJ16" i="7"/>
  <c r="IJ8" i="7"/>
  <c r="IJ13" i="7"/>
  <c r="IJ17" i="7"/>
  <c r="IK1" i="7"/>
  <c r="IJ3" i="7"/>
  <c r="IK20" i="7" l="1"/>
  <c r="IK19" i="7"/>
  <c r="IK18" i="7"/>
  <c r="IK22" i="7"/>
  <c r="IK21" i="7"/>
  <c r="IK4" i="7"/>
  <c r="IK5" i="7"/>
  <c r="IK6" i="7"/>
  <c r="IK7" i="7"/>
  <c r="IK9" i="7"/>
  <c r="IK11" i="7"/>
  <c r="IK10" i="7"/>
  <c r="IK8" i="7"/>
  <c r="IK12" i="7"/>
  <c r="IK14" i="7"/>
  <c r="IK15" i="7"/>
  <c r="IK16" i="7"/>
  <c r="IK17" i="7"/>
  <c r="IK13" i="7"/>
  <c r="IL1" i="7"/>
  <c r="IK3" i="7"/>
  <c r="IL19" i="7" l="1"/>
  <c r="IL20" i="7"/>
  <c r="IL18" i="7"/>
  <c r="IL21" i="7"/>
  <c r="IL22" i="7"/>
  <c r="IL5" i="7"/>
  <c r="IL4" i="7"/>
  <c r="IL6" i="7"/>
  <c r="IL7" i="7"/>
  <c r="IL9" i="7"/>
  <c r="IL8" i="7"/>
  <c r="IL14" i="7"/>
  <c r="IL13" i="7"/>
  <c r="IL11" i="7"/>
  <c r="IL15" i="7"/>
  <c r="IL17" i="7"/>
  <c r="IL10" i="7"/>
  <c r="IL12" i="7"/>
  <c r="IL16" i="7"/>
  <c r="IM1" i="7"/>
  <c r="IL3" i="7"/>
  <c r="IM18" i="7" l="1"/>
  <c r="IM21" i="7"/>
  <c r="IM22" i="7"/>
  <c r="IM19" i="7"/>
  <c r="IM20" i="7"/>
  <c r="IM4" i="7"/>
  <c r="IM6" i="7"/>
  <c r="IM9" i="7"/>
  <c r="IM5" i="7"/>
  <c r="IM8" i="7"/>
  <c r="IM7" i="7"/>
  <c r="IM16" i="7"/>
  <c r="IM11" i="7"/>
  <c r="IM12" i="7"/>
  <c r="IM10" i="7"/>
  <c r="IM13" i="7"/>
  <c r="IM14" i="7"/>
  <c r="IM15" i="7"/>
  <c r="IM17" i="7"/>
  <c r="IN1" i="7"/>
  <c r="IM3" i="7"/>
  <c r="IN18" i="7" l="1"/>
  <c r="IN21" i="7"/>
  <c r="IN22" i="7"/>
  <c r="IN19" i="7"/>
  <c r="IN20" i="7"/>
  <c r="IN5" i="7"/>
  <c r="IN4" i="7"/>
  <c r="IN6" i="7"/>
  <c r="IN7" i="7"/>
  <c r="IN15" i="7"/>
  <c r="IN11" i="7"/>
  <c r="IN9" i="7"/>
  <c r="IN10" i="7"/>
  <c r="IN8" i="7"/>
  <c r="IN12" i="7"/>
  <c r="IN13" i="7"/>
  <c r="IN14" i="7"/>
  <c r="IN16" i="7"/>
  <c r="IN17" i="7"/>
  <c r="IO1" i="7"/>
  <c r="IN3" i="7"/>
  <c r="IO21" i="7" l="1"/>
  <c r="IO20" i="7"/>
  <c r="IO22" i="7"/>
  <c r="IO19" i="7"/>
  <c r="IO18" i="7"/>
  <c r="IO4" i="7"/>
  <c r="IO5" i="7"/>
  <c r="IO7" i="7"/>
  <c r="IO9" i="7"/>
  <c r="IO8" i="7"/>
  <c r="IO14" i="7"/>
  <c r="IO11" i="7"/>
  <c r="IO10" i="7"/>
  <c r="IO6" i="7"/>
  <c r="IO15" i="7"/>
  <c r="IO13" i="7"/>
  <c r="IO12" i="7"/>
  <c r="IO16" i="7"/>
  <c r="IO17" i="7"/>
  <c r="IP1" i="7"/>
  <c r="IO3" i="7"/>
  <c r="IP21" i="7" l="1"/>
  <c r="IP18" i="7"/>
  <c r="IP22" i="7"/>
  <c r="IP19" i="7"/>
  <c r="IP20" i="7"/>
  <c r="IP4" i="7"/>
  <c r="IP6" i="7"/>
  <c r="IP7" i="7"/>
  <c r="IP8" i="7"/>
  <c r="IP5" i="7"/>
  <c r="IP12" i="7"/>
  <c r="IP13" i="7"/>
  <c r="IP9" i="7"/>
  <c r="IP10" i="7"/>
  <c r="IP11" i="7"/>
  <c r="IP14" i="7"/>
  <c r="IP15" i="7"/>
  <c r="IP16" i="7"/>
  <c r="IP17" i="7"/>
  <c r="IQ1" i="7"/>
  <c r="IP3" i="7"/>
  <c r="IQ18" i="7" l="1"/>
  <c r="IQ21" i="7"/>
  <c r="IQ19" i="7"/>
  <c r="IQ20" i="7"/>
  <c r="IQ22" i="7"/>
  <c r="IQ6" i="7"/>
  <c r="IQ7" i="7"/>
  <c r="IQ4" i="7"/>
  <c r="IQ8" i="7"/>
  <c r="IQ5" i="7"/>
  <c r="IQ9" i="7"/>
  <c r="IQ10" i="7"/>
  <c r="IQ13" i="7"/>
  <c r="IQ11" i="7"/>
  <c r="IQ14" i="7"/>
  <c r="IQ12" i="7"/>
  <c r="IQ16" i="7"/>
  <c r="IQ17" i="7"/>
  <c r="IQ15" i="7"/>
  <c r="IR1" i="7"/>
  <c r="IQ3" i="7"/>
  <c r="IR19" i="7" l="1"/>
  <c r="IR18" i="7"/>
  <c r="IR22" i="7"/>
  <c r="IR20" i="7"/>
  <c r="IR21" i="7"/>
  <c r="IR5" i="7"/>
  <c r="IR6" i="7"/>
  <c r="IR4" i="7"/>
  <c r="IR12" i="7"/>
  <c r="IR7" i="7"/>
  <c r="IR10" i="7"/>
  <c r="IR8" i="7"/>
  <c r="IR9" i="7"/>
  <c r="IR11" i="7"/>
  <c r="IR13" i="7"/>
  <c r="IR17" i="7"/>
  <c r="IR16" i="7"/>
  <c r="IR14" i="7"/>
  <c r="IR15" i="7"/>
  <c r="IS1" i="7"/>
  <c r="IR3" i="7"/>
  <c r="IS21" i="7" l="1"/>
  <c r="IS18" i="7"/>
  <c r="IS22" i="7"/>
  <c r="IS20" i="7"/>
  <c r="IS19" i="7"/>
  <c r="IS4" i="7"/>
  <c r="IS5" i="7"/>
  <c r="IS6" i="7"/>
  <c r="IS11" i="7"/>
  <c r="IS8" i="7"/>
  <c r="IS9" i="7"/>
  <c r="IS7" i="7"/>
  <c r="IS13" i="7"/>
  <c r="IS10" i="7"/>
  <c r="IS12" i="7"/>
  <c r="IS16" i="7"/>
  <c r="IS14" i="7"/>
  <c r="IS15" i="7"/>
  <c r="IS17" i="7"/>
  <c r="IT1" i="7"/>
  <c r="IS3" i="7"/>
  <c r="IT18" i="7" l="1"/>
  <c r="IT20" i="7"/>
  <c r="IT19" i="7"/>
  <c r="IT21" i="7"/>
  <c r="IT22" i="7"/>
  <c r="IT4" i="7"/>
  <c r="IT6" i="7"/>
  <c r="IT5" i="7"/>
  <c r="IT7" i="7"/>
  <c r="IT10" i="7"/>
  <c r="IT8" i="7"/>
  <c r="IT11" i="7"/>
  <c r="IT9" i="7"/>
  <c r="IT16" i="7"/>
  <c r="IT13" i="7"/>
  <c r="IT15" i="7"/>
  <c r="IT14" i="7"/>
  <c r="IT17" i="7"/>
  <c r="IT12" i="7"/>
  <c r="IU1" i="7"/>
  <c r="IT3" i="7"/>
  <c r="IU18" i="7" l="1"/>
  <c r="IU21" i="7"/>
  <c r="IU19" i="7"/>
  <c r="IU20" i="7"/>
  <c r="IU22" i="7"/>
  <c r="IU5" i="7"/>
  <c r="IU6" i="7"/>
  <c r="IU4" i="7"/>
  <c r="IU8" i="7"/>
  <c r="IU7" i="7"/>
  <c r="IU10" i="7"/>
  <c r="IU17" i="7"/>
  <c r="IU9" i="7"/>
  <c r="IU12" i="7"/>
  <c r="IU16" i="7"/>
  <c r="IU13" i="7"/>
  <c r="IU14" i="7"/>
  <c r="IU15" i="7"/>
  <c r="IU11" i="7"/>
  <c r="IV1" i="7"/>
  <c r="IU3" i="7"/>
  <c r="IV19" i="7" l="1"/>
  <c r="IV20" i="7"/>
  <c r="IV22" i="7"/>
  <c r="IV18" i="7"/>
  <c r="IV21" i="7"/>
  <c r="IV4" i="7"/>
  <c r="IV5" i="7"/>
  <c r="IV7" i="7"/>
  <c r="IV6" i="7"/>
  <c r="IV8" i="7"/>
  <c r="IV9" i="7"/>
  <c r="IV10" i="7"/>
  <c r="IV14" i="7"/>
  <c r="IV12" i="7"/>
  <c r="IV16" i="7"/>
  <c r="IV13" i="7"/>
  <c r="IV15" i="7"/>
  <c r="IV11" i="7"/>
  <c r="IV17" i="7"/>
  <c r="IW1" i="7"/>
  <c r="IV3" i="7"/>
  <c r="IW18" i="7" l="1"/>
  <c r="IW19" i="7"/>
  <c r="IW20" i="7"/>
  <c r="IW22" i="7"/>
  <c r="IW21" i="7"/>
  <c r="IW4" i="7"/>
  <c r="IW5" i="7"/>
  <c r="IW9" i="7"/>
  <c r="IW6" i="7"/>
  <c r="IW8" i="7"/>
  <c r="IW7" i="7"/>
  <c r="IW10" i="7"/>
  <c r="IW12" i="7"/>
  <c r="IW16" i="7"/>
  <c r="IW13" i="7"/>
  <c r="IW14" i="7"/>
  <c r="IW11" i="7"/>
  <c r="IW17" i="7"/>
  <c r="IW15" i="7"/>
  <c r="IX1" i="7"/>
  <c r="IW3" i="7"/>
  <c r="IX18" i="7" l="1"/>
  <c r="IX19" i="7"/>
  <c r="IX21" i="7"/>
  <c r="IX22" i="7"/>
  <c r="IX20" i="7"/>
  <c r="IX4" i="7"/>
  <c r="IX5" i="7"/>
  <c r="IX7" i="7"/>
  <c r="IX6" i="7"/>
  <c r="IX11" i="7"/>
  <c r="IX8" i="7"/>
  <c r="IX9" i="7"/>
  <c r="IX10" i="7"/>
  <c r="IX14" i="7"/>
  <c r="IX12" i="7"/>
  <c r="IX15" i="7"/>
  <c r="IX16" i="7"/>
  <c r="IX13" i="7"/>
  <c r="IX17" i="7"/>
  <c r="IY1" i="7"/>
  <c r="IX3" i="7"/>
  <c r="IY22" i="7" l="1"/>
  <c r="IY18" i="7"/>
  <c r="IY20" i="7"/>
  <c r="IY21" i="7"/>
  <c r="IY19" i="7"/>
  <c r="IY4" i="7"/>
  <c r="IY9" i="7"/>
  <c r="IY6" i="7"/>
  <c r="IY16" i="7"/>
  <c r="IY7" i="7"/>
  <c r="IY8" i="7"/>
  <c r="IY5" i="7"/>
  <c r="IY12" i="7"/>
  <c r="IY10" i="7"/>
  <c r="IY14" i="7"/>
  <c r="IY13" i="7"/>
  <c r="IY15" i="7"/>
  <c r="IY11" i="7"/>
  <c r="IY17" i="7"/>
  <c r="IZ1" i="7"/>
  <c r="IY3" i="7"/>
  <c r="IZ21" i="7" l="1"/>
  <c r="IZ18" i="7"/>
  <c r="IZ22" i="7"/>
  <c r="IZ20" i="7"/>
  <c r="IZ19" i="7"/>
  <c r="IZ5" i="7"/>
  <c r="IZ4" i="7"/>
  <c r="IZ6" i="7"/>
  <c r="IZ9" i="7"/>
  <c r="IZ7" i="7"/>
  <c r="IZ15" i="7"/>
  <c r="IZ8" i="7"/>
  <c r="IZ10" i="7"/>
  <c r="IZ11" i="7"/>
  <c r="IZ12" i="7"/>
  <c r="IZ16" i="7"/>
  <c r="IZ14" i="7"/>
  <c r="IZ17" i="7"/>
  <c r="IZ13" i="7"/>
  <c r="JA1" i="7"/>
  <c r="IZ3" i="7"/>
  <c r="JA20" i="7" l="1"/>
  <c r="JA19" i="7"/>
  <c r="JA21" i="7"/>
  <c r="JA22" i="7"/>
  <c r="JA18" i="7"/>
  <c r="JA4" i="7"/>
  <c r="JA5" i="7"/>
  <c r="JA7" i="7"/>
  <c r="JA9" i="7"/>
  <c r="JA6" i="7"/>
  <c r="JA8" i="7"/>
  <c r="JA14" i="7"/>
  <c r="JA11" i="7"/>
  <c r="JA10" i="7"/>
  <c r="JA12" i="7"/>
  <c r="JA13" i="7"/>
  <c r="JA15" i="7"/>
  <c r="JA17" i="7"/>
  <c r="JA16" i="7"/>
  <c r="JB1" i="7"/>
  <c r="JA3" i="7"/>
  <c r="JB21" i="7" l="1"/>
  <c r="JB22" i="7"/>
  <c r="JB19" i="7"/>
  <c r="JB18" i="7"/>
  <c r="JB20" i="7"/>
  <c r="JB4" i="7"/>
  <c r="JB7" i="7"/>
  <c r="JB8" i="7"/>
  <c r="JB6" i="7"/>
  <c r="JB5" i="7"/>
  <c r="JB9" i="7"/>
  <c r="JB13" i="7"/>
  <c r="JB11" i="7"/>
  <c r="JB10" i="7"/>
  <c r="JB15" i="7"/>
  <c r="JB12" i="7"/>
  <c r="JB17" i="7"/>
  <c r="JB16" i="7"/>
  <c r="JB14" i="7"/>
  <c r="JC1" i="7"/>
  <c r="JB3" i="7"/>
  <c r="JC20" i="7" l="1"/>
  <c r="JC21" i="7"/>
  <c r="JC22" i="7"/>
  <c r="JC18" i="7"/>
  <c r="JC19" i="7"/>
  <c r="JC5" i="7"/>
  <c r="JC4" i="7"/>
  <c r="JC7" i="7"/>
  <c r="JC12" i="7"/>
  <c r="JC6" i="7"/>
  <c r="JC9" i="7"/>
  <c r="JC8" i="7"/>
  <c r="JC10" i="7"/>
  <c r="JC13" i="7"/>
  <c r="JC14" i="7"/>
  <c r="JC15" i="7"/>
  <c r="JC11" i="7"/>
  <c r="JC17" i="7"/>
  <c r="JC16" i="7"/>
  <c r="JD1" i="7"/>
  <c r="JC3" i="7"/>
  <c r="JD21" i="7" l="1"/>
  <c r="JD22" i="7"/>
  <c r="JD18" i="7"/>
  <c r="JD19" i="7"/>
  <c r="JD20" i="7"/>
  <c r="JD5" i="7"/>
  <c r="JD6" i="7"/>
  <c r="JD4" i="7"/>
  <c r="JD12" i="7"/>
  <c r="JD8" i="7"/>
  <c r="JD7" i="7"/>
  <c r="JD9" i="7"/>
  <c r="JD10" i="7"/>
  <c r="JD13" i="7"/>
  <c r="JD11" i="7"/>
  <c r="JD14" i="7"/>
  <c r="JD15" i="7"/>
  <c r="JD16" i="7"/>
  <c r="JD17" i="7"/>
  <c r="JE1" i="7"/>
  <c r="JD3" i="7"/>
  <c r="JE21" i="7" l="1"/>
  <c r="JE20" i="7"/>
  <c r="JE22" i="7"/>
  <c r="JE19" i="7"/>
  <c r="JE18" i="7"/>
  <c r="JE4" i="7"/>
  <c r="JE5" i="7"/>
  <c r="JE11" i="7"/>
  <c r="JE8" i="7"/>
  <c r="JE7" i="7"/>
  <c r="JE10" i="7"/>
  <c r="JE6" i="7"/>
  <c r="JE9" i="7"/>
  <c r="JE12" i="7"/>
  <c r="JE14" i="7"/>
  <c r="JE17" i="7"/>
  <c r="JE15" i="7"/>
  <c r="JE13" i="7"/>
  <c r="JE16" i="7"/>
  <c r="JF1" i="7"/>
  <c r="JE3" i="7"/>
  <c r="JF18" i="7" l="1"/>
  <c r="JF20" i="7"/>
  <c r="JF19" i="7"/>
  <c r="JF21" i="7"/>
  <c r="JF22" i="7"/>
  <c r="JF4" i="7"/>
  <c r="JF6" i="7"/>
  <c r="JF5" i="7"/>
  <c r="JF10" i="7"/>
  <c r="JF7" i="7"/>
  <c r="JF9" i="7"/>
  <c r="JF13" i="7"/>
  <c r="JF8" i="7"/>
  <c r="JF11" i="7"/>
  <c r="JF12" i="7"/>
  <c r="JF14" i="7"/>
  <c r="JF16" i="7"/>
  <c r="JF15" i="7"/>
  <c r="JF17" i="7"/>
  <c r="JG1" i="7"/>
  <c r="JF3" i="7"/>
  <c r="JG18" i="7" l="1"/>
  <c r="JG19" i="7"/>
  <c r="JG20" i="7"/>
  <c r="JG22" i="7"/>
  <c r="JG21" i="7"/>
  <c r="JG5" i="7"/>
  <c r="JG6" i="7"/>
  <c r="JG7" i="7"/>
  <c r="JG4" i="7"/>
  <c r="JG8" i="7"/>
  <c r="JG11" i="7"/>
  <c r="JG9" i="7"/>
  <c r="JG16" i="7"/>
  <c r="JG17" i="7"/>
  <c r="JG10" i="7"/>
  <c r="JG13" i="7"/>
  <c r="JG12" i="7"/>
  <c r="JG14" i="7"/>
  <c r="JG15" i="7"/>
  <c r="JH1" i="7"/>
  <c r="JG3" i="7"/>
  <c r="JH21" i="7" l="1"/>
  <c r="JH20" i="7"/>
  <c r="JH18" i="7"/>
  <c r="JH19" i="7"/>
  <c r="JH22" i="7"/>
  <c r="JH4" i="7"/>
  <c r="JH5" i="7"/>
  <c r="JH6" i="7"/>
  <c r="JH7" i="7"/>
  <c r="JH8" i="7"/>
  <c r="JH9" i="7"/>
  <c r="JH11" i="7"/>
  <c r="JH13" i="7"/>
  <c r="JH15" i="7"/>
  <c r="JH12" i="7"/>
  <c r="JH10" i="7"/>
  <c r="JH14" i="7"/>
  <c r="JH16" i="7"/>
  <c r="JH17" i="7"/>
  <c r="JI1" i="7"/>
  <c r="JH3" i="7"/>
  <c r="JI19" i="7" l="1"/>
  <c r="JI20" i="7"/>
  <c r="JI18" i="7"/>
  <c r="JI22" i="7"/>
  <c r="JI21" i="7"/>
  <c r="JI4" i="7"/>
  <c r="JI6" i="7"/>
  <c r="JI5" i="7"/>
  <c r="JI10" i="7"/>
  <c r="JI7" i="7"/>
  <c r="JI8" i="7"/>
  <c r="JI9" i="7"/>
  <c r="JI14" i="7"/>
  <c r="JI11" i="7"/>
  <c r="JI12" i="7"/>
  <c r="JI16" i="7"/>
  <c r="JI13" i="7"/>
  <c r="JI15" i="7"/>
  <c r="JI17" i="7"/>
  <c r="JJ1" i="7"/>
  <c r="JI3" i="7"/>
  <c r="JJ21" i="7" l="1"/>
  <c r="JJ18" i="7"/>
  <c r="JJ19" i="7"/>
  <c r="JJ22" i="7"/>
  <c r="JJ20" i="7"/>
  <c r="JJ6" i="7"/>
  <c r="JJ5" i="7"/>
  <c r="JJ7" i="7"/>
  <c r="JJ4" i="7"/>
  <c r="JJ9" i="7"/>
  <c r="JJ10" i="7"/>
  <c r="JJ8" i="7"/>
  <c r="JJ11" i="7"/>
  <c r="JJ16" i="7"/>
  <c r="JJ13" i="7"/>
  <c r="JJ15" i="7"/>
  <c r="JJ12" i="7"/>
  <c r="JJ14" i="7"/>
  <c r="JJ17" i="7"/>
  <c r="JK1" i="7"/>
  <c r="JJ3" i="7"/>
  <c r="JK20" i="7" l="1"/>
  <c r="JK18" i="7"/>
  <c r="JK22" i="7"/>
  <c r="JK21" i="7"/>
  <c r="JK19" i="7"/>
  <c r="JK4" i="7"/>
  <c r="JK5" i="7"/>
  <c r="JK9" i="7"/>
  <c r="JK7" i="7"/>
  <c r="JK6" i="7"/>
  <c r="JK8" i="7"/>
  <c r="JK11" i="7"/>
  <c r="JK16" i="7"/>
  <c r="JK10" i="7"/>
  <c r="JK14" i="7"/>
  <c r="JK12" i="7"/>
  <c r="JK15" i="7"/>
  <c r="JK17" i="7"/>
  <c r="JK13" i="7"/>
  <c r="JL1" i="7"/>
  <c r="JK3" i="7"/>
  <c r="JL21" i="7" l="1"/>
  <c r="JL22" i="7"/>
  <c r="JL18" i="7"/>
  <c r="JL19" i="7"/>
  <c r="JL20" i="7"/>
  <c r="JL5" i="7"/>
  <c r="JL6" i="7"/>
  <c r="JL4" i="7"/>
  <c r="JL7" i="7"/>
  <c r="JL15" i="7"/>
  <c r="JL8" i="7"/>
  <c r="JL9" i="7"/>
  <c r="JL11" i="7"/>
  <c r="JL14" i="7"/>
  <c r="JL13" i="7"/>
  <c r="JL12" i="7"/>
  <c r="JL16" i="7"/>
  <c r="JL10" i="7"/>
  <c r="JL17" i="7"/>
  <c r="JM1" i="7"/>
  <c r="JL3" i="7"/>
  <c r="JM21" i="7" l="1"/>
  <c r="JM18" i="7"/>
  <c r="JM22" i="7"/>
  <c r="JM20" i="7"/>
  <c r="JM19" i="7"/>
  <c r="JM4" i="7"/>
  <c r="JM5" i="7"/>
  <c r="JM7" i="7"/>
  <c r="JM9" i="7"/>
  <c r="JM6" i="7"/>
  <c r="JM8" i="7"/>
  <c r="JM14" i="7"/>
  <c r="JM12" i="7"/>
  <c r="JM13" i="7"/>
  <c r="JM15" i="7"/>
  <c r="JM16" i="7"/>
  <c r="JM10" i="7"/>
  <c r="JM11" i="7"/>
  <c r="JM17" i="7"/>
  <c r="JN1" i="7"/>
  <c r="JM3" i="7"/>
  <c r="JN19" i="7" l="1"/>
  <c r="JN18" i="7"/>
  <c r="JN22" i="7"/>
  <c r="JN21" i="7"/>
  <c r="JN20" i="7"/>
  <c r="JN4" i="7"/>
  <c r="JN7" i="7"/>
  <c r="JN8" i="7"/>
  <c r="JN9" i="7"/>
  <c r="JN5" i="7"/>
  <c r="JN6" i="7"/>
  <c r="JN13" i="7"/>
  <c r="JN11" i="7"/>
  <c r="JN10" i="7"/>
  <c r="JN15" i="7"/>
  <c r="JN16" i="7"/>
  <c r="JN17" i="7"/>
  <c r="JN12" i="7"/>
  <c r="JN14" i="7"/>
  <c r="JO1" i="7"/>
  <c r="JN3" i="7"/>
  <c r="JO20" i="7" l="1"/>
  <c r="JO22" i="7"/>
  <c r="JO18" i="7"/>
  <c r="JO21" i="7"/>
  <c r="JO19" i="7"/>
  <c r="JO7" i="7"/>
  <c r="JO4" i="7"/>
  <c r="JO6" i="7"/>
  <c r="JO5" i="7"/>
  <c r="JO9" i="7"/>
  <c r="JO8" i="7"/>
  <c r="JO11" i="7"/>
  <c r="JO15" i="7"/>
  <c r="JO12" i="7"/>
  <c r="JO13" i="7"/>
  <c r="JO14" i="7"/>
  <c r="JO10" i="7"/>
  <c r="JO17" i="7"/>
  <c r="JO16" i="7"/>
  <c r="JP1" i="7"/>
  <c r="JO3" i="7"/>
  <c r="JP21" i="7" l="1"/>
  <c r="JP18" i="7"/>
  <c r="JP22" i="7"/>
  <c r="JP19" i="7"/>
  <c r="JP20" i="7"/>
  <c r="JP5" i="7"/>
  <c r="JP6" i="7"/>
  <c r="JP4" i="7"/>
  <c r="JP7" i="7"/>
  <c r="JP8" i="7"/>
  <c r="JP12" i="7"/>
  <c r="JP9" i="7"/>
  <c r="JP10" i="7"/>
  <c r="JP13" i="7"/>
  <c r="JP15" i="7"/>
  <c r="JP14" i="7"/>
  <c r="JP17" i="7"/>
  <c r="JP16" i="7"/>
  <c r="JP11" i="7"/>
  <c r="JQ1" i="7"/>
  <c r="JP3" i="7"/>
  <c r="JQ19" i="7" l="1"/>
  <c r="JQ18" i="7"/>
  <c r="JQ21" i="7"/>
  <c r="JQ22" i="7"/>
  <c r="JQ20" i="7"/>
  <c r="JQ4" i="7"/>
  <c r="JQ5" i="7"/>
  <c r="JQ6" i="7"/>
  <c r="JQ11" i="7"/>
  <c r="JQ12" i="7"/>
  <c r="JQ8" i="7"/>
  <c r="JQ10" i="7"/>
  <c r="JQ13" i="7"/>
  <c r="JQ15" i="7"/>
  <c r="JQ7" i="7"/>
  <c r="JQ9" i="7"/>
  <c r="JQ14" i="7"/>
  <c r="JQ17" i="7"/>
  <c r="JQ16" i="7"/>
  <c r="JR1" i="7"/>
  <c r="JQ3" i="7"/>
  <c r="JR19" i="7" l="1"/>
  <c r="JR20" i="7"/>
  <c r="JR18" i="7"/>
  <c r="JR21" i="7"/>
  <c r="JR22" i="7"/>
  <c r="JR4" i="7"/>
  <c r="JR6" i="7"/>
  <c r="JR5" i="7"/>
  <c r="JR10" i="7"/>
  <c r="JR8" i="7"/>
  <c r="JR9" i="7"/>
  <c r="JR7" i="7"/>
  <c r="JR12" i="7"/>
  <c r="JR11" i="7"/>
  <c r="JR13" i="7"/>
  <c r="JR17" i="7"/>
  <c r="JR15" i="7"/>
  <c r="JR16" i="7"/>
  <c r="JR14" i="7"/>
  <c r="JS1" i="7"/>
  <c r="JR3" i="7"/>
  <c r="JS18" i="7" l="1"/>
  <c r="JS21" i="7"/>
  <c r="JS22" i="7"/>
  <c r="JS20" i="7"/>
  <c r="JS19" i="7"/>
  <c r="JS5" i="7"/>
  <c r="JS6" i="7"/>
  <c r="JS4" i="7"/>
  <c r="JS8" i="7"/>
  <c r="JS10" i="7"/>
  <c r="JS9" i="7"/>
  <c r="JS7" i="7"/>
  <c r="JS17" i="7"/>
  <c r="JS13" i="7"/>
  <c r="JS14" i="7"/>
  <c r="JS11" i="7"/>
  <c r="JS12" i="7"/>
  <c r="JS16" i="7"/>
  <c r="JS15" i="7"/>
  <c r="JT1" i="7"/>
  <c r="JS3" i="7"/>
  <c r="JT18" i="7" l="1"/>
  <c r="JT19" i="7"/>
  <c r="JT22" i="7"/>
  <c r="JT20" i="7"/>
  <c r="JT21" i="7"/>
  <c r="JT4" i="7"/>
  <c r="JT5" i="7"/>
  <c r="JT7" i="7"/>
  <c r="JT6" i="7"/>
  <c r="JT8" i="7"/>
  <c r="JT9" i="7"/>
  <c r="JT11" i="7"/>
  <c r="JT16" i="7"/>
  <c r="JT13" i="7"/>
  <c r="JT10" i="7"/>
  <c r="JT14" i="7"/>
  <c r="JT12" i="7"/>
  <c r="JT15" i="7"/>
  <c r="JT17" i="7"/>
  <c r="JU1" i="7"/>
  <c r="JT3" i="7"/>
  <c r="JU20" i="7" l="1"/>
  <c r="JU19" i="7"/>
  <c r="JU18" i="7"/>
  <c r="JU21" i="7"/>
  <c r="JU22" i="7"/>
  <c r="JU4" i="7"/>
  <c r="JU5" i="7"/>
  <c r="JU8" i="7"/>
  <c r="JU6" i="7"/>
  <c r="JU9" i="7"/>
  <c r="JU7" i="7"/>
  <c r="JU11" i="7"/>
  <c r="JU13" i="7"/>
  <c r="JU14" i="7"/>
  <c r="JU12" i="7"/>
  <c r="JU16" i="7"/>
  <c r="JU15" i="7"/>
  <c r="JU17" i="7"/>
  <c r="JU10" i="7"/>
  <c r="JV1" i="7"/>
  <c r="JU3" i="7"/>
  <c r="JV18" i="7" l="1"/>
  <c r="JV21" i="7"/>
  <c r="JV22" i="7"/>
  <c r="JV20" i="7"/>
  <c r="JV19" i="7"/>
  <c r="JV5" i="7"/>
  <c r="JV7" i="7"/>
  <c r="JV4" i="7"/>
  <c r="JV6" i="7"/>
  <c r="JV10" i="7"/>
  <c r="JV8" i="7"/>
  <c r="JV14" i="7"/>
  <c r="JV11" i="7"/>
  <c r="JV13" i="7"/>
  <c r="JV15" i="7"/>
  <c r="JV9" i="7"/>
  <c r="JV16" i="7"/>
  <c r="JV12" i="7"/>
  <c r="JV17" i="7"/>
  <c r="JW1" i="7"/>
  <c r="JV3" i="7"/>
  <c r="JW18" i="7" l="1"/>
  <c r="JW21" i="7"/>
  <c r="JW20" i="7"/>
  <c r="JW19" i="7"/>
  <c r="JW22" i="7"/>
  <c r="JW4" i="7"/>
  <c r="JW6" i="7"/>
  <c r="JW7" i="7"/>
  <c r="JW10" i="7"/>
  <c r="JW8" i="7"/>
  <c r="JW5" i="7"/>
  <c r="JW9" i="7"/>
  <c r="JW12" i="7"/>
  <c r="JW11" i="7"/>
  <c r="JW16" i="7"/>
  <c r="JW14" i="7"/>
  <c r="JW13" i="7"/>
  <c r="JW15" i="7"/>
  <c r="JW17" i="7"/>
  <c r="JX1" i="7"/>
  <c r="JW3" i="7"/>
  <c r="JX19" i="7" l="1"/>
  <c r="JX21" i="7"/>
  <c r="JX18" i="7"/>
  <c r="JX20" i="7"/>
  <c r="JX22" i="7"/>
  <c r="JX5" i="7"/>
  <c r="JX4" i="7"/>
  <c r="JX6" i="7"/>
  <c r="JX11" i="7"/>
  <c r="JX15" i="7"/>
  <c r="JX10" i="7"/>
  <c r="JX8" i="7"/>
  <c r="JX9" i="7"/>
  <c r="JX7" i="7"/>
  <c r="JX14" i="7"/>
  <c r="JX12" i="7"/>
  <c r="JX16" i="7"/>
  <c r="JX13" i="7"/>
  <c r="JX17" i="7"/>
  <c r="JY1" i="7"/>
  <c r="JX3" i="7"/>
  <c r="JY20" i="7" l="1"/>
  <c r="JY19" i="7"/>
  <c r="JY18" i="7"/>
  <c r="JY22" i="7"/>
  <c r="JY21" i="7"/>
  <c r="JY4" i="7"/>
  <c r="JY5" i="7"/>
  <c r="JY7" i="7"/>
  <c r="JY6" i="7"/>
  <c r="JY9" i="7"/>
  <c r="JY8" i="7"/>
  <c r="JY14" i="7"/>
  <c r="JY13" i="7"/>
  <c r="JY10" i="7"/>
  <c r="JY12" i="7"/>
  <c r="JY11" i="7"/>
  <c r="JY16" i="7"/>
  <c r="JY15" i="7"/>
  <c r="JY17" i="7"/>
  <c r="JZ1" i="7"/>
  <c r="JY3" i="7"/>
  <c r="JZ21" i="7" l="1"/>
  <c r="JZ18" i="7"/>
  <c r="JZ22" i="7"/>
  <c r="JZ20" i="7"/>
  <c r="JZ19" i="7"/>
  <c r="JZ4" i="7"/>
  <c r="JZ7" i="7"/>
  <c r="JZ8" i="7"/>
  <c r="JZ9" i="7"/>
  <c r="JZ5" i="7"/>
  <c r="JZ6" i="7"/>
  <c r="JZ13" i="7"/>
  <c r="JZ11" i="7"/>
  <c r="JZ14" i="7"/>
  <c r="JZ10" i="7"/>
  <c r="JZ12" i="7"/>
  <c r="JZ16" i="7"/>
  <c r="JZ15" i="7"/>
  <c r="JZ17" i="7"/>
  <c r="KA1" i="7"/>
  <c r="JZ3" i="7"/>
  <c r="KA18" i="7" l="1"/>
  <c r="KA22" i="7"/>
  <c r="KA21" i="7"/>
  <c r="KA20" i="7"/>
  <c r="KA19" i="7"/>
  <c r="KA4" i="7"/>
  <c r="KA5" i="7"/>
  <c r="KA7" i="7"/>
  <c r="KA9" i="7"/>
  <c r="KA6" i="7"/>
  <c r="KA11" i="7"/>
  <c r="KA10" i="7"/>
  <c r="KA12" i="7"/>
  <c r="KA15" i="7"/>
  <c r="KA14" i="7"/>
  <c r="KA16" i="7"/>
  <c r="KA8" i="7"/>
  <c r="KA17" i="7"/>
  <c r="KA13" i="7"/>
  <c r="KB1" i="7"/>
  <c r="KA3" i="7"/>
  <c r="KB21" i="7" l="1"/>
  <c r="KB18" i="7"/>
  <c r="KB22" i="7"/>
  <c r="KB20" i="7"/>
  <c r="KB19" i="7"/>
  <c r="KB5" i="7"/>
  <c r="KB6" i="7"/>
  <c r="KB4" i="7"/>
  <c r="KB12" i="7"/>
  <c r="KB7" i="7"/>
  <c r="KB11" i="7"/>
  <c r="KB8" i="7"/>
  <c r="KB9" i="7"/>
  <c r="KB10" i="7"/>
  <c r="KB15" i="7"/>
  <c r="KB13" i="7"/>
  <c r="KB14" i="7"/>
  <c r="KB17" i="7"/>
  <c r="KB16" i="7"/>
  <c r="KC1" i="7"/>
  <c r="KB3" i="7"/>
  <c r="KC21" i="7" l="1"/>
  <c r="KC18" i="7"/>
  <c r="KC22" i="7"/>
  <c r="KC19" i="7"/>
  <c r="KC20" i="7"/>
  <c r="KC4" i="7"/>
  <c r="KC5" i="7"/>
  <c r="KC6" i="7"/>
  <c r="KC11" i="7"/>
  <c r="KC9" i="7"/>
  <c r="KC7" i="7"/>
  <c r="KC8" i="7"/>
  <c r="KC10" i="7"/>
  <c r="KC13" i="7"/>
  <c r="KC12" i="7"/>
  <c r="KC15" i="7"/>
  <c r="KC14" i="7"/>
  <c r="KC17" i="7"/>
  <c r="KC16" i="7"/>
  <c r="KD1" i="7"/>
  <c r="KC3" i="7"/>
  <c r="KD21" i="7" l="1"/>
  <c r="KD18" i="7"/>
  <c r="KD22" i="7"/>
  <c r="KD19" i="7"/>
  <c r="KD20" i="7"/>
  <c r="KD4" i="7"/>
  <c r="KD6" i="7"/>
  <c r="KD5" i="7"/>
  <c r="KD7" i="7"/>
  <c r="KD8" i="7"/>
  <c r="KD10" i="7"/>
  <c r="KD9" i="7"/>
  <c r="KD12" i="7"/>
  <c r="KD13" i="7"/>
  <c r="KD11" i="7"/>
  <c r="KD15" i="7"/>
  <c r="KD14" i="7"/>
  <c r="KD17" i="7"/>
  <c r="KD16" i="7"/>
  <c r="KE1" i="7"/>
  <c r="KD3" i="7"/>
  <c r="KE18" i="7" l="1"/>
  <c r="KE21" i="7"/>
  <c r="KE22" i="7"/>
  <c r="KE20" i="7"/>
  <c r="KE19" i="7"/>
  <c r="KE5" i="7"/>
  <c r="KE6" i="7"/>
  <c r="KE4" i="7"/>
  <c r="KE7" i="7"/>
  <c r="KE8" i="7"/>
  <c r="KE9" i="7"/>
  <c r="KE10" i="7"/>
  <c r="KE17" i="7"/>
  <c r="KE11" i="7"/>
  <c r="KE12" i="7"/>
  <c r="KE15" i="7"/>
  <c r="KE14" i="7"/>
  <c r="KE16" i="7"/>
  <c r="KE13" i="7"/>
  <c r="KF1" i="7"/>
  <c r="KE3" i="7"/>
  <c r="KF19" i="7" l="1"/>
  <c r="KF22" i="7"/>
  <c r="KF20" i="7"/>
  <c r="KF18" i="7"/>
  <c r="KF21" i="7"/>
  <c r="KF4" i="7"/>
  <c r="KF5" i="7"/>
  <c r="KF7" i="7"/>
  <c r="KF8" i="7"/>
  <c r="KF9" i="7"/>
  <c r="KF10" i="7"/>
  <c r="KF6" i="7"/>
  <c r="KF16" i="7"/>
  <c r="KF13" i="7"/>
  <c r="KF11" i="7"/>
  <c r="KF12" i="7"/>
  <c r="KF17" i="7"/>
  <c r="KF15" i="7"/>
  <c r="KF14" i="7"/>
  <c r="KG1" i="7"/>
  <c r="KF3" i="7"/>
  <c r="KG18" i="7" l="1"/>
  <c r="KG22" i="7"/>
  <c r="KG20" i="7"/>
  <c r="KG19" i="7"/>
  <c r="KG21" i="7"/>
  <c r="KG4" i="7"/>
  <c r="KG5" i="7"/>
  <c r="KG6" i="7"/>
  <c r="KG7" i="7"/>
  <c r="KG8" i="7"/>
  <c r="KG11" i="7"/>
  <c r="KG10" i="7"/>
  <c r="KG13" i="7"/>
  <c r="KG12" i="7"/>
  <c r="KG9" i="7"/>
  <c r="KG14" i="7"/>
  <c r="KG17" i="7"/>
  <c r="KG16" i="7"/>
  <c r="KG15" i="7"/>
  <c r="KH1" i="7"/>
  <c r="KG3" i="7"/>
  <c r="KH20" i="7" l="1"/>
  <c r="KH18" i="7"/>
  <c r="KH21" i="7"/>
  <c r="KH22" i="7"/>
  <c r="KH19" i="7"/>
  <c r="KH4" i="7"/>
  <c r="KH5" i="7"/>
  <c r="KH6" i="7"/>
  <c r="KH7" i="7"/>
  <c r="KH8" i="7"/>
  <c r="KH10" i="7"/>
  <c r="KH11" i="7"/>
  <c r="KH12" i="7"/>
  <c r="KH13" i="7"/>
  <c r="KH16" i="7"/>
  <c r="KH14" i="7"/>
  <c r="KH17" i="7"/>
  <c r="KH15" i="7"/>
  <c r="KH9" i="7"/>
  <c r="KI1" i="7"/>
  <c r="KH3" i="7"/>
  <c r="KI20" i="7" l="1"/>
  <c r="KI18" i="7"/>
  <c r="KI19" i="7"/>
  <c r="KI22" i="7"/>
  <c r="KI21" i="7"/>
  <c r="KI4" i="7"/>
  <c r="KI6" i="7"/>
  <c r="KI7" i="7"/>
  <c r="KI5" i="7"/>
  <c r="KI9" i="7"/>
  <c r="KI10" i="7"/>
  <c r="KI8" i="7"/>
  <c r="KI14" i="7"/>
  <c r="KI11" i="7"/>
  <c r="KI12" i="7"/>
  <c r="KI13" i="7"/>
  <c r="KI16" i="7"/>
  <c r="KI17" i="7"/>
  <c r="KI15" i="7"/>
  <c r="KJ1" i="7"/>
  <c r="KI3" i="7"/>
  <c r="KJ18" i="7" l="1"/>
  <c r="KJ22" i="7"/>
  <c r="KJ21" i="7"/>
  <c r="KJ19" i="7"/>
  <c r="KJ20" i="7"/>
  <c r="KJ5" i="7"/>
  <c r="KJ4" i="7"/>
  <c r="KJ6" i="7"/>
  <c r="KJ7" i="7"/>
  <c r="KJ8" i="7"/>
  <c r="KJ15" i="7"/>
  <c r="KJ9" i="7"/>
  <c r="KJ10" i="7"/>
  <c r="KJ14" i="7"/>
  <c r="KJ16" i="7"/>
  <c r="KJ13" i="7"/>
  <c r="KJ12" i="7"/>
  <c r="KJ11" i="7"/>
  <c r="KJ17" i="7"/>
  <c r="KK1" i="7"/>
  <c r="KJ3" i="7"/>
  <c r="KK19" i="7" l="1"/>
  <c r="KK20" i="7"/>
  <c r="KK18" i="7"/>
  <c r="KK21" i="7"/>
  <c r="KK22" i="7"/>
  <c r="KK4" i="7"/>
  <c r="KK5" i="7"/>
  <c r="KK7" i="7"/>
  <c r="KK9" i="7"/>
  <c r="KK6" i="7"/>
  <c r="KK11" i="7"/>
  <c r="KK14" i="7"/>
  <c r="KK8" i="7"/>
  <c r="KK10" i="7"/>
  <c r="KK12" i="7"/>
  <c r="KK16" i="7"/>
  <c r="KK15" i="7"/>
  <c r="KK17" i="7"/>
  <c r="KK13" i="7"/>
  <c r="KL1" i="7"/>
  <c r="KK3" i="7"/>
  <c r="KL19" i="7" l="1"/>
  <c r="KL20" i="7"/>
  <c r="KL22" i="7"/>
  <c r="KL18" i="7"/>
  <c r="KL21" i="7"/>
  <c r="KL4" i="7"/>
  <c r="KL6" i="7"/>
  <c r="KL7" i="7"/>
  <c r="KL8" i="7"/>
  <c r="KL5" i="7"/>
  <c r="KL13" i="7"/>
  <c r="KL9" i="7"/>
  <c r="KL14" i="7"/>
  <c r="KL10" i="7"/>
  <c r="KL16" i="7"/>
  <c r="KL15" i="7"/>
  <c r="KL12" i="7"/>
  <c r="KL11" i="7"/>
  <c r="KL17" i="7"/>
  <c r="KM1" i="7"/>
  <c r="KL3" i="7"/>
  <c r="KM20" i="7" l="1"/>
  <c r="KM18" i="7"/>
  <c r="KM21" i="7"/>
  <c r="KM22" i="7"/>
  <c r="KM19" i="7"/>
  <c r="KM6" i="7"/>
  <c r="KM7" i="7"/>
  <c r="KM5" i="7"/>
  <c r="KM8" i="7"/>
  <c r="KM4" i="7"/>
  <c r="KM9" i="7"/>
  <c r="KM14" i="7"/>
  <c r="KM11" i="7"/>
  <c r="KM13" i="7"/>
  <c r="KM12" i="7"/>
  <c r="KM10" i="7"/>
  <c r="KM16" i="7"/>
  <c r="KM15" i="7"/>
  <c r="KM17" i="7"/>
  <c r="KN1" i="7"/>
  <c r="KM3" i="7"/>
  <c r="KN20" i="7" l="1"/>
  <c r="KN22" i="7"/>
  <c r="KN18" i="7"/>
  <c r="KN21" i="7"/>
  <c r="KN19" i="7"/>
  <c r="KN5" i="7"/>
  <c r="KN6" i="7"/>
  <c r="KN9" i="7"/>
  <c r="KN12" i="7"/>
  <c r="KN8" i="7"/>
  <c r="KN7" i="7"/>
  <c r="KN11" i="7"/>
  <c r="KN4" i="7"/>
  <c r="KN10" i="7"/>
  <c r="KN13" i="7"/>
  <c r="KN14" i="7"/>
  <c r="KN16" i="7"/>
  <c r="KN15" i="7"/>
  <c r="KN17" i="7"/>
  <c r="KO1" i="7"/>
  <c r="KN3" i="7"/>
  <c r="KO21" i="7" l="1"/>
  <c r="KO19" i="7"/>
  <c r="KO22" i="7"/>
  <c r="KO18" i="7"/>
  <c r="KO20" i="7"/>
  <c r="KO4" i="7"/>
  <c r="KO5" i="7"/>
  <c r="KO11" i="7"/>
  <c r="KO7" i="7"/>
  <c r="KO8" i="7"/>
  <c r="KO6" i="7"/>
  <c r="KO15" i="7"/>
  <c r="KO9" i="7"/>
  <c r="KO13" i="7"/>
  <c r="KO12" i="7"/>
  <c r="KO10" i="7"/>
  <c r="KO14" i="7"/>
  <c r="KO17" i="7"/>
  <c r="KO16" i="7"/>
  <c r="KP1" i="7"/>
  <c r="KO3" i="7"/>
  <c r="KP21" i="7" l="1"/>
  <c r="KP19" i="7"/>
  <c r="KP20" i="7"/>
  <c r="KP18" i="7"/>
  <c r="KP22" i="7"/>
  <c r="KP4" i="7"/>
  <c r="KP5" i="7"/>
  <c r="KP6" i="7"/>
  <c r="KP10" i="7"/>
  <c r="KP9" i="7"/>
  <c r="KP7" i="7"/>
  <c r="KP8" i="7"/>
  <c r="KP11" i="7"/>
  <c r="KP12" i="7"/>
  <c r="KP13" i="7"/>
  <c r="KP15" i="7"/>
  <c r="KP14" i="7"/>
  <c r="KP17" i="7"/>
  <c r="KP16" i="7"/>
  <c r="KQ1" i="7"/>
  <c r="KP3" i="7"/>
  <c r="KQ18" i="7" l="1"/>
  <c r="KQ21" i="7"/>
  <c r="KQ19" i="7"/>
  <c r="KQ22" i="7"/>
  <c r="KQ20" i="7"/>
  <c r="KQ5" i="7"/>
  <c r="KQ4" i="7"/>
  <c r="KQ6" i="7"/>
  <c r="KQ9" i="7"/>
  <c r="KQ12" i="7"/>
  <c r="KQ7" i="7"/>
  <c r="KQ8" i="7"/>
  <c r="KQ10" i="7"/>
  <c r="KQ13" i="7"/>
  <c r="KQ17" i="7"/>
  <c r="KQ15" i="7"/>
  <c r="KQ14" i="7"/>
  <c r="KQ16" i="7"/>
  <c r="KQ11" i="7"/>
  <c r="KR1" i="7"/>
  <c r="KQ3" i="7"/>
  <c r="KR18" i="7" l="1"/>
  <c r="KR21" i="7"/>
  <c r="KR19" i="7"/>
  <c r="KR20" i="7"/>
  <c r="KR22" i="7"/>
  <c r="KR4" i="7"/>
  <c r="KR5" i="7"/>
  <c r="KR7" i="7"/>
  <c r="KR6" i="7"/>
  <c r="KR8" i="7"/>
  <c r="KR9" i="7"/>
  <c r="KR10" i="7"/>
  <c r="KR16" i="7"/>
  <c r="KR11" i="7"/>
  <c r="KR13" i="7"/>
  <c r="KR15" i="7"/>
  <c r="KR17" i="7"/>
  <c r="KR14" i="7"/>
  <c r="KR12" i="7"/>
  <c r="KS1" i="7"/>
  <c r="KR3" i="7"/>
  <c r="KS18" i="7" l="1"/>
  <c r="KS22" i="7"/>
  <c r="KS19" i="7"/>
  <c r="KS20" i="7"/>
  <c r="KS21" i="7"/>
  <c r="KS4" i="7"/>
  <c r="KS6" i="7"/>
  <c r="KS5" i="7"/>
  <c r="KS7" i="7"/>
  <c r="KS10" i="7"/>
  <c r="KS8" i="7"/>
  <c r="KS9" i="7"/>
  <c r="KS12" i="7"/>
  <c r="KS13" i="7"/>
  <c r="KS11" i="7"/>
  <c r="KS15" i="7"/>
  <c r="KS17" i="7"/>
  <c r="KS16" i="7"/>
  <c r="KS14" i="7"/>
  <c r="KT1" i="7"/>
  <c r="KS3" i="7"/>
  <c r="KT18" i="7" l="1"/>
  <c r="KT21" i="7"/>
  <c r="KT22" i="7"/>
  <c r="KT20" i="7"/>
  <c r="KT19" i="7"/>
  <c r="KT4" i="7"/>
  <c r="KT6" i="7"/>
  <c r="KT5" i="7"/>
  <c r="KT7" i="7"/>
  <c r="KT8" i="7"/>
  <c r="KT11" i="7"/>
  <c r="KT9" i="7"/>
  <c r="KT12" i="7"/>
  <c r="KT13" i="7"/>
  <c r="KT10" i="7"/>
  <c r="KT15" i="7"/>
  <c r="KT17" i="7"/>
  <c r="KT14" i="7"/>
  <c r="KT16" i="7"/>
  <c r="KU1" i="7"/>
  <c r="KT3" i="7"/>
  <c r="KU20" i="7" l="1"/>
  <c r="KU21" i="7"/>
  <c r="KU19" i="7"/>
  <c r="KU18" i="7"/>
  <c r="KU22" i="7"/>
  <c r="KU4" i="7"/>
  <c r="KU6" i="7"/>
  <c r="KU8" i="7"/>
  <c r="KU5" i="7"/>
  <c r="KU7" i="7"/>
  <c r="KU9" i="7"/>
  <c r="KU11" i="7"/>
  <c r="KU13" i="7"/>
  <c r="KU10" i="7"/>
  <c r="KU12" i="7"/>
  <c r="KU14" i="7"/>
  <c r="KU16" i="7"/>
  <c r="KU15" i="7"/>
  <c r="KU17" i="7"/>
  <c r="KV1" i="7"/>
  <c r="KU3" i="7"/>
  <c r="KV21" i="7" l="1"/>
  <c r="KV18" i="7"/>
  <c r="KV22" i="7"/>
  <c r="KV19" i="7"/>
  <c r="KV20" i="7"/>
  <c r="KV5" i="7"/>
  <c r="KV4" i="7"/>
  <c r="KV6" i="7"/>
  <c r="KV8" i="7"/>
  <c r="KV7" i="7"/>
  <c r="KV9" i="7"/>
  <c r="KV15" i="7"/>
  <c r="KV10" i="7"/>
  <c r="KV14" i="7"/>
  <c r="KV11" i="7"/>
  <c r="KV13" i="7"/>
  <c r="KV12" i="7"/>
  <c r="KV17" i="7"/>
  <c r="KV16" i="7"/>
  <c r="KW1" i="7"/>
  <c r="KV3" i="7"/>
  <c r="KW18" i="7" l="1"/>
  <c r="KW22" i="7"/>
  <c r="KW21" i="7"/>
  <c r="KW20" i="7"/>
  <c r="KW19" i="7"/>
  <c r="KW4" i="7"/>
  <c r="KW5" i="7"/>
  <c r="KW7" i="7"/>
  <c r="KW9" i="7"/>
  <c r="KW14" i="7"/>
  <c r="KW10" i="7"/>
  <c r="KW6" i="7"/>
  <c r="KW11" i="7"/>
  <c r="KW8" i="7"/>
  <c r="KW16" i="7"/>
  <c r="KW13" i="7"/>
  <c r="KW12" i="7"/>
  <c r="KW15" i="7"/>
  <c r="KW17" i="7"/>
  <c r="KX1" i="7"/>
  <c r="KW3" i="7"/>
  <c r="KX18" i="7" l="1"/>
  <c r="KX21" i="7"/>
  <c r="KX20" i="7"/>
  <c r="KX19" i="7"/>
  <c r="KX22" i="7"/>
  <c r="KX4" i="7"/>
  <c r="KX6" i="7"/>
  <c r="KX7" i="7"/>
  <c r="KX8" i="7"/>
  <c r="KX5" i="7"/>
  <c r="KX11" i="7"/>
  <c r="KX13" i="7"/>
  <c r="KX10" i="7"/>
  <c r="KX9" i="7"/>
  <c r="KX16" i="7"/>
  <c r="KX14" i="7"/>
  <c r="KX15" i="7"/>
  <c r="KX12" i="7"/>
  <c r="KX17" i="7"/>
  <c r="KY1" i="7"/>
  <c r="KX3" i="7"/>
  <c r="KY18" i="7" l="1"/>
  <c r="KY22" i="7"/>
  <c r="KY20" i="7"/>
  <c r="KY19" i="7"/>
  <c r="KY21" i="7"/>
  <c r="KY5" i="7"/>
  <c r="KY6" i="7"/>
  <c r="KY7" i="7"/>
  <c r="KY4" i="7"/>
  <c r="KY8" i="7"/>
  <c r="KY14" i="7"/>
  <c r="KY11" i="7"/>
  <c r="KY10" i="7"/>
  <c r="KY12" i="7"/>
  <c r="KY9" i="7"/>
  <c r="KY16" i="7"/>
  <c r="KY15" i="7"/>
  <c r="KY13" i="7"/>
  <c r="KY17" i="7"/>
  <c r="KZ1" i="7"/>
  <c r="KY3" i="7"/>
  <c r="KZ20" i="7" l="1"/>
  <c r="KZ19" i="7"/>
  <c r="KZ21" i="7"/>
  <c r="KZ18" i="7"/>
  <c r="KZ22" i="7"/>
  <c r="KZ5" i="7"/>
  <c r="KZ6" i="7"/>
  <c r="KZ4" i="7"/>
  <c r="KZ12" i="7"/>
  <c r="KZ7" i="7"/>
  <c r="KZ9" i="7"/>
  <c r="KZ8" i="7"/>
  <c r="KZ14" i="7"/>
  <c r="KZ13" i="7"/>
  <c r="KZ16" i="7"/>
  <c r="KZ10" i="7"/>
  <c r="KZ11" i="7"/>
  <c r="KZ15" i="7"/>
  <c r="KZ17" i="7"/>
  <c r="LA1" i="7"/>
  <c r="KZ3" i="7"/>
  <c r="LA18" i="7" l="1"/>
  <c r="LA21" i="7"/>
  <c r="LA20" i="7"/>
  <c r="LA22" i="7"/>
  <c r="LA19" i="7"/>
  <c r="LA4" i="7"/>
  <c r="LA5" i="7"/>
  <c r="LA7" i="7"/>
  <c r="LA9" i="7"/>
  <c r="LA11" i="7"/>
  <c r="LA6" i="7"/>
  <c r="LA10" i="7"/>
  <c r="LA8" i="7"/>
  <c r="LA12" i="7"/>
  <c r="LA16" i="7"/>
  <c r="LA14" i="7"/>
  <c r="LA15" i="7"/>
  <c r="LA13" i="7"/>
  <c r="LA17" i="7"/>
  <c r="LB1" i="7"/>
  <c r="LA3" i="7"/>
  <c r="LB19" i="7" l="1"/>
  <c r="LB18" i="7"/>
  <c r="LB21" i="7"/>
  <c r="LB20" i="7"/>
  <c r="LB22" i="7"/>
  <c r="LB4" i="7"/>
  <c r="LB5" i="7"/>
  <c r="LB10" i="7"/>
  <c r="LB8" i="7"/>
  <c r="LB11" i="7"/>
  <c r="LB9" i="7"/>
  <c r="LB7" i="7"/>
  <c r="LB15" i="7"/>
  <c r="LB6" i="7"/>
  <c r="LB12" i="7"/>
  <c r="LB13" i="7"/>
  <c r="LB16" i="7"/>
  <c r="LB14" i="7"/>
  <c r="LB17" i="7"/>
  <c r="LC1" i="7"/>
  <c r="LB3" i="7"/>
  <c r="LC18" i="7" l="1"/>
  <c r="LC19" i="7"/>
  <c r="LC21" i="7"/>
  <c r="LC20" i="7"/>
  <c r="LC22" i="7"/>
  <c r="LC5" i="7"/>
  <c r="LC4" i="7"/>
  <c r="LC7" i="7"/>
  <c r="LC6" i="7"/>
  <c r="LC11" i="7"/>
  <c r="LC9" i="7"/>
  <c r="LC8" i="7"/>
  <c r="LC17" i="7"/>
  <c r="LC10" i="7"/>
  <c r="LC12" i="7"/>
  <c r="LC13" i="7"/>
  <c r="LC14" i="7"/>
  <c r="LC16" i="7"/>
  <c r="LC15" i="7"/>
  <c r="LD1" i="7"/>
  <c r="LC3" i="7"/>
  <c r="LD21" i="7" l="1"/>
  <c r="LD19" i="7"/>
  <c r="LD18" i="7"/>
  <c r="LD22" i="7"/>
  <c r="LD20" i="7"/>
  <c r="LD4" i="7"/>
  <c r="LD5" i="7"/>
  <c r="LD7" i="7"/>
  <c r="LD9" i="7"/>
  <c r="LD6" i="7"/>
  <c r="LD8" i="7"/>
  <c r="LD12" i="7"/>
  <c r="LD10" i="7"/>
  <c r="LD13" i="7"/>
  <c r="LD16" i="7"/>
  <c r="LD15" i="7"/>
  <c r="LD14" i="7"/>
  <c r="LD11" i="7"/>
  <c r="LD17" i="7"/>
  <c r="LE1" i="7"/>
  <c r="LD3" i="7"/>
  <c r="LE19" i="7" l="1"/>
  <c r="LE18" i="7"/>
  <c r="LE22" i="7"/>
  <c r="LE20" i="7"/>
  <c r="LE21" i="7"/>
  <c r="LE4" i="7"/>
  <c r="LE5" i="7"/>
  <c r="LE6" i="7"/>
  <c r="LE7" i="7"/>
  <c r="LE8" i="7"/>
  <c r="LE9" i="7"/>
  <c r="LE10" i="7"/>
  <c r="LE12" i="7"/>
  <c r="LE15" i="7"/>
  <c r="LE14" i="7"/>
  <c r="LE11" i="7"/>
  <c r="LE17" i="7"/>
  <c r="LE13" i="7"/>
  <c r="LE16" i="7"/>
  <c r="LF1" i="7"/>
  <c r="LE3" i="7"/>
  <c r="LF20" i="7" l="1"/>
  <c r="LF19" i="7"/>
  <c r="LF18" i="7"/>
  <c r="LF21" i="7"/>
  <c r="LF22" i="7"/>
  <c r="LF4" i="7"/>
  <c r="LF5" i="7"/>
  <c r="LF6" i="7"/>
  <c r="LF7" i="7"/>
  <c r="LF8" i="7"/>
  <c r="LF10" i="7"/>
  <c r="LF13" i="7"/>
  <c r="LF9" i="7"/>
  <c r="LF12" i="7"/>
  <c r="LF15" i="7"/>
  <c r="LF14" i="7"/>
  <c r="LF17" i="7"/>
  <c r="LF16" i="7"/>
  <c r="LF11" i="7"/>
  <c r="LG1" i="7"/>
  <c r="LF3" i="7"/>
  <c r="LG18" i="7" l="1"/>
  <c r="LG19" i="7"/>
  <c r="LG21" i="7"/>
  <c r="LG22" i="7"/>
  <c r="LG20" i="7"/>
  <c r="LG4" i="7"/>
  <c r="LG6" i="7"/>
  <c r="LG7" i="7"/>
  <c r="LG8" i="7"/>
  <c r="LG9" i="7"/>
  <c r="LG11" i="7"/>
  <c r="LG5" i="7"/>
  <c r="LG12" i="7"/>
  <c r="LG13" i="7"/>
  <c r="LG10" i="7"/>
  <c r="LG15" i="7"/>
  <c r="LG14" i="7"/>
  <c r="LG17" i="7"/>
  <c r="LG16" i="7"/>
  <c r="LH1" i="7"/>
  <c r="LG3" i="7"/>
  <c r="LH21" i="7" l="1"/>
  <c r="LH18" i="7"/>
  <c r="LH19" i="7"/>
  <c r="LH22" i="7"/>
  <c r="LH20" i="7"/>
  <c r="LH5" i="7"/>
  <c r="LH4" i="7"/>
  <c r="LH8" i="7"/>
  <c r="LH6" i="7"/>
  <c r="LH15" i="7"/>
  <c r="LH9" i="7"/>
  <c r="LH10" i="7"/>
  <c r="LH12" i="7"/>
  <c r="LH11" i="7"/>
  <c r="LH7" i="7"/>
  <c r="LH13" i="7"/>
  <c r="LH16" i="7"/>
  <c r="LH17" i="7"/>
  <c r="LH14" i="7"/>
  <c r="LI1" i="7"/>
  <c r="LH3" i="7"/>
  <c r="LI18" i="7" l="1"/>
  <c r="LI20" i="7"/>
  <c r="LI22" i="7"/>
  <c r="LI21" i="7"/>
  <c r="LI19" i="7"/>
  <c r="LI4" i="7"/>
  <c r="LI5" i="7"/>
  <c r="LI7" i="7"/>
  <c r="LI9" i="7"/>
  <c r="LI8" i="7"/>
  <c r="LI6" i="7"/>
  <c r="LI14" i="7"/>
  <c r="LI10" i="7"/>
  <c r="LI11" i="7"/>
  <c r="LI12" i="7"/>
  <c r="LI15" i="7"/>
  <c r="LI13" i="7"/>
  <c r="LI16" i="7"/>
  <c r="LI17" i="7"/>
  <c r="LJ1" i="7"/>
  <c r="LI3" i="7"/>
  <c r="LJ18" i="7" l="1"/>
  <c r="LJ22" i="7"/>
  <c r="LJ19" i="7"/>
  <c r="LJ21" i="7"/>
  <c r="LJ20" i="7"/>
  <c r="LJ4" i="7"/>
  <c r="LJ6" i="7"/>
  <c r="LJ7" i="7"/>
  <c r="LJ8" i="7"/>
  <c r="LJ5" i="7"/>
  <c r="LJ13" i="7"/>
  <c r="LJ10" i="7"/>
  <c r="LJ9" i="7"/>
  <c r="LJ14" i="7"/>
  <c r="LJ11" i="7"/>
  <c r="LJ16" i="7"/>
  <c r="LJ12" i="7"/>
  <c r="LJ15" i="7"/>
  <c r="LJ17" i="7"/>
  <c r="LK1" i="7"/>
  <c r="LJ3" i="7"/>
  <c r="LK20" i="7" l="1"/>
  <c r="LK21" i="7"/>
  <c r="LK18" i="7"/>
  <c r="LK22" i="7"/>
  <c r="LK19" i="7"/>
  <c r="LK6" i="7"/>
  <c r="LK7" i="7"/>
  <c r="LK4" i="7"/>
  <c r="LK5" i="7"/>
  <c r="LK8" i="7"/>
  <c r="LK11" i="7"/>
  <c r="LK9" i="7"/>
  <c r="LK10" i="7"/>
  <c r="LK16" i="7"/>
  <c r="LK12" i="7"/>
  <c r="LK13" i="7"/>
  <c r="LK15" i="7"/>
  <c r="LK17" i="7"/>
  <c r="LK14" i="7"/>
  <c r="LL1" i="7"/>
  <c r="LK3" i="7"/>
  <c r="LL20" i="7" l="1"/>
  <c r="LL22" i="7"/>
  <c r="LL18" i="7"/>
  <c r="LL19" i="7"/>
  <c r="LL21" i="7"/>
  <c r="LL5" i="7"/>
  <c r="LL6" i="7"/>
  <c r="LL4" i="7"/>
  <c r="LL12" i="7"/>
  <c r="LL9" i="7"/>
  <c r="LL8" i="7"/>
  <c r="LL7" i="7"/>
  <c r="LL10" i="7"/>
  <c r="LL14" i="7"/>
  <c r="LL11" i="7"/>
  <c r="LL16" i="7"/>
  <c r="LL13" i="7"/>
  <c r="LL15" i="7"/>
  <c r="LL17" i="7"/>
  <c r="LM1" i="7"/>
  <c r="LL3" i="7"/>
  <c r="LM21" i="7" l="1"/>
  <c r="LM20" i="7"/>
  <c r="LM22" i="7"/>
  <c r="LM18" i="7"/>
  <c r="LM19" i="7"/>
  <c r="LM4" i="7"/>
  <c r="LM5" i="7"/>
  <c r="LM6" i="7"/>
  <c r="LM11" i="7"/>
  <c r="LM8" i="7"/>
  <c r="LM7" i="7"/>
  <c r="LM9" i="7"/>
  <c r="LM10" i="7"/>
  <c r="LM14" i="7"/>
  <c r="LM13" i="7"/>
  <c r="LM16" i="7"/>
  <c r="LM15" i="7"/>
  <c r="LM12" i="7"/>
  <c r="LM17" i="7"/>
  <c r="LN1" i="7"/>
  <c r="LM3" i="7"/>
  <c r="LN20" i="7" l="1"/>
  <c r="LN18" i="7"/>
  <c r="LN21" i="7"/>
  <c r="LN19" i="7"/>
  <c r="LN22" i="7"/>
  <c r="LN4" i="7"/>
  <c r="LN5" i="7"/>
  <c r="LN6" i="7"/>
  <c r="LN9" i="7"/>
  <c r="LN10" i="7"/>
  <c r="LN8" i="7"/>
  <c r="LN7" i="7"/>
  <c r="LN11" i="7"/>
  <c r="LN12" i="7"/>
  <c r="LN13" i="7"/>
  <c r="LN16" i="7"/>
  <c r="LN15" i="7"/>
  <c r="LN17" i="7"/>
  <c r="LN14" i="7"/>
  <c r="LO1" i="7"/>
  <c r="LN3" i="7"/>
  <c r="LO18" i="7" l="1"/>
  <c r="LO22" i="7"/>
  <c r="LO21" i="7"/>
  <c r="LO20" i="7"/>
  <c r="LO19" i="7"/>
  <c r="LO5" i="7"/>
  <c r="LO6" i="7"/>
  <c r="LO4" i="7"/>
  <c r="LO7" i="7"/>
  <c r="LO11" i="7"/>
  <c r="LO8" i="7"/>
  <c r="LO10" i="7"/>
  <c r="LO15" i="7"/>
  <c r="LO17" i="7"/>
  <c r="LO9" i="7"/>
  <c r="LO13" i="7"/>
  <c r="LO14" i="7"/>
  <c r="LO16" i="7"/>
  <c r="LO12" i="7"/>
  <c r="LP1" i="7"/>
  <c r="LO3" i="7"/>
  <c r="LP22" i="7" l="1"/>
  <c r="LP18" i="7"/>
  <c r="LP21" i="7"/>
  <c r="LP20" i="7"/>
  <c r="LP19" i="7"/>
  <c r="LP4" i="7"/>
  <c r="LP5" i="7"/>
  <c r="LP7" i="7"/>
  <c r="LP6" i="7"/>
  <c r="LP8" i="7"/>
  <c r="LP9" i="7"/>
  <c r="LP11" i="7"/>
  <c r="LP16" i="7"/>
  <c r="LP12" i="7"/>
  <c r="LP13" i="7"/>
  <c r="LP14" i="7"/>
  <c r="LP15" i="7"/>
  <c r="LP10" i="7"/>
  <c r="LP17" i="7"/>
  <c r="LQ1" i="7"/>
  <c r="LP3" i="7"/>
  <c r="LQ22" i="7" l="1"/>
  <c r="LQ18" i="7"/>
  <c r="LQ20" i="7"/>
  <c r="LQ19" i="7"/>
  <c r="LQ21" i="7"/>
  <c r="LQ4" i="7"/>
  <c r="LQ6" i="7"/>
  <c r="LQ5" i="7"/>
  <c r="LQ12" i="7"/>
  <c r="LQ9" i="7"/>
  <c r="LQ10" i="7"/>
  <c r="LQ7" i="7"/>
  <c r="LQ13" i="7"/>
  <c r="LQ8" i="7"/>
  <c r="LQ11" i="7"/>
  <c r="LQ14" i="7"/>
  <c r="LQ16" i="7"/>
  <c r="LQ17" i="7"/>
  <c r="LQ15" i="7"/>
  <c r="LR1" i="7"/>
  <c r="LQ3" i="7"/>
  <c r="LR20" i="7" l="1"/>
  <c r="LR18" i="7"/>
  <c r="LR21" i="7"/>
  <c r="LR19" i="7"/>
  <c r="LR22" i="7"/>
  <c r="LR6" i="7"/>
  <c r="LR5" i="7"/>
  <c r="LR7" i="7"/>
  <c r="LR4" i="7"/>
  <c r="LR9" i="7"/>
  <c r="LR8" i="7"/>
  <c r="LR10" i="7"/>
  <c r="LR11" i="7"/>
  <c r="LR12" i="7"/>
  <c r="LR15" i="7"/>
  <c r="LR13" i="7"/>
  <c r="LR17" i="7"/>
  <c r="LR14" i="7"/>
  <c r="LR16" i="7"/>
  <c r="LS1" i="7"/>
  <c r="LR3" i="7"/>
  <c r="LS21" i="7" l="1"/>
  <c r="LS19" i="7"/>
  <c r="LS20" i="7"/>
  <c r="LS22" i="7"/>
  <c r="LS18" i="7"/>
  <c r="LS4" i="7"/>
  <c r="LS6" i="7"/>
  <c r="LS5" i="7"/>
  <c r="LS7" i="7"/>
  <c r="LS10" i="7"/>
  <c r="LS9" i="7"/>
  <c r="LS8" i="7"/>
  <c r="LS12" i="7"/>
  <c r="LS13" i="7"/>
  <c r="LS11" i="7"/>
  <c r="LS14" i="7"/>
  <c r="LS15" i="7"/>
  <c r="LS17" i="7"/>
  <c r="LS16" i="7"/>
  <c r="LT1" i="7"/>
  <c r="LS3" i="7"/>
  <c r="LT18" i="7" l="1"/>
  <c r="LT19" i="7"/>
  <c r="LT21" i="7"/>
  <c r="LT22" i="7"/>
  <c r="LT20" i="7"/>
  <c r="LT5" i="7"/>
  <c r="LT4" i="7"/>
  <c r="LT6" i="7"/>
  <c r="LT8" i="7"/>
  <c r="LT7" i="7"/>
  <c r="LT15" i="7"/>
  <c r="LT11" i="7"/>
  <c r="LT9" i="7"/>
  <c r="LT13" i="7"/>
  <c r="LT14" i="7"/>
  <c r="LT17" i="7"/>
  <c r="LT16" i="7"/>
  <c r="LT10" i="7"/>
  <c r="LT12" i="7"/>
  <c r="LU1" i="7"/>
  <c r="LT3" i="7"/>
  <c r="LU19" i="7" l="1"/>
  <c r="LU18" i="7"/>
  <c r="LU21" i="7"/>
  <c r="LU20" i="7"/>
  <c r="LU22" i="7"/>
  <c r="LU4" i="7"/>
  <c r="LU5" i="7"/>
  <c r="LU7" i="7"/>
  <c r="LU9" i="7"/>
  <c r="LU8" i="7"/>
  <c r="LU14" i="7"/>
  <c r="LU6" i="7"/>
  <c r="LU12" i="7"/>
  <c r="LU11" i="7"/>
  <c r="LU13" i="7"/>
  <c r="LU15" i="7"/>
  <c r="LU16" i="7"/>
  <c r="LU17" i="7"/>
  <c r="LU10" i="7"/>
  <c r="LV1" i="7"/>
  <c r="LU3" i="7"/>
  <c r="LV19" i="7" l="1"/>
  <c r="LV21" i="7"/>
  <c r="LV22" i="7"/>
  <c r="LV18" i="7"/>
  <c r="LV20" i="7"/>
  <c r="LV4" i="7"/>
  <c r="LV6" i="7"/>
  <c r="LV7" i="7"/>
  <c r="LV8" i="7"/>
  <c r="LV5" i="7"/>
  <c r="LV13" i="7"/>
  <c r="LV10" i="7"/>
  <c r="LV9" i="7"/>
  <c r="LV12" i="7"/>
  <c r="LV14" i="7"/>
  <c r="LV11" i="7"/>
  <c r="LV15" i="7"/>
  <c r="LV17" i="7"/>
  <c r="LV16" i="7"/>
  <c r="LW1" i="7"/>
  <c r="LV3" i="7"/>
  <c r="LW18" i="7" l="1"/>
  <c r="LW20" i="7"/>
  <c r="LW22" i="7"/>
  <c r="LW21" i="7"/>
  <c r="LW19" i="7"/>
  <c r="LW5" i="7"/>
  <c r="LW6" i="7"/>
  <c r="LW7" i="7"/>
  <c r="LW4" i="7"/>
  <c r="LW10" i="7"/>
  <c r="LW9" i="7"/>
  <c r="LW8" i="7"/>
  <c r="LW14" i="7"/>
  <c r="LW16" i="7"/>
  <c r="LW13" i="7"/>
  <c r="LW11" i="7"/>
  <c r="LW15" i="7"/>
  <c r="LW12" i="7"/>
  <c r="LW17" i="7"/>
  <c r="LX1" i="7"/>
  <c r="LW3" i="7"/>
  <c r="LX19" i="7" l="1"/>
  <c r="LX18" i="7"/>
  <c r="LX20" i="7"/>
  <c r="LX21" i="7"/>
  <c r="LX22" i="7"/>
  <c r="LX5" i="7"/>
  <c r="LX6" i="7"/>
  <c r="LX4" i="7"/>
  <c r="LX7" i="7"/>
  <c r="LX12" i="7"/>
  <c r="LX8" i="7"/>
  <c r="LX11" i="7"/>
  <c r="LX9" i="7"/>
  <c r="LX16" i="7"/>
  <c r="LX14" i="7"/>
  <c r="LX13" i="7"/>
  <c r="LX10" i="7"/>
  <c r="LX17" i="7"/>
  <c r="LX15" i="7"/>
  <c r="LY1" i="7"/>
  <c r="LX3" i="7"/>
  <c r="LY18" i="7" l="1"/>
  <c r="LY22" i="7"/>
  <c r="LY21" i="7"/>
  <c r="LY20" i="7"/>
  <c r="LY19" i="7"/>
  <c r="LY4" i="7"/>
  <c r="LY5" i="7"/>
  <c r="LY7" i="7"/>
  <c r="LY11" i="7"/>
  <c r="LY6" i="7"/>
  <c r="LY8" i="7"/>
  <c r="LY9" i="7"/>
  <c r="LY14" i="7"/>
  <c r="LY10" i="7"/>
  <c r="LY16" i="7"/>
  <c r="LY12" i="7"/>
  <c r="LY13" i="7"/>
  <c r="LY17" i="7"/>
  <c r="LY15" i="7"/>
  <c r="LZ1" i="7"/>
  <c r="LY3" i="7"/>
  <c r="LZ19" i="7" l="1"/>
  <c r="LZ18" i="7"/>
  <c r="LZ20" i="7"/>
  <c r="LZ21" i="7"/>
  <c r="LZ22" i="7"/>
  <c r="LZ4" i="7"/>
  <c r="LZ5" i="7"/>
  <c r="LZ10" i="7"/>
  <c r="LZ6" i="7"/>
  <c r="LZ7" i="7"/>
  <c r="LZ9" i="7"/>
  <c r="LZ8" i="7"/>
  <c r="LZ14" i="7"/>
  <c r="LZ13" i="7"/>
  <c r="LZ16" i="7"/>
  <c r="LZ12" i="7"/>
  <c r="LZ11" i="7"/>
  <c r="LZ15" i="7"/>
  <c r="LZ17" i="7"/>
  <c r="MA1" i="7"/>
  <c r="LZ3" i="7"/>
  <c r="MA18" i="7" l="1"/>
  <c r="MA21" i="7"/>
  <c r="MA22" i="7"/>
  <c r="MA20" i="7"/>
  <c r="MA19" i="7"/>
  <c r="MA5" i="7"/>
  <c r="MA9" i="7"/>
  <c r="MA7" i="7"/>
  <c r="MA4" i="7"/>
  <c r="MA8" i="7"/>
  <c r="MA6" i="7"/>
  <c r="MA17" i="7"/>
  <c r="MA11" i="7"/>
  <c r="MA14" i="7"/>
  <c r="MA16" i="7"/>
  <c r="MA15" i="7"/>
  <c r="MA10" i="7"/>
  <c r="MA13" i="7"/>
  <c r="MA12" i="7"/>
  <c r="MB1" i="7"/>
  <c r="MA3" i="7"/>
  <c r="MB21" i="7" l="1"/>
  <c r="MB20" i="7"/>
  <c r="MB22" i="7"/>
  <c r="MB18" i="7"/>
  <c r="MB19" i="7"/>
  <c r="MB4" i="7"/>
  <c r="MB5" i="7"/>
  <c r="MB7" i="7"/>
  <c r="MB8" i="7"/>
  <c r="MB11" i="7"/>
  <c r="MB10" i="7"/>
  <c r="MB6" i="7"/>
  <c r="MB15" i="7"/>
  <c r="MB16" i="7"/>
  <c r="MB9" i="7"/>
  <c r="MB12" i="7"/>
  <c r="MB13" i="7"/>
  <c r="MB14" i="7"/>
  <c r="MB17" i="7"/>
  <c r="MC1" i="7"/>
  <c r="MB3" i="7"/>
  <c r="MC20" i="7" l="1"/>
  <c r="MC19" i="7"/>
  <c r="MC22" i="7"/>
  <c r="MC18" i="7"/>
  <c r="MC21" i="7"/>
  <c r="MC4" i="7"/>
  <c r="MC5" i="7"/>
  <c r="MC6" i="7"/>
  <c r="MC7" i="7"/>
  <c r="MC8" i="7"/>
  <c r="MC11" i="7"/>
  <c r="MC10" i="7"/>
  <c r="MC13" i="7"/>
  <c r="MC12" i="7"/>
  <c r="MC9" i="7"/>
  <c r="MC15" i="7"/>
  <c r="MC14" i="7"/>
  <c r="MC17" i="7"/>
  <c r="MC16" i="7"/>
  <c r="MD1" i="7"/>
  <c r="MC3" i="7"/>
  <c r="MD21" i="7" l="1"/>
  <c r="MD22" i="7"/>
  <c r="MD18" i="7"/>
  <c r="MD20" i="7"/>
  <c r="MD19" i="7"/>
  <c r="MD5" i="7"/>
  <c r="MD7" i="7"/>
  <c r="MD8" i="7"/>
  <c r="MD4" i="7"/>
  <c r="MD12" i="7"/>
  <c r="MD9" i="7"/>
  <c r="MD10" i="7"/>
  <c r="MD6" i="7"/>
  <c r="MD13" i="7"/>
  <c r="MD15" i="7"/>
  <c r="MD11" i="7"/>
  <c r="MD14" i="7"/>
  <c r="MD17" i="7"/>
  <c r="MD16" i="7"/>
  <c r="ME1" i="7"/>
  <c r="MD3" i="7"/>
  <c r="ME19" i="7" l="1"/>
  <c r="ME20" i="7"/>
  <c r="ME22" i="7"/>
  <c r="ME18" i="7"/>
  <c r="ME21" i="7"/>
  <c r="ME3" i="7"/>
  <c r="ME4" i="7"/>
  <c r="ME6" i="7"/>
  <c r="ME5" i="7"/>
  <c r="ME7" i="7"/>
  <c r="ME8" i="7"/>
  <c r="ME9" i="7"/>
  <c r="ME10" i="7"/>
  <c r="ME11" i="7"/>
  <c r="ME12" i="7"/>
  <c r="ME14" i="7"/>
  <c r="ME16" i="7"/>
  <c r="ME13" i="7"/>
  <c r="ME15" i="7"/>
  <c r="ME17" i="7"/>
  <c r="MF1" i="7"/>
  <c r="MF18" i="7" l="1"/>
  <c r="MF22" i="7"/>
  <c r="MF19" i="7"/>
  <c r="MF21" i="7"/>
  <c r="MF20" i="7"/>
  <c r="MF5" i="7"/>
  <c r="MF4" i="7"/>
  <c r="MF6" i="7"/>
  <c r="MF10" i="7"/>
  <c r="MF15" i="7"/>
  <c r="MF7" i="7"/>
  <c r="MF8" i="7"/>
  <c r="MF9" i="7"/>
  <c r="MF13" i="7"/>
  <c r="MF11" i="7"/>
  <c r="MF12" i="7"/>
  <c r="MF17" i="7"/>
  <c r="MF16" i="7"/>
  <c r="MF14" i="7"/>
  <c r="MG1" i="7"/>
  <c r="MF3" i="7"/>
  <c r="MG18" i="7" l="1"/>
  <c r="MG21" i="7"/>
  <c r="MG20" i="7"/>
  <c r="MG19" i="7"/>
  <c r="MG22" i="7"/>
  <c r="MG4" i="7"/>
  <c r="MG5" i="7"/>
  <c r="MG7" i="7"/>
  <c r="MG6" i="7"/>
  <c r="MG14" i="7"/>
  <c r="MG8" i="7"/>
  <c r="MG9" i="7"/>
  <c r="MG11" i="7"/>
  <c r="MG12" i="7"/>
  <c r="MG13" i="7"/>
  <c r="MG10" i="7"/>
  <c r="MG15" i="7"/>
  <c r="MG17" i="7"/>
  <c r="MG16" i="7"/>
  <c r="MH1" i="7"/>
  <c r="MG3" i="7"/>
  <c r="MH20" i="7" l="1"/>
  <c r="MH21" i="7"/>
  <c r="MH18" i="7"/>
  <c r="MH19" i="7"/>
  <c r="MH22" i="7"/>
  <c r="MH4" i="7"/>
  <c r="MH6" i="7"/>
  <c r="MH7" i="7"/>
  <c r="MH8" i="7"/>
  <c r="MH5" i="7"/>
  <c r="MH13" i="7"/>
  <c r="MH10" i="7"/>
  <c r="MH11" i="7"/>
  <c r="MH12" i="7"/>
  <c r="MH15" i="7"/>
  <c r="MH9" i="7"/>
  <c r="MH14" i="7"/>
  <c r="MH16" i="7"/>
  <c r="MH17" i="7"/>
  <c r="MI1" i="7"/>
  <c r="MH3" i="7"/>
  <c r="MI21" i="7" l="1"/>
  <c r="MI18" i="7"/>
  <c r="MI22" i="7"/>
  <c r="MI20" i="7"/>
  <c r="MI19" i="7"/>
  <c r="MI4" i="7"/>
  <c r="MI6" i="7"/>
  <c r="MI7" i="7"/>
  <c r="MI8" i="7"/>
  <c r="MI5" i="7"/>
  <c r="MI10" i="7"/>
  <c r="MI9" i="7"/>
  <c r="MI12" i="7"/>
  <c r="MI15" i="7"/>
  <c r="MI13" i="7"/>
  <c r="MI11" i="7"/>
  <c r="MI16" i="7"/>
  <c r="MI17" i="7"/>
  <c r="MI14" i="7"/>
  <c r="MJ1" i="7"/>
  <c r="MI3" i="7"/>
  <c r="MJ18" i="7" l="1"/>
  <c r="MJ21" i="7"/>
  <c r="MJ22" i="7"/>
  <c r="MJ19" i="7"/>
  <c r="MJ20" i="7"/>
  <c r="MJ5" i="7"/>
  <c r="MJ4" i="7"/>
  <c r="MJ6" i="7"/>
  <c r="MJ8" i="7"/>
  <c r="MJ12" i="7"/>
  <c r="MJ7" i="7"/>
  <c r="MJ10" i="7"/>
  <c r="MJ9" i="7"/>
  <c r="MJ14" i="7"/>
  <c r="MJ11" i="7"/>
  <c r="MJ16" i="7"/>
  <c r="MJ15" i="7"/>
  <c r="MJ13" i="7"/>
  <c r="MJ17" i="7"/>
  <c r="MK1" i="7"/>
  <c r="MJ3" i="7"/>
  <c r="MK21" i="7" l="1"/>
  <c r="MK18" i="7"/>
  <c r="MK19" i="7"/>
  <c r="MK22" i="7"/>
  <c r="MK20" i="7"/>
  <c r="MK4" i="7"/>
  <c r="MK5" i="7"/>
  <c r="MK6" i="7"/>
  <c r="MK11" i="7"/>
  <c r="MK7" i="7"/>
  <c r="MK8" i="7"/>
  <c r="MK9" i="7"/>
  <c r="MK10" i="7"/>
  <c r="MK12" i="7"/>
  <c r="MK14" i="7"/>
  <c r="MK16" i="7"/>
  <c r="MK15" i="7"/>
  <c r="MK13" i="7"/>
  <c r="MK17" i="7"/>
  <c r="ML1" i="7"/>
  <c r="MK3" i="7"/>
  <c r="ML20" i="7" l="1"/>
  <c r="ML18" i="7"/>
  <c r="ML19" i="7"/>
  <c r="ML21" i="7"/>
  <c r="ML22" i="7"/>
  <c r="ML4" i="7"/>
  <c r="ML5" i="7"/>
  <c r="ML6" i="7"/>
  <c r="ML10" i="7"/>
  <c r="ML8" i="7"/>
  <c r="ML7" i="7"/>
  <c r="ML11" i="7"/>
  <c r="ML9" i="7"/>
  <c r="ML14" i="7"/>
  <c r="ML12" i="7"/>
  <c r="ML16" i="7"/>
  <c r="ML15" i="7"/>
  <c r="ML17" i="7"/>
  <c r="ML13" i="7"/>
  <c r="MM1" i="7"/>
  <c r="ML3" i="7"/>
  <c r="MM18" i="7" l="1"/>
  <c r="MM21" i="7"/>
  <c r="MM22" i="7"/>
  <c r="MM20" i="7"/>
  <c r="MM19" i="7"/>
  <c r="MM5" i="7"/>
  <c r="MM4" i="7"/>
  <c r="MM6" i="7"/>
  <c r="MM9" i="7"/>
  <c r="MM8" i="7"/>
  <c r="MM7" i="7"/>
  <c r="MM17" i="7"/>
  <c r="MM10" i="7"/>
  <c r="MM11" i="7"/>
  <c r="MM14" i="7"/>
  <c r="MM13" i="7"/>
  <c r="MM12" i="7"/>
  <c r="MM16" i="7"/>
  <c r="MM15" i="7"/>
  <c r="MN1" i="7"/>
  <c r="MM3" i="7"/>
  <c r="MN18" i="7" l="1"/>
  <c r="MN21" i="7"/>
  <c r="MN22" i="7"/>
  <c r="MN19" i="7"/>
  <c r="MN20" i="7"/>
  <c r="MN4" i="7"/>
  <c r="MN5" i="7"/>
  <c r="MN7" i="7"/>
  <c r="MN6" i="7"/>
  <c r="MN9" i="7"/>
  <c r="MN8" i="7"/>
  <c r="MN16" i="7"/>
  <c r="MN10" i="7"/>
  <c r="MN13" i="7"/>
  <c r="MN14" i="7"/>
  <c r="MN12" i="7"/>
  <c r="MN11" i="7"/>
  <c r="MN15" i="7"/>
  <c r="MN17" i="7"/>
  <c r="MO1" i="7"/>
  <c r="MN3" i="7"/>
  <c r="MO18" i="7" l="1"/>
  <c r="MO20" i="7"/>
  <c r="MO22" i="7"/>
  <c r="MO21" i="7"/>
  <c r="MO19" i="7"/>
  <c r="MO4" i="7"/>
  <c r="MO6" i="7"/>
  <c r="MO5" i="7"/>
  <c r="MO7" i="7"/>
  <c r="MO11" i="7"/>
  <c r="MO8" i="7"/>
  <c r="MO10" i="7"/>
  <c r="MO15" i="7"/>
  <c r="MO13" i="7"/>
  <c r="MO14" i="7"/>
  <c r="MO9" i="7"/>
  <c r="MO16" i="7"/>
  <c r="MO12" i="7"/>
  <c r="MO17" i="7"/>
  <c r="MP1" i="7"/>
  <c r="MO3" i="7"/>
  <c r="MP18" i="7" l="1"/>
  <c r="MP20" i="7"/>
  <c r="MP21" i="7"/>
  <c r="MP22" i="7"/>
  <c r="MP19" i="7"/>
  <c r="MP5" i="7"/>
  <c r="MP7" i="7"/>
  <c r="MP6" i="7"/>
  <c r="MP4" i="7"/>
  <c r="MP11" i="7"/>
  <c r="MP8" i="7"/>
  <c r="MP12" i="7"/>
  <c r="MP13" i="7"/>
  <c r="MP14" i="7"/>
  <c r="MP9" i="7"/>
  <c r="MP15" i="7"/>
  <c r="MP10" i="7"/>
  <c r="MP16" i="7"/>
  <c r="MP17" i="7"/>
  <c r="MQ1" i="7"/>
  <c r="MP3" i="7"/>
  <c r="MQ22" i="7" l="1"/>
  <c r="MQ18" i="7"/>
  <c r="MQ21" i="7"/>
  <c r="MQ19" i="7"/>
  <c r="MQ20" i="7"/>
  <c r="MQ4" i="7"/>
  <c r="MQ6" i="7"/>
  <c r="MQ7" i="7"/>
  <c r="MQ12" i="7"/>
  <c r="MQ9" i="7"/>
  <c r="MQ5" i="7"/>
  <c r="MQ8" i="7"/>
  <c r="MQ10" i="7"/>
  <c r="MQ13" i="7"/>
  <c r="MQ14" i="7"/>
  <c r="MQ11" i="7"/>
  <c r="MQ15" i="7"/>
  <c r="MQ16" i="7"/>
  <c r="MQ17" i="7"/>
  <c r="MR1" i="7"/>
  <c r="MQ3" i="7"/>
  <c r="MR19" i="7" l="1"/>
  <c r="MR22" i="7"/>
  <c r="MR18" i="7"/>
  <c r="MR21" i="7"/>
  <c r="MR20" i="7"/>
  <c r="MR5" i="7"/>
  <c r="MR7" i="7"/>
  <c r="MR8" i="7"/>
  <c r="MR6" i="7"/>
  <c r="MR4" i="7"/>
  <c r="MR15" i="7"/>
  <c r="MR9" i="7"/>
  <c r="MR10" i="7"/>
  <c r="MR13" i="7"/>
  <c r="MR11" i="7"/>
  <c r="MR12" i="7"/>
  <c r="MR14" i="7"/>
  <c r="MR16" i="7"/>
  <c r="MR17" i="7"/>
  <c r="MS1" i="7"/>
  <c r="MR3" i="7"/>
  <c r="MS21" i="7" l="1"/>
  <c r="MS20" i="7"/>
  <c r="MS22" i="7"/>
  <c r="MS18" i="7"/>
  <c r="MS19" i="7"/>
  <c r="MS4" i="7"/>
  <c r="MS5" i="7"/>
  <c r="MS7" i="7"/>
  <c r="MS6" i="7"/>
  <c r="MS10" i="7"/>
  <c r="MS14" i="7"/>
  <c r="MS9" i="7"/>
  <c r="MS8" i="7"/>
  <c r="MS13" i="7"/>
  <c r="MS12" i="7"/>
  <c r="MS17" i="7"/>
  <c r="MS16" i="7"/>
  <c r="MS15" i="7"/>
  <c r="MS11" i="7"/>
  <c r="MT1" i="7"/>
  <c r="MS3" i="7"/>
  <c r="MT19" i="7" l="1"/>
  <c r="MT18" i="7"/>
  <c r="MT21" i="7"/>
  <c r="MT20" i="7"/>
  <c r="MT22" i="7"/>
  <c r="MT4" i="7"/>
  <c r="MT6" i="7"/>
  <c r="MT7" i="7"/>
  <c r="MT8" i="7"/>
  <c r="MT5" i="7"/>
  <c r="MT13" i="7"/>
  <c r="MT9" i="7"/>
  <c r="MT11" i="7"/>
  <c r="MT12" i="7"/>
  <c r="MT15" i="7"/>
  <c r="MT14" i="7"/>
  <c r="MT16" i="7"/>
  <c r="MT10" i="7"/>
  <c r="MT17" i="7"/>
  <c r="MU1" i="7"/>
  <c r="MT3" i="7"/>
  <c r="MU21" i="7" l="1"/>
  <c r="MU20" i="7"/>
  <c r="MU18" i="7"/>
  <c r="MU19" i="7"/>
  <c r="MU22" i="7"/>
  <c r="MU5" i="7"/>
  <c r="MU6" i="7"/>
  <c r="MU7" i="7"/>
  <c r="MU4" i="7"/>
  <c r="MU8" i="7"/>
  <c r="MU12" i="7"/>
  <c r="MU13" i="7"/>
  <c r="MU9" i="7"/>
  <c r="MU11" i="7"/>
  <c r="MU10" i="7"/>
  <c r="MU15" i="7"/>
  <c r="MU16" i="7"/>
  <c r="MU17" i="7"/>
  <c r="MU14" i="7"/>
  <c r="MV1" i="7"/>
  <c r="MU3" i="7"/>
  <c r="MV19" i="7" l="1"/>
  <c r="MV22" i="7"/>
  <c r="MV20" i="7"/>
  <c r="MV18" i="7"/>
  <c r="MV21" i="7"/>
  <c r="MV5" i="7"/>
  <c r="MV6" i="7"/>
  <c r="MV4" i="7"/>
  <c r="MV8" i="7"/>
  <c r="MV7" i="7"/>
  <c r="MV12" i="7"/>
  <c r="MV10" i="7"/>
  <c r="MV9" i="7"/>
  <c r="MV11" i="7"/>
  <c r="MV15" i="7"/>
  <c r="MV13" i="7"/>
  <c r="MV14" i="7"/>
  <c r="MV17" i="7"/>
  <c r="MV16" i="7"/>
  <c r="MW1" i="7"/>
  <c r="MV3" i="7"/>
  <c r="MW20" i="7" l="1"/>
  <c r="MW18" i="7"/>
  <c r="MW19" i="7"/>
  <c r="MW21" i="7"/>
  <c r="MW22" i="7"/>
  <c r="MW4" i="7"/>
  <c r="MW5" i="7"/>
  <c r="MW6" i="7"/>
  <c r="MW11" i="7"/>
  <c r="MW8" i="7"/>
  <c r="MW10" i="7"/>
  <c r="MW7" i="7"/>
  <c r="MW9" i="7"/>
  <c r="MW14" i="7"/>
  <c r="MW16" i="7"/>
  <c r="MW15" i="7"/>
  <c r="MW13" i="7"/>
  <c r="MW12" i="7"/>
  <c r="MW17" i="7"/>
  <c r="MX1" i="7"/>
  <c r="MW3" i="7"/>
  <c r="MX21" i="7" l="1"/>
  <c r="MX19" i="7"/>
  <c r="MX18" i="7"/>
  <c r="MX22" i="7"/>
  <c r="MX20" i="7"/>
  <c r="MX4" i="7"/>
  <c r="MX5" i="7"/>
  <c r="MX8" i="7"/>
  <c r="MX10" i="7"/>
  <c r="MX7" i="7"/>
  <c r="MX6" i="7"/>
  <c r="MX9" i="7"/>
  <c r="MX12" i="7"/>
  <c r="MX11" i="7"/>
  <c r="MX16" i="7"/>
  <c r="MX15" i="7"/>
  <c r="MX13" i="7"/>
  <c r="MX14" i="7"/>
  <c r="MX17" i="7"/>
  <c r="MY1" i="7"/>
  <c r="MX3" i="7"/>
  <c r="MY18" i="7" l="1"/>
  <c r="T19" i="8" s="1"/>
  <c r="B18" i="7" s="1"/>
  <c r="MY19" i="7"/>
  <c r="T20" i="8" s="1"/>
  <c r="B19" i="7" s="1"/>
  <c r="MY20" i="7"/>
  <c r="T21" i="8" s="1"/>
  <c r="B20" i="7" s="1"/>
  <c r="MY22" i="7"/>
  <c r="T23" i="8" s="1"/>
  <c r="B22" i="7" s="1"/>
  <c r="MY21" i="7"/>
  <c r="T22" i="8" s="1"/>
  <c r="B21" i="7" s="1"/>
  <c r="P20" i="8"/>
  <c r="Z20" i="8" s="1"/>
  <c r="P21" i="8"/>
  <c r="Z21" i="8" s="1"/>
  <c r="P22" i="8"/>
  <c r="Z22" i="8" s="1"/>
  <c r="P23" i="8"/>
  <c r="Z23" i="8" s="1"/>
  <c r="P19" i="8"/>
  <c r="Z19" i="8" s="1"/>
  <c r="MY5" i="7"/>
  <c r="T6" i="8" s="1"/>
  <c r="MY4" i="7"/>
  <c r="T5" i="8" s="1"/>
  <c r="MY9" i="7"/>
  <c r="T10" i="8" s="1"/>
  <c r="MY6" i="7"/>
  <c r="T7" i="8" s="1"/>
  <c r="MY7" i="7"/>
  <c r="T8" i="8" s="1"/>
  <c r="MY11" i="7"/>
  <c r="T12" i="8" s="1"/>
  <c r="MY8" i="7"/>
  <c r="T9" i="8" s="1"/>
  <c r="MY17" i="7"/>
  <c r="T18" i="8" s="1"/>
  <c r="MY14" i="7"/>
  <c r="T15" i="8" s="1"/>
  <c r="MY12" i="7"/>
  <c r="T13" i="8" s="1"/>
  <c r="MY10" i="7"/>
  <c r="T11" i="8" s="1"/>
  <c r="MY16" i="7"/>
  <c r="T17" i="8" s="1"/>
  <c r="MY15" i="7"/>
  <c r="T16" i="8" s="1"/>
  <c r="MY13" i="7"/>
  <c r="T14" i="8" s="1"/>
  <c r="MY3" i="7"/>
  <c r="T4" i="8" s="1"/>
  <c r="B3" i="7" l="1"/>
  <c r="P4" i="8" s="1"/>
  <c r="B17" i="7" l="1"/>
  <c r="P18" i="8" s="1"/>
  <c r="Z18" i="8" s="1"/>
  <c r="B9" i="7"/>
  <c r="P10" i="8" s="1"/>
  <c r="Z10" i="8" s="1"/>
  <c r="B12" i="7"/>
  <c r="P13" i="8" s="1"/>
  <c r="Z13" i="8" s="1"/>
  <c r="B15" i="7"/>
  <c r="P16" i="8" s="1"/>
  <c r="Z16" i="8" s="1"/>
  <c r="B10" i="7"/>
  <c r="P11" i="8" s="1"/>
  <c r="Z11" i="8" s="1"/>
  <c r="B13" i="7"/>
  <c r="P14" i="8" s="1"/>
  <c r="Z14" i="8" s="1"/>
  <c r="B14" i="7"/>
  <c r="P15" i="8" s="1"/>
  <c r="Z15" i="8" s="1"/>
  <c r="B4" i="7"/>
  <c r="P5" i="8" s="1"/>
  <c r="Z5" i="8" s="1"/>
  <c r="B11" i="7"/>
  <c r="P12" i="8" s="1"/>
  <c r="Z12" i="8" s="1"/>
  <c r="B5" i="7"/>
  <c r="P6" i="8" s="1"/>
  <c r="Z6" i="8" s="1"/>
  <c r="B8" i="7"/>
  <c r="P9" i="8" s="1"/>
  <c r="Z9" i="8" s="1"/>
  <c r="B7" i="7"/>
  <c r="P8" i="8" s="1"/>
  <c r="Z8" i="8" s="1"/>
  <c r="B16" i="7"/>
  <c r="P17" i="8" s="1"/>
  <c r="Z17" i="8" s="1"/>
  <c r="B6" i="7"/>
  <c r="P7" i="8" s="1"/>
  <c r="Z7" i="8" s="1"/>
  <c r="Z4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Vasquez, Claudia</author>
    <author>Olivo, Alejandro</author>
  </authors>
  <commentList>
    <comment ref="AE2" authorId="0" shapeId="0" xr:uid="{E2B21D29-A65C-4456-A4D8-9AA1F3E5308A}">
      <text>
        <r>
          <rPr>
            <b/>
            <sz val="9"/>
            <color indexed="81"/>
            <rFont val="Tahoma"/>
            <family val="2"/>
          </rPr>
          <t>Vasquez, Claudia:</t>
        </r>
        <r>
          <rPr>
            <sz val="9"/>
            <color indexed="81"/>
            <rFont val="Tahoma"/>
            <family val="2"/>
          </rPr>
          <t xml:space="preserve">
Ingresar codigo hoja comuna en base a hoja Comuna</t>
        </r>
      </text>
    </comment>
    <comment ref="AF2" authorId="0" shapeId="0" xr:uid="{0D4D61DD-F8CB-4E44-9D3A-F14CEA9F01DD}">
      <text>
        <r>
          <rPr>
            <b/>
            <sz val="9"/>
            <color indexed="81"/>
            <rFont val="Tahoma"/>
            <family val="2"/>
          </rPr>
          <t>Vasquez, Claudia:</t>
        </r>
        <r>
          <rPr>
            <sz val="9"/>
            <color indexed="81"/>
            <rFont val="Tahoma"/>
            <family val="2"/>
          </rPr>
          <t xml:space="preserve">
Ingresar codigo hoja comuna en base a hoja Comuna</t>
        </r>
      </text>
    </comment>
    <comment ref="T3" authorId="1" shapeId="0" xr:uid="{00000000-0006-0000-0000-000001000000}">
      <text>
        <r>
          <rPr>
            <b/>
            <sz val="9"/>
            <color indexed="81"/>
            <rFont val="Tahoma"/>
            <family val="2"/>
          </rPr>
          <t>Olivo, Alejandro:</t>
        </r>
        <r>
          <rPr>
            <sz val="9"/>
            <color indexed="81"/>
            <rFont val="Tahoma"/>
            <family val="2"/>
          </rPr>
          <t xml:space="preserve">
A la fecha corte</t>
        </r>
      </text>
    </comment>
    <comment ref="U3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Olivo, Alejandro:</t>
        </r>
        <r>
          <rPr>
            <sz val="9"/>
            <color indexed="81"/>
            <rFont val="Tahoma"/>
            <family val="2"/>
          </rPr>
          <t xml:space="preserve">
Día endoso</t>
        </r>
      </text>
    </comment>
    <comment ref="AE3" authorId="0" shapeId="0" xr:uid="{B40DBAA0-9B2A-4331-9D53-C13E44B6407E}">
      <text>
        <r>
          <rPr>
            <b/>
            <sz val="9"/>
            <color indexed="81"/>
            <rFont val="Tahoma"/>
            <family val="2"/>
          </rPr>
          <t>Vasquez, Claudia:</t>
        </r>
        <r>
          <rPr>
            <sz val="9"/>
            <color indexed="81"/>
            <rFont val="Tahoma"/>
            <family val="2"/>
          </rPr>
          <t xml:space="preserve">
Ingresar codigo hoja comuna en base a hoja Comuna</t>
        </r>
      </text>
    </comment>
    <comment ref="AF3" authorId="0" shapeId="0" xr:uid="{FA7D8DD3-49B0-419E-8F4C-6E8903B1C3EE}">
      <text>
        <r>
          <rPr>
            <b/>
            <sz val="9"/>
            <color indexed="81"/>
            <rFont val="Tahoma"/>
            <family val="2"/>
          </rPr>
          <t>Vasquez, Claudia:</t>
        </r>
        <r>
          <rPr>
            <sz val="9"/>
            <color indexed="81"/>
            <rFont val="Tahoma"/>
            <family val="2"/>
          </rPr>
          <t xml:space="preserve">
Ingresar codigo hoja comuna en base a hoja Comuna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Vasquez, Claudia</author>
    <author>Olivo, Alejandro</author>
  </authors>
  <commentList>
    <comment ref="AE2" authorId="0" shapeId="0" xr:uid="{528F83F0-D0E2-4E6F-AE0F-D1AC33FBD486}">
      <text>
        <r>
          <rPr>
            <b/>
            <sz val="9"/>
            <color indexed="81"/>
            <rFont val="Tahoma"/>
            <family val="2"/>
          </rPr>
          <t>Vasquez, Claudia:</t>
        </r>
        <r>
          <rPr>
            <sz val="9"/>
            <color indexed="81"/>
            <rFont val="Tahoma"/>
            <family val="2"/>
          </rPr>
          <t xml:space="preserve">
Ingresar codigo hoja comuna en base a hoja Comuna</t>
        </r>
      </text>
    </comment>
    <comment ref="AF2" authorId="0" shapeId="0" xr:uid="{37E788EE-2E5B-41F3-A275-2BDBDC07F8A7}">
      <text>
        <r>
          <rPr>
            <b/>
            <sz val="9"/>
            <color indexed="81"/>
            <rFont val="Tahoma"/>
            <family val="2"/>
          </rPr>
          <t>Vasquez, Claudia:</t>
        </r>
        <r>
          <rPr>
            <sz val="9"/>
            <color indexed="81"/>
            <rFont val="Tahoma"/>
            <family val="2"/>
          </rPr>
          <t xml:space="preserve">
Ingresar codigo hoja comuna en base a hoja Comuna</t>
        </r>
      </text>
    </comment>
    <comment ref="T3" authorId="1" shapeId="0" xr:uid="{7ECD07F9-B66B-4F3F-AA6E-78749068373B}">
      <text>
        <r>
          <rPr>
            <b/>
            <sz val="9"/>
            <color indexed="81"/>
            <rFont val="Tahoma"/>
            <family val="2"/>
          </rPr>
          <t>Olivo, Alejandro:</t>
        </r>
        <r>
          <rPr>
            <sz val="9"/>
            <color indexed="81"/>
            <rFont val="Tahoma"/>
            <family val="2"/>
          </rPr>
          <t xml:space="preserve">
A la fecha corte</t>
        </r>
      </text>
    </comment>
    <comment ref="U3" authorId="1" shapeId="0" xr:uid="{F9DCFE2F-D29B-4256-AC35-F9670B38857F}">
      <text>
        <r>
          <rPr>
            <b/>
            <sz val="9"/>
            <color indexed="81"/>
            <rFont val="Tahoma"/>
            <family val="2"/>
          </rPr>
          <t>Olivo, Alejandro:</t>
        </r>
        <r>
          <rPr>
            <sz val="9"/>
            <color indexed="81"/>
            <rFont val="Tahoma"/>
            <family val="2"/>
          </rPr>
          <t xml:space="preserve">
Día endoso</t>
        </r>
      </text>
    </comment>
    <comment ref="AE3" authorId="0" shapeId="0" xr:uid="{76CD28E7-37B2-4FD6-AA8D-BD71D3032B66}">
      <text>
        <r>
          <rPr>
            <b/>
            <sz val="9"/>
            <color indexed="81"/>
            <rFont val="Tahoma"/>
            <family val="2"/>
          </rPr>
          <t>Vasquez, Claudia:</t>
        </r>
        <r>
          <rPr>
            <sz val="9"/>
            <color indexed="81"/>
            <rFont val="Tahoma"/>
            <family val="2"/>
          </rPr>
          <t xml:space="preserve">
Ingresar codigo hoja comuna en base a hoja Comuna</t>
        </r>
      </text>
    </comment>
    <comment ref="AF3" authorId="0" shapeId="0" xr:uid="{6FE7682C-9BD2-4194-96E6-C866110B0E55}">
      <text>
        <r>
          <rPr>
            <b/>
            <sz val="9"/>
            <color indexed="81"/>
            <rFont val="Tahoma"/>
            <family val="2"/>
          </rPr>
          <t>Vasquez, Claudia:</t>
        </r>
        <r>
          <rPr>
            <sz val="9"/>
            <color indexed="81"/>
            <rFont val="Tahoma"/>
            <family val="2"/>
          </rPr>
          <t xml:space="preserve">
Ingresar codigo hoja comuna en base a hoja Comuna</t>
        </r>
      </text>
    </comment>
  </commentList>
</comments>
</file>

<file path=xl/sharedStrings.xml><?xml version="1.0" encoding="utf-8"?>
<sst xmlns="http://schemas.openxmlformats.org/spreadsheetml/2006/main" count="1227" uniqueCount="664">
  <si>
    <t>Nº</t>
  </si>
  <si>
    <t>Monto Crédito + Cap (UF)</t>
  </si>
  <si>
    <t>Fecha Last Aporte</t>
  </si>
  <si>
    <t>Fecha Corte</t>
  </si>
  <si>
    <t>Nº Cuotas</t>
  </si>
  <si>
    <t>Apellido materno</t>
  </si>
  <si>
    <t>Nombres</t>
  </si>
  <si>
    <t>Rut</t>
  </si>
  <si>
    <t>DV</t>
  </si>
  <si>
    <t>Tasacion</t>
  </si>
  <si>
    <t>Subsidio</t>
  </si>
  <si>
    <t>Precio Venta/Tasación</t>
  </si>
  <si>
    <t xml:space="preserve">VPN </t>
  </si>
  <si>
    <t>Leasing o Mutuo</t>
  </si>
  <si>
    <t>N° Operación CMF</t>
  </si>
  <si>
    <t>RUT</t>
  </si>
  <si>
    <t>Apellido paterno</t>
  </si>
  <si>
    <t>Género</t>
  </si>
  <si>
    <t>Segmento</t>
  </si>
  <si>
    <t>Precio venta propiedad</t>
  </si>
  <si>
    <t>Valor de tasación</t>
  </si>
  <si>
    <t>Tasa anual de emisión</t>
  </si>
  <si>
    <t>Tasa mensual de emisión</t>
  </si>
  <si>
    <t>Plazo en meses</t>
  </si>
  <si>
    <t>Meses de gracia</t>
  </si>
  <si>
    <t>LTV</t>
  </si>
  <si>
    <t>Monto otorgado (UF)</t>
  </si>
  <si>
    <t>Valor cuota (UF)</t>
  </si>
  <si>
    <t>Valor última cuota (UF)</t>
  </si>
  <si>
    <t>Spread</t>
  </si>
  <si>
    <t>Tasa anual de endoso</t>
  </si>
  <si>
    <t>Tasa mensual de endoso</t>
  </si>
  <si>
    <t>Fecha de suscripción</t>
  </si>
  <si>
    <t>Período primer aporte</t>
  </si>
  <si>
    <t>Fecha de endoso</t>
  </si>
  <si>
    <t>Fecha primer aporte a endosar</t>
  </si>
  <si>
    <t>Fecha último aporte</t>
  </si>
  <si>
    <t>Número de cuotas a endosar</t>
  </si>
  <si>
    <t>VAN fecha endoso</t>
  </si>
  <si>
    <t>Comuna</t>
  </si>
  <si>
    <t>Ciudad</t>
  </si>
  <si>
    <t>Region</t>
  </si>
  <si>
    <t>Notaría</t>
  </si>
  <si>
    <t>Comuna notario</t>
  </si>
  <si>
    <t>Dirección</t>
  </si>
  <si>
    <t>Julio</t>
  </si>
  <si>
    <t>Fecha 1er Aporte a endosar</t>
  </si>
  <si>
    <t>Temuco</t>
  </si>
  <si>
    <t>Viña del Mar</t>
  </si>
  <si>
    <t>Rancagua</t>
  </si>
  <si>
    <t>Santiago</t>
  </si>
  <si>
    <t>Antofagasta</t>
  </si>
  <si>
    <t>La Serena</t>
  </si>
  <si>
    <t>Concepción</t>
  </si>
  <si>
    <t>Lorena Jorquera</t>
  </si>
  <si>
    <t>Talca</t>
  </si>
  <si>
    <t>Día_contrato</t>
  </si>
  <si>
    <t>Mes_contrato</t>
  </si>
  <si>
    <t>año_contrato</t>
  </si>
  <si>
    <t>día_firma</t>
  </si>
  <si>
    <t>mes_firma</t>
  </si>
  <si>
    <t>año_firma</t>
  </si>
  <si>
    <t>Prefijo 1</t>
  </si>
  <si>
    <t>Cliente</t>
  </si>
  <si>
    <t>Valor_Credito</t>
  </si>
  <si>
    <t>Plazo_Meses</t>
  </si>
  <si>
    <t>Dirección_Gtia</t>
  </si>
  <si>
    <t>Región</t>
  </si>
  <si>
    <t>Prefijo 2</t>
  </si>
  <si>
    <t>Notaria</t>
  </si>
  <si>
    <t>Repertorio</t>
  </si>
  <si>
    <t>Valorización</t>
  </si>
  <si>
    <t>N°</t>
  </si>
  <si>
    <t>Doña</t>
  </si>
  <si>
    <t>Don</t>
  </si>
  <si>
    <t>Maria Soledad Lascar</t>
  </si>
  <si>
    <t>Elena Leyton Carvajal</t>
  </si>
  <si>
    <t>Ruben Reinoso Herrera</t>
  </si>
  <si>
    <t>Esmirna Vidal Moraga</t>
  </si>
  <si>
    <t>Juan Loyola Opazo</t>
  </si>
  <si>
    <t>Carlos Miranda Jimenez</t>
  </si>
  <si>
    <t>Juan Espinoza Bancalari</t>
  </si>
  <si>
    <t>Jaime Bernales Valenzuela</t>
  </si>
  <si>
    <t>Juan Ricardo San Martin Urrejola</t>
  </si>
  <si>
    <t>Ramon garcia Carrasco</t>
  </si>
  <si>
    <t>Luis Enrique Fischer</t>
  </si>
  <si>
    <t>Teodoro Duran Palma</t>
  </si>
  <si>
    <t>1216,27</t>
  </si>
  <si>
    <t>2448,23</t>
  </si>
  <si>
    <t>1775,24</t>
  </si>
  <si>
    <t>1717,81</t>
  </si>
  <si>
    <t>1301,63</t>
  </si>
  <si>
    <t>1240,37</t>
  </si>
  <si>
    <t>1706,31</t>
  </si>
  <si>
    <t>1972,12</t>
  </si>
  <si>
    <t>2295,88</t>
  </si>
  <si>
    <t>2533,70</t>
  </si>
  <si>
    <t>2728,43</t>
  </si>
  <si>
    <t>2476,26</t>
  </si>
  <si>
    <t>1160,37</t>
  </si>
  <si>
    <t>1900,39</t>
  </si>
  <si>
    <t>1814,58</t>
  </si>
  <si>
    <t>1168,03</t>
  </si>
  <si>
    <t>1526,22</t>
  </si>
  <si>
    <t>1747,94</t>
  </si>
  <si>
    <t>3746,14</t>
  </si>
  <si>
    <t>2939,73</t>
  </si>
  <si>
    <t>4493,00</t>
  </si>
  <si>
    <t>3074,66</t>
  </si>
  <si>
    <t>1920,08</t>
  </si>
  <si>
    <t>2746,96</t>
  </si>
  <si>
    <t>2450,11</t>
  </si>
  <si>
    <t>1416,78</t>
  </si>
  <si>
    <t>2930,24</t>
  </si>
  <si>
    <t>1252,71</t>
  </si>
  <si>
    <t>2149,38</t>
  </si>
  <si>
    <t>2753,10</t>
  </si>
  <si>
    <t>2642,44</t>
  </si>
  <si>
    <t>1760,36</t>
  </si>
  <si>
    <t>3067,92</t>
  </si>
  <si>
    <t>2132,49</t>
  </si>
  <si>
    <t>2024,66</t>
  </si>
  <si>
    <t>3233,30</t>
  </si>
  <si>
    <t>1567,49</t>
  </si>
  <si>
    <t>2965,26</t>
  </si>
  <si>
    <t>2954,14</t>
  </si>
  <si>
    <t>1560,93</t>
  </si>
  <si>
    <t>1966,21</t>
  </si>
  <si>
    <t>1736,19</t>
  </si>
  <si>
    <t>1187,83</t>
  </si>
  <si>
    <t>925,49</t>
  </si>
  <si>
    <t>1855,76</t>
  </si>
  <si>
    <t>1561,26</t>
  </si>
  <si>
    <t>840,76</t>
  </si>
  <si>
    <t>Primera cuota a endosar</t>
  </si>
  <si>
    <t>Maipo</t>
  </si>
  <si>
    <t>San Bernardo</t>
  </si>
  <si>
    <t>Villarrica</t>
  </si>
  <si>
    <t>N° Operación</t>
  </si>
  <si>
    <t>Masculino</t>
  </si>
  <si>
    <t>Femenino</t>
  </si>
  <si>
    <t>Pie</t>
  </si>
  <si>
    <t>Dividendo/ Renta</t>
  </si>
  <si>
    <t>Carga Financiera</t>
  </si>
  <si>
    <t>Región Metropolitana de Santiago</t>
  </si>
  <si>
    <t>Cachapoal</t>
  </si>
  <si>
    <t>Chillán</t>
  </si>
  <si>
    <t>Diguillín</t>
  </si>
  <si>
    <t>Región de Ñuble</t>
  </si>
  <si>
    <t>Valparaíso</t>
  </si>
  <si>
    <t>Paine</t>
  </si>
  <si>
    <t>Tasa endoso</t>
  </si>
  <si>
    <t>valor Creditú</t>
  </si>
  <si>
    <t>Valor Vivienda</t>
  </si>
  <si>
    <t xml:space="preserve">Morosidad </t>
  </si>
  <si>
    <t>Saldo insoluto Teórico</t>
  </si>
  <si>
    <t>Tasa Endoso</t>
  </si>
  <si>
    <t>Monto Dividendo</t>
  </si>
  <si>
    <t>Carga Financiera/ Renta</t>
  </si>
  <si>
    <t>Dirección de la Propiedad</t>
  </si>
  <si>
    <t>Codigo Comuna</t>
  </si>
  <si>
    <t>La Pintana</t>
  </si>
  <si>
    <t>Molina</t>
  </si>
  <si>
    <t>Torres</t>
  </si>
  <si>
    <t>Melipilla</t>
  </si>
  <si>
    <t>OK</t>
  </si>
  <si>
    <t>Carrasco</t>
  </si>
  <si>
    <t>Saavedra</t>
  </si>
  <si>
    <t>6</t>
  </si>
  <si>
    <t>8</t>
  </si>
  <si>
    <t>1</t>
  </si>
  <si>
    <t>4</t>
  </si>
  <si>
    <t>5</t>
  </si>
  <si>
    <t>2</t>
  </si>
  <si>
    <t>Gerardo Carvallo Castillo</t>
  </si>
  <si>
    <t>Padre Hurtado</t>
  </si>
  <si>
    <t>Talagante</t>
  </si>
  <si>
    <t>Pablo Martínez Loaiza</t>
  </si>
  <si>
    <t>Cerrillos</t>
  </si>
  <si>
    <t>Teodoro Durán Palma</t>
  </si>
  <si>
    <t>Colina</t>
  </si>
  <si>
    <t>Chillán Viejo</t>
  </si>
  <si>
    <t>Diaz</t>
  </si>
  <si>
    <t>San Javier</t>
  </si>
  <si>
    <t>Linares</t>
  </si>
  <si>
    <t>Gabriel Guerrero González</t>
  </si>
  <si>
    <t>Independencia</t>
  </si>
  <si>
    <t>Romero</t>
  </si>
  <si>
    <t>Región del Libertador General Bernardo O'Higgins</t>
  </si>
  <si>
    <t>Región del Maule</t>
  </si>
  <si>
    <t>Fecha de emisión</t>
  </si>
  <si>
    <t>Zapallar</t>
  </si>
  <si>
    <t>Yungay</t>
  </si>
  <si>
    <t>Yumbel</t>
  </si>
  <si>
    <t>Yerbas Buenas</t>
  </si>
  <si>
    <t>Vitacura</t>
  </si>
  <si>
    <t>Villa Alemana</t>
  </si>
  <si>
    <t>Villa Alegre</t>
  </si>
  <si>
    <t>Vilcún</t>
  </si>
  <si>
    <t>Vicuña</t>
  </si>
  <si>
    <t>Victoria</t>
  </si>
  <si>
    <t>Vichuquén</t>
  </si>
  <si>
    <t>Vallenar</t>
  </si>
  <si>
    <t>Valdivia</t>
  </si>
  <si>
    <t>Tucapel</t>
  </si>
  <si>
    <t>Treguaco</t>
  </si>
  <si>
    <t>Traiguén</t>
  </si>
  <si>
    <t>Tortel</t>
  </si>
  <si>
    <t>Torres del Paine</t>
  </si>
  <si>
    <t>Tomé</t>
  </si>
  <si>
    <t>Toltén</t>
  </si>
  <si>
    <t>Tocopilla</t>
  </si>
  <si>
    <t>Tirúa</t>
  </si>
  <si>
    <t>Timaukel</t>
  </si>
  <si>
    <t>Tiltil</t>
  </si>
  <si>
    <t>Tierra Amarilla</t>
  </si>
  <si>
    <t>Teodoro Schmidt</t>
  </si>
  <si>
    <t>Teno</t>
  </si>
  <si>
    <t>Taltal</t>
  </si>
  <si>
    <t>Talcahuano</t>
  </si>
  <si>
    <t>Sierra Gorda</t>
  </si>
  <si>
    <t>Santo Domingo</t>
  </si>
  <si>
    <t>Santa María</t>
  </si>
  <si>
    <t>Santa Juana</t>
  </si>
  <si>
    <t>Santa Cruz</t>
  </si>
  <si>
    <t>Santa Bárbara</t>
  </si>
  <si>
    <t>San Vicente</t>
  </si>
  <si>
    <t>San Rosendo</t>
  </si>
  <si>
    <t>San Ramón</t>
  </si>
  <si>
    <t>San Rafael</t>
  </si>
  <si>
    <t>San Pedro de la Paz</t>
  </si>
  <si>
    <t>San Pedro de Atacama</t>
  </si>
  <si>
    <t>San Pedro</t>
  </si>
  <si>
    <t>San Pablo</t>
  </si>
  <si>
    <t>San Nicolás</t>
  </si>
  <si>
    <t>San Miguel</t>
  </si>
  <si>
    <t>San Juan de la Costa</t>
  </si>
  <si>
    <t>San José de Maipo</t>
  </si>
  <si>
    <t>San Joaquín</t>
  </si>
  <si>
    <t>San Ignacio</t>
  </si>
  <si>
    <t>San Gregorio</t>
  </si>
  <si>
    <t>San Fernando</t>
  </si>
  <si>
    <t>San Felipe</t>
  </si>
  <si>
    <t>San Fabián</t>
  </si>
  <si>
    <t>San Esteban</t>
  </si>
  <si>
    <t>San Clemente</t>
  </si>
  <si>
    <t>San Carlos</t>
  </si>
  <si>
    <t>San Antonio</t>
  </si>
  <si>
    <t>Salamanca</t>
  </si>
  <si>
    <t>Sagrada Familia</t>
  </si>
  <si>
    <t>Romeral</t>
  </si>
  <si>
    <t>Río Verde</t>
  </si>
  <si>
    <t>Río Negro</t>
  </si>
  <si>
    <t>Río Ibáñez</t>
  </si>
  <si>
    <t>Río Hurtado</t>
  </si>
  <si>
    <t>Río Claro</t>
  </si>
  <si>
    <t>Río Bueno</t>
  </si>
  <si>
    <t>Rinconada</t>
  </si>
  <si>
    <t>Retiro</t>
  </si>
  <si>
    <t>Requínoa</t>
  </si>
  <si>
    <t>Rengo</t>
  </si>
  <si>
    <t>Renca</t>
  </si>
  <si>
    <t>Renaico</t>
  </si>
  <si>
    <t>Recoleta</t>
  </si>
  <si>
    <t>Rauco</t>
  </si>
  <si>
    <t>Ránquil</t>
  </si>
  <si>
    <t>Quirihue</t>
  </si>
  <si>
    <t>Quintero</t>
  </si>
  <si>
    <t>Quinta Normal</t>
  </si>
  <si>
    <t>Quinta de Tilcoco</t>
  </si>
  <si>
    <t>Quinchao</t>
  </si>
  <si>
    <t>Quilpué</t>
  </si>
  <si>
    <t>Quillota</t>
  </si>
  <si>
    <t>Quillón</t>
  </si>
  <si>
    <t>Quilleco</t>
  </si>
  <si>
    <t>Quilicura</t>
  </si>
  <si>
    <t>Quilaco</t>
  </si>
  <si>
    <t>Quemchi</t>
  </si>
  <si>
    <t>Quellón</t>
  </si>
  <si>
    <t>Queilén</t>
  </si>
  <si>
    <t>Puyehue</t>
  </si>
  <si>
    <t>Putre</t>
  </si>
  <si>
    <t>Putaendo</t>
  </si>
  <si>
    <t>Purranque</t>
  </si>
  <si>
    <t>Purén</t>
  </si>
  <si>
    <t>Puqueldón</t>
  </si>
  <si>
    <t>Punta Arenas</t>
  </si>
  <si>
    <t>Punitaqui</t>
  </si>
  <si>
    <t>Pumanque</t>
  </si>
  <si>
    <t>Puerto Varas</t>
  </si>
  <si>
    <t>Puerto Octay</t>
  </si>
  <si>
    <t>Puerto Montt</t>
  </si>
  <si>
    <t>Puente Alto</t>
  </si>
  <si>
    <t>Pudahuel</t>
  </si>
  <si>
    <t>Pucón</t>
  </si>
  <si>
    <t>Puchuncaví</t>
  </si>
  <si>
    <t>Providencia</t>
  </si>
  <si>
    <t>Primavera</t>
  </si>
  <si>
    <t>Pozo Almonte</t>
  </si>
  <si>
    <t>Porvenir</t>
  </si>
  <si>
    <t>Portezuelo</t>
  </si>
  <si>
    <t>Placilla</t>
  </si>
  <si>
    <t>Pitrufquén</t>
  </si>
  <si>
    <t>Pirque</t>
  </si>
  <si>
    <t>Pinto</t>
  </si>
  <si>
    <t>Pichilemu</t>
  </si>
  <si>
    <t>Pichidegua</t>
  </si>
  <si>
    <t>Pica</t>
  </si>
  <si>
    <t>Peumo</t>
  </si>
  <si>
    <t>Petorca</t>
  </si>
  <si>
    <t>Perquenco</t>
  </si>
  <si>
    <t>Peralillo</t>
  </si>
  <si>
    <t>Peñalolén</t>
  </si>
  <si>
    <t>Peñaflor</t>
  </si>
  <si>
    <t>Penco</t>
  </si>
  <si>
    <t>Pencahue</t>
  </si>
  <si>
    <t>Pemuco</t>
  </si>
  <si>
    <t>Pelluhue</t>
  </si>
  <si>
    <t>Pelarco</t>
  </si>
  <si>
    <t>Pedro Aguirre Cerda</t>
  </si>
  <si>
    <t>Parral</t>
  </si>
  <si>
    <t>Paredones</t>
  </si>
  <si>
    <t>Papudo</t>
  </si>
  <si>
    <t>Panquehue</t>
  </si>
  <si>
    <t>Panguipulli</t>
  </si>
  <si>
    <t>Palmilla</t>
  </si>
  <si>
    <t>Palena</t>
  </si>
  <si>
    <t>Paillaco</t>
  </si>
  <si>
    <t>Paiguano</t>
  </si>
  <si>
    <t>Padre las Casas</t>
  </si>
  <si>
    <t>Ovalle</t>
  </si>
  <si>
    <t>Osorno</t>
  </si>
  <si>
    <t>Olmué</t>
  </si>
  <si>
    <t>Ollagüe</t>
  </si>
  <si>
    <t>Olivar</t>
  </si>
  <si>
    <t>O Higgins</t>
  </si>
  <si>
    <t>Ñuñoa</t>
  </si>
  <si>
    <t>Ñiquén</t>
  </si>
  <si>
    <t>Nueva Imperial</t>
  </si>
  <si>
    <t>Nogales</t>
  </si>
  <si>
    <t>Ninhue</t>
  </si>
  <si>
    <t>Negrete</t>
  </si>
  <si>
    <t>Navidad</t>
  </si>
  <si>
    <t>Natales</t>
  </si>
  <si>
    <t>Nancagua</t>
  </si>
  <si>
    <t>Nacimiento</t>
  </si>
  <si>
    <t>Mulchén</t>
  </si>
  <si>
    <t>Mostazal</t>
  </si>
  <si>
    <t>Monte Patria</t>
  </si>
  <si>
    <t>Melipeuco</t>
  </si>
  <si>
    <t>Mejillones</t>
  </si>
  <si>
    <t>Maullín</t>
  </si>
  <si>
    <t>Maule</t>
  </si>
  <si>
    <t>Mariquina</t>
  </si>
  <si>
    <t>María Pinto</t>
  </si>
  <si>
    <t>María Elena</t>
  </si>
  <si>
    <t>Marchihue</t>
  </si>
  <si>
    <t>Malloa</t>
  </si>
  <si>
    <t>Maipú</t>
  </si>
  <si>
    <t>Máfil</t>
  </si>
  <si>
    <t>Macul</t>
  </si>
  <si>
    <t>Machalí</t>
  </si>
  <si>
    <t>Lumaco</t>
  </si>
  <si>
    <t>Lota</t>
  </si>
  <si>
    <t>Los Vilos</t>
  </si>
  <si>
    <t>Los Sauces</t>
  </si>
  <si>
    <t>Los Muermos</t>
  </si>
  <si>
    <t>Los Lagos</t>
  </si>
  <si>
    <t>Los Ángeles</t>
  </si>
  <si>
    <t>Los Andes</t>
  </si>
  <si>
    <t>Los Álamos</t>
  </si>
  <si>
    <t>Lonquimay</t>
  </si>
  <si>
    <t>Longaví</t>
  </si>
  <si>
    <t>Loncoche</t>
  </si>
  <si>
    <t>Lolol</t>
  </si>
  <si>
    <t>Lo Prado</t>
  </si>
  <si>
    <t>Lo Espejo</t>
  </si>
  <si>
    <t>Lo Barnechea</t>
  </si>
  <si>
    <t>Llanquihue</t>
  </si>
  <si>
    <t>Llaillay</t>
  </si>
  <si>
    <t>Litueche</t>
  </si>
  <si>
    <t>Limache</t>
  </si>
  <si>
    <t>Licantén</t>
  </si>
  <si>
    <t>Lebu</t>
  </si>
  <si>
    <t>Lautaro</t>
  </si>
  <si>
    <t>Las Condes</t>
  </si>
  <si>
    <t>Las Cabras</t>
  </si>
  <si>
    <t>Lanco</t>
  </si>
  <si>
    <t>Lampa</t>
  </si>
  <si>
    <t>Laja</t>
  </si>
  <si>
    <t>Laguna Blanca</t>
  </si>
  <si>
    <t>Lago Verde</t>
  </si>
  <si>
    <t>Lago Ranco</t>
  </si>
  <si>
    <t>La Unión</t>
  </si>
  <si>
    <t>La Reina</t>
  </si>
  <si>
    <t>La Ligua</t>
  </si>
  <si>
    <t>La Higuera</t>
  </si>
  <si>
    <t>La Granja</t>
  </si>
  <si>
    <t>La Florida</t>
  </si>
  <si>
    <t>La Estrella</t>
  </si>
  <si>
    <t>La Cruz</t>
  </si>
  <si>
    <t>La Cisterna</t>
  </si>
  <si>
    <t>Juan Fernández</t>
  </si>
  <si>
    <t>Isla de Pascua</t>
  </si>
  <si>
    <t>Isla de Maipo</t>
  </si>
  <si>
    <t>Iquique</t>
  </si>
  <si>
    <t>Illapel</t>
  </si>
  <si>
    <t>Huechuraba</t>
  </si>
  <si>
    <t>Huasco</t>
  </si>
  <si>
    <t>Huara</t>
  </si>
  <si>
    <t>Hualqui</t>
  </si>
  <si>
    <t>Hualpén</t>
  </si>
  <si>
    <t>Hualañé</t>
  </si>
  <si>
    <t>Hualaihué</t>
  </si>
  <si>
    <t>Hijuelas</t>
  </si>
  <si>
    <t>Guaitecas</t>
  </si>
  <si>
    <t>Graneros</t>
  </si>
  <si>
    <t>Gorbea</t>
  </si>
  <si>
    <t>General Lagos</t>
  </si>
  <si>
    <t>Galvarino</t>
  </si>
  <si>
    <t>Futrono</t>
  </si>
  <si>
    <t>Futaleufú</t>
  </si>
  <si>
    <t>Frutillar</t>
  </si>
  <si>
    <t>Fresia</t>
  </si>
  <si>
    <t>Freirina</t>
  </si>
  <si>
    <t>Freire</t>
  </si>
  <si>
    <t>Florida</t>
  </si>
  <si>
    <t>Extranjero</t>
  </si>
  <si>
    <t>Estación Central</t>
  </si>
  <si>
    <t>Ercilla</t>
  </si>
  <si>
    <t>Empedrado</t>
  </si>
  <si>
    <t>El Tabo</t>
  </si>
  <si>
    <t>El Quisco</t>
  </si>
  <si>
    <t>El Monte</t>
  </si>
  <si>
    <t>El Carmen</t>
  </si>
  <si>
    <t>El Bosque</t>
  </si>
  <si>
    <t>Doñihue</t>
  </si>
  <si>
    <t>Diego de Almagro</t>
  </si>
  <si>
    <t>Dalcahue</t>
  </si>
  <si>
    <t>Curicó</t>
  </si>
  <si>
    <t>Curepto</t>
  </si>
  <si>
    <t>Curarrehue</t>
  </si>
  <si>
    <t>Curanilahue</t>
  </si>
  <si>
    <t>Curaco de Vélez</t>
  </si>
  <si>
    <t>Curacaví</t>
  </si>
  <si>
    <t>Curacautín</t>
  </si>
  <si>
    <t>Cunco</t>
  </si>
  <si>
    <t>Corral</t>
  </si>
  <si>
    <t>Coronel</t>
  </si>
  <si>
    <t>Coquimbo</t>
  </si>
  <si>
    <t>Copiapó</t>
  </si>
  <si>
    <t>Contulmo</t>
  </si>
  <si>
    <t>Constitución</t>
  </si>
  <si>
    <t>Concón</t>
  </si>
  <si>
    <t>Conchalí</t>
  </si>
  <si>
    <t>Combarbalá</t>
  </si>
  <si>
    <t>Coltauco</t>
  </si>
  <si>
    <t>Collipulli</t>
  </si>
  <si>
    <t>Colchane</t>
  </si>
  <si>
    <t>Colbún</t>
  </si>
  <si>
    <t>Coinco</t>
  </si>
  <si>
    <t>Coihueco</t>
  </si>
  <si>
    <t>Coihaique</t>
  </si>
  <si>
    <t>Coelemu</t>
  </si>
  <si>
    <t>Codegua</t>
  </si>
  <si>
    <t>Cochrane</t>
  </si>
  <si>
    <t>Cochamó</t>
  </si>
  <si>
    <t>Cobquecura</t>
  </si>
  <si>
    <t>Cisnes</t>
  </si>
  <si>
    <t>Chonchi</t>
  </si>
  <si>
    <t>Cholchol</t>
  </si>
  <si>
    <t>Chimbarongo</t>
  </si>
  <si>
    <t>Chile Chico</t>
  </si>
  <si>
    <t>Chiguayante</t>
  </si>
  <si>
    <t>Chépica</t>
  </si>
  <si>
    <t>Chañaral</t>
  </si>
  <si>
    <t>Chanco</t>
  </si>
  <si>
    <t>Chaitén</t>
  </si>
  <si>
    <t>Cerro Navia</t>
  </si>
  <si>
    <t>Cauquenes</t>
  </si>
  <si>
    <t>Catemu</t>
  </si>
  <si>
    <t>Castro</t>
  </si>
  <si>
    <t>Casablanca</t>
  </si>
  <si>
    <t>Cartagena</t>
  </si>
  <si>
    <t>Carahue</t>
  </si>
  <si>
    <t>Cañete</t>
  </si>
  <si>
    <t>Canela</t>
  </si>
  <si>
    <t>Camiña</t>
  </si>
  <si>
    <t>Camarones</t>
  </si>
  <si>
    <t>Calle Larga</t>
  </si>
  <si>
    <t>Calera de Tango</t>
  </si>
  <si>
    <t>Calera</t>
  </si>
  <si>
    <t>Caldera</t>
  </si>
  <si>
    <t>Calbuco</t>
  </si>
  <si>
    <t>Calama</t>
  </si>
  <si>
    <t>Cabrero</t>
  </si>
  <si>
    <t>Cabo de Hornos</t>
  </si>
  <si>
    <t>Cabildo</t>
  </si>
  <si>
    <t>Bulnes</t>
  </si>
  <si>
    <t>Buin</t>
  </si>
  <si>
    <t>Aysen</t>
  </si>
  <si>
    <t>Arica</t>
  </si>
  <si>
    <t>Arauco</t>
  </si>
  <si>
    <t>Antuco</t>
  </si>
  <si>
    <t>Antártica</t>
  </si>
  <si>
    <t>Angol</t>
  </si>
  <si>
    <t>Andacollo</t>
  </si>
  <si>
    <t>Ancud</t>
  </si>
  <si>
    <t>Alto Hospicio</t>
  </si>
  <si>
    <t>Alto del Carmen</t>
  </si>
  <si>
    <t>Alto Biobío</t>
  </si>
  <si>
    <t>Alhué</t>
  </si>
  <si>
    <t>Algarrobo</t>
  </si>
  <si>
    <t>COMUNA</t>
  </si>
  <si>
    <t>CODCOMUNA</t>
  </si>
  <si>
    <t>202403250103A033</t>
  </si>
  <si>
    <t>18803188-9</t>
  </si>
  <si>
    <t xml:space="preserve">Diaz </t>
  </si>
  <si>
    <t xml:space="preserve">Zuñiga </t>
  </si>
  <si>
    <t xml:space="preserve">Joel Alejandro </t>
  </si>
  <si>
    <t>Calle 8 Sur Poniente 351,casa 351</t>
  </si>
  <si>
    <t>Biobío</t>
  </si>
  <si>
    <t>María Antonieta Carrillo Flores</t>
  </si>
  <si>
    <t>Firmada</t>
  </si>
  <si>
    <t>202403260104A033</t>
  </si>
  <si>
    <t>16265854-9</t>
  </si>
  <si>
    <t>Hultazo</t>
  </si>
  <si>
    <t>Novoa</t>
  </si>
  <si>
    <t>Daniela Del Carmen</t>
  </si>
  <si>
    <t>ADRIANA GARCIA IBAÑEZ 2030, Edificio G,departamento 303</t>
  </si>
  <si>
    <t>202403250105A033</t>
  </si>
  <si>
    <t>24585394-7</t>
  </si>
  <si>
    <t xml:space="preserve">Salazar </t>
  </si>
  <si>
    <t>Carvajal</t>
  </si>
  <si>
    <t xml:space="preserve">Nedier Graciela </t>
  </si>
  <si>
    <t>Camino La Vara  02600, Torre 1,departamento 406</t>
  </si>
  <si>
    <t>202403260108A033</t>
  </si>
  <si>
    <t>26537872-2</t>
  </si>
  <si>
    <t>Vasquez</t>
  </si>
  <si>
    <t>Sanchez</t>
  </si>
  <si>
    <t>Bertha Ramona</t>
  </si>
  <si>
    <t>Calle 38 Oriente  350, Torre 8,departamento 2804</t>
  </si>
  <si>
    <t>202403250112A033</t>
  </si>
  <si>
    <t>18188333-2</t>
  </si>
  <si>
    <t xml:space="preserve">Huenchul </t>
  </si>
  <si>
    <t>Colihuinca</t>
  </si>
  <si>
    <t xml:space="preserve">César Antonio </t>
  </si>
  <si>
    <t>Camino La Vara  02600, TORRE 2,departamento 412</t>
  </si>
  <si>
    <t>202403260115A033</t>
  </si>
  <si>
    <t>18250306-1</t>
  </si>
  <si>
    <t xml:space="preserve">Rojas </t>
  </si>
  <si>
    <t xml:space="preserve">Claudio Sebastian </t>
  </si>
  <si>
    <t>Los Libertadores  4733, Edificio F,departamento 106</t>
  </si>
  <si>
    <t>202403260117A033</t>
  </si>
  <si>
    <t>17747816-4</t>
  </si>
  <si>
    <t>Lagos</t>
  </si>
  <si>
    <t>Muñoz</t>
  </si>
  <si>
    <t>Pablo Daniel</t>
  </si>
  <si>
    <t>ADRIANA GARCIA IBAÑEZ 2030, Torre B,departamento 401</t>
  </si>
  <si>
    <t>202403220119A033</t>
  </si>
  <si>
    <t>17137105-8</t>
  </si>
  <si>
    <t>Jaña</t>
  </si>
  <si>
    <t>Avila</t>
  </si>
  <si>
    <t>Francisco Javier</t>
  </si>
  <si>
    <t>Av. El Valle 199, Torre B,departamento 101</t>
  </si>
  <si>
    <t>202403260120A033</t>
  </si>
  <si>
    <t>16995140-3</t>
  </si>
  <si>
    <t xml:space="preserve">Oñate </t>
  </si>
  <si>
    <t xml:space="preserve">Muñoz </t>
  </si>
  <si>
    <t xml:space="preserve">Pablo Enrique </t>
  </si>
  <si>
    <t>PROFESOR PASCUAL PEREIRA 1324,casa 1324</t>
  </si>
  <si>
    <t>Cristian Camilla Sandoval</t>
  </si>
  <si>
    <t>202403250121A033</t>
  </si>
  <si>
    <t>18645373-5</t>
  </si>
  <si>
    <t>Aranguiz</t>
  </si>
  <si>
    <t>Arevalo</t>
  </si>
  <si>
    <t>Macarena Andrea Del Carmen</t>
  </si>
  <si>
    <t>Av El Valle 199, Torre B,departamento 407</t>
  </si>
  <si>
    <t>202403250123A033</t>
  </si>
  <si>
    <t>16681463-4</t>
  </si>
  <si>
    <t>Moraga</t>
  </si>
  <si>
    <t>Jenny Alejandra</t>
  </si>
  <si>
    <t>PASAJE DEMOFILA TORREALBA (PROFESORA)  1744,casa 1744</t>
  </si>
  <si>
    <t>Andrés Falcón Valencia</t>
  </si>
  <si>
    <t>N/A</t>
  </si>
  <si>
    <t>202403250125A033</t>
  </si>
  <si>
    <t>24243822-1</t>
  </si>
  <si>
    <t xml:space="preserve">Pozo </t>
  </si>
  <si>
    <t>Salvatierra</t>
  </si>
  <si>
    <t xml:space="preserve">Eufronia </t>
  </si>
  <si>
    <t>Los Libertadores  4733, Edificio F,departamento 808</t>
  </si>
  <si>
    <t>202403270128A033</t>
  </si>
  <si>
    <t>10745032-7</t>
  </si>
  <si>
    <t>Herrera</t>
  </si>
  <si>
    <t>Labarca</t>
  </si>
  <si>
    <t>Ester Lorena</t>
  </si>
  <si>
    <t>EMMA GOLDMAN  3456,casa 3456</t>
  </si>
  <si>
    <t>Elqui</t>
  </si>
  <si>
    <t>Juan Carlos Maturana</t>
  </si>
  <si>
    <t>202403250129A033</t>
  </si>
  <si>
    <t>18429503-2</t>
  </si>
  <si>
    <t xml:space="preserve">Daza </t>
  </si>
  <si>
    <t xml:space="preserve">Contreras </t>
  </si>
  <si>
    <t xml:space="preserve">Jocelyn Magdalena </t>
  </si>
  <si>
    <t>Camino Las Rosas 518, Edificio 12,departamento 52</t>
  </si>
  <si>
    <t>Luis Álvarez Diaz</t>
  </si>
  <si>
    <t>202403260131A033</t>
  </si>
  <si>
    <t>16415014-3</t>
  </si>
  <si>
    <t>Barrientos</t>
  </si>
  <si>
    <t>Cesar Antonio</t>
  </si>
  <si>
    <t>STELLA DIAZ VARIN 1901,departamento 1901</t>
  </si>
  <si>
    <t>202403250132A033</t>
  </si>
  <si>
    <t>19796943-1</t>
  </si>
  <si>
    <t xml:space="preserve">Yañez </t>
  </si>
  <si>
    <t xml:space="preserve">Gallardo </t>
  </si>
  <si>
    <t xml:space="preserve">Angelica Isabel </t>
  </si>
  <si>
    <t>Camino Las Rosas 518, Edificio 14,departamento 54</t>
  </si>
  <si>
    <t>202403260133A033</t>
  </si>
  <si>
    <t>18475742-7</t>
  </si>
  <si>
    <t>Evelyn Andrea</t>
  </si>
  <si>
    <t>Calle Adriana García Ibáñez  2030, Torre F,departamento 202</t>
  </si>
  <si>
    <t>202403250134A033</t>
  </si>
  <si>
    <t>14204102-2</t>
  </si>
  <si>
    <t>Nuñez</t>
  </si>
  <si>
    <t>Brito</t>
  </si>
  <si>
    <t>Fernanda Angelica</t>
  </si>
  <si>
    <t>Avenida El Valle 199, Torre C,departamento 701</t>
  </si>
  <si>
    <t>202403250135A033</t>
  </si>
  <si>
    <t>13219684-2</t>
  </si>
  <si>
    <t>Cardenas</t>
  </si>
  <si>
    <t>Mardones</t>
  </si>
  <si>
    <t>Katherine Magdalena</t>
  </si>
  <si>
    <t xml:space="preserve"> Avenida El Valle  199, Torre A,departamento 303</t>
  </si>
  <si>
    <t>202403250138A033</t>
  </si>
  <si>
    <t>27097423-6</t>
  </si>
  <si>
    <t>Rivera</t>
  </si>
  <si>
    <t>De Carreño</t>
  </si>
  <si>
    <t>Rosmery Josefina</t>
  </si>
  <si>
    <t>Los Libertadores 4733, Edificio H</t>
  </si>
  <si>
    <t>Región del Biobío</t>
  </si>
  <si>
    <t>Región de Coquimbo</t>
  </si>
  <si>
    <t>18803188</t>
  </si>
  <si>
    <t>9</t>
  </si>
  <si>
    <t>16265854</t>
  </si>
  <si>
    <t>24585394</t>
  </si>
  <si>
    <t>7</t>
  </si>
  <si>
    <t>26537872</t>
  </si>
  <si>
    <t>18188333</t>
  </si>
  <si>
    <t>18250306</t>
  </si>
  <si>
    <t>17747816</t>
  </si>
  <si>
    <t>17137105</t>
  </si>
  <si>
    <t>16995140</t>
  </si>
  <si>
    <t>3</t>
  </si>
  <si>
    <t>18645373</t>
  </si>
  <si>
    <t>16681463</t>
  </si>
  <si>
    <t>24243822</t>
  </si>
  <si>
    <t>10745032</t>
  </si>
  <si>
    <t>18429503</t>
  </si>
  <si>
    <t>16415014</t>
  </si>
  <si>
    <t>19796943</t>
  </si>
  <si>
    <t>18475742</t>
  </si>
  <si>
    <t>14204102</t>
  </si>
  <si>
    <t>13219684</t>
  </si>
  <si>
    <t>27097423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</si>
</sst>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0.0000"/>
    <numFmt numFmtId="165" formatCode="_ &quot;$&quot;* #,##0.00_ ;_ &quot;$&quot;* \-#,##0.00_ ;_ &quot;$&quot;* &quot;-&quot;_ ;_ @_ "/>
    <numFmt numFmtId="166" formatCode="mmm/yyyy"/>
    <numFmt numFmtId="167" formatCode="0.0%"/>
    <numFmt numFmtId="168" formatCode="0.000"/>
    <numFmt numFmtId="169" formatCode="_ * #,##0.000_ ;_ * \-#,##0.000_ ;_ * &quot;-&quot;_ ;_ @_ "/>
    <numFmt numFmtId="170" formatCode="_ * #,##0.0000_ ;_ * \-#,##0.0000_ ;_ * &quot;-&quot;_ ;_ @_ "/>
  </numFmts>
  <fonts count="38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sz val="9"/>
      <color theme="1"/>
      <name val="Calibri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8"/>
      <name val="Arial"/>
      <family val="2"/>
    </font>
    <font>
      <sz val="8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0"/>
      <name val="Calibri"/>
      <family val="2"/>
    </font>
    <font>
      <sz val="10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18">
    <xf numFmtId="0" fontId="0" fillId="0" borderId="0"/>
    <xf numFmtId="0" fontId="16" fillId="0" borderId="0"/>
    <xf numFmtId="0" fontId="12" fillId="0" borderId="0"/>
    <xf numFmtId="0" fontId="17" fillId="0" borderId="0"/>
    <xf numFmtId="0" fontId="17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9" fontId="13" fillId="0" borderId="0" applyFont="0" applyFill="0" applyBorder="0" applyAlignment="0" applyProtection="0"/>
    <xf numFmtId="0" fontId="17" fillId="0" borderId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8" fillId="0" borderId="0"/>
    <xf numFmtId="41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41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5" fillId="0" borderId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0" borderId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14" fontId="14" fillId="2" borderId="3" xfId="0" applyNumberFormat="1" applyFont="1" applyFill="1" applyBorder="1" applyAlignment="1">
      <alignment horizontal="center" wrapText="1"/>
    </xf>
    <xf numFmtId="10" fontId="0" fillId="0" borderId="0" xfId="0" applyNumberFormat="1"/>
    <xf numFmtId="0" fontId="0" fillId="3" borderId="0" xfId="0" applyFill="1"/>
    <xf numFmtId="0" fontId="14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 wrapText="1"/>
    </xf>
    <xf numFmtId="0" fontId="0" fillId="4" borderId="0" xfId="0" applyFill="1"/>
    <xf numFmtId="0" fontId="14" fillId="4" borderId="2" xfId="0" applyFont="1" applyFill="1" applyBorder="1" applyAlignment="1">
      <alignment horizontal="center" wrapText="1"/>
    </xf>
    <xf numFmtId="0" fontId="14" fillId="4" borderId="2" xfId="0" applyFont="1" applyFill="1" applyBorder="1" applyAlignment="1">
      <alignment horizontal="center"/>
    </xf>
    <xf numFmtId="0" fontId="14" fillId="4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15" fontId="24" fillId="0" borderId="1" xfId="43" applyNumberFormat="1" applyFont="1" applyBorder="1" applyAlignment="1">
      <alignment horizontal="right"/>
    </xf>
    <xf numFmtId="0" fontId="0" fillId="3" borderId="1" xfId="0" applyFill="1" applyBorder="1"/>
    <xf numFmtId="0" fontId="0" fillId="4" borderId="0" xfId="0" applyFill="1" applyAlignment="1">
      <alignment horizontal="center"/>
    </xf>
    <xf numFmtId="1" fontId="26" fillId="3" borderId="1" xfId="3" applyNumberFormat="1" applyFont="1" applyFill="1" applyBorder="1" applyAlignment="1">
      <alignment horizontal="center"/>
    </xf>
    <xf numFmtId="14" fontId="26" fillId="3" borderId="1" xfId="3" applyNumberFormat="1" applyFont="1" applyFill="1" applyBorder="1" applyAlignment="1">
      <alignment horizontal="center"/>
    </xf>
    <xf numFmtId="1" fontId="27" fillId="3" borderId="1" xfId="0" applyNumberFormat="1" applyFont="1" applyFill="1" applyBorder="1" applyAlignment="1">
      <alignment horizontal="center"/>
    </xf>
    <xf numFmtId="164" fontId="18" fillId="0" borderId="1" xfId="0" applyNumberFormat="1" applyFont="1" applyBorder="1"/>
    <xf numFmtId="0" fontId="0" fillId="0" borderId="4" xfId="0" applyBorder="1"/>
    <xf numFmtId="0" fontId="28" fillId="3" borderId="1" xfId="4" applyFont="1" applyFill="1" applyBorder="1"/>
    <xf numFmtId="1" fontId="9" fillId="3" borderId="1" xfId="0" applyNumberFormat="1" applyFont="1" applyFill="1" applyBorder="1" applyAlignment="1">
      <alignment horizontal="center" vertical="center"/>
    </xf>
    <xf numFmtId="10" fontId="26" fillId="3" borderId="1" xfId="42" applyNumberFormat="1" applyFont="1" applyFill="1" applyBorder="1" applyAlignment="1">
      <alignment horizontal="center"/>
    </xf>
    <xf numFmtId="0" fontId="31" fillId="7" borderId="2" xfId="366" applyFont="1" applyFill="1" applyBorder="1" applyAlignment="1">
      <alignment wrapText="1"/>
    </xf>
    <xf numFmtId="0" fontId="31" fillId="8" borderId="0" xfId="366" applyFont="1" applyFill="1" applyAlignment="1">
      <alignment wrapText="1"/>
    </xf>
    <xf numFmtId="0" fontId="32" fillId="3" borderId="1" xfId="366" applyFont="1" applyFill="1" applyBorder="1"/>
    <xf numFmtId="0" fontId="32" fillId="8" borderId="0" xfId="366" applyFont="1" applyFill="1"/>
    <xf numFmtId="165" fontId="32" fillId="8" borderId="0" xfId="366" applyNumberFormat="1" applyFont="1" applyFill="1"/>
    <xf numFmtId="166" fontId="32" fillId="8" borderId="0" xfId="366" applyNumberFormat="1" applyFont="1" applyFill="1"/>
    <xf numFmtId="41" fontId="32" fillId="8" borderId="0" xfId="367" applyFont="1" applyFill="1"/>
    <xf numFmtId="14" fontId="26" fillId="3" borderId="1" xfId="42" applyNumberFormat="1" applyFont="1" applyFill="1" applyBorder="1" applyAlignment="1">
      <alignment horizontal="center"/>
    </xf>
    <xf numFmtId="14" fontId="0" fillId="0" borderId="0" xfId="0" applyNumberFormat="1"/>
    <xf numFmtId="2" fontId="0" fillId="6" borderId="1" xfId="0" applyNumberFormat="1" applyFill="1" applyBorder="1"/>
    <xf numFmtId="2" fontId="0" fillId="6" borderId="1" xfId="0" applyNumberFormat="1" applyFill="1" applyBorder="1" applyAlignment="1">
      <alignment horizontal="center"/>
    </xf>
    <xf numFmtId="2" fontId="0" fillId="0" borderId="0" xfId="0" applyNumberFormat="1"/>
    <xf numFmtId="1" fontId="0" fillId="0" borderId="0" xfId="0" applyNumberFormat="1"/>
    <xf numFmtId="0" fontId="14" fillId="4" borderId="0" xfId="0" applyFont="1" applyFill="1" applyBorder="1" applyAlignment="1">
      <alignment horizontal="center"/>
    </xf>
    <xf numFmtId="41" fontId="0" fillId="0" borderId="0" xfId="394" applyFont="1"/>
    <xf numFmtId="0" fontId="31" fillId="3" borderId="1" xfId="366" applyFont="1" applyFill="1" applyBorder="1" applyAlignment="1">
      <alignment wrapText="1"/>
    </xf>
    <xf numFmtId="14" fontId="32" fillId="8" borderId="0" xfId="366" applyNumberFormat="1" applyFont="1" applyFill="1"/>
    <xf numFmtId="0" fontId="14" fillId="2" borderId="1" xfId="0" applyFont="1" applyFill="1" applyBorder="1" applyAlignment="1">
      <alignment horizontal="center" wrapText="1"/>
    </xf>
    <xf numFmtId="2" fontId="26" fillId="3" borderId="1" xfId="3" applyNumberFormat="1" applyFont="1" applyFill="1" applyBorder="1" applyAlignment="1">
      <alignment horizontal="center"/>
    </xf>
    <xf numFmtId="0" fontId="0" fillId="0" borderId="0" xfId="0"/>
    <xf numFmtId="0" fontId="31" fillId="7" borderId="2" xfId="398" applyFont="1" applyFill="1" applyBorder="1" applyAlignment="1">
      <alignment wrapText="1"/>
    </xf>
    <xf numFmtId="0" fontId="31" fillId="7" borderId="1" xfId="398" applyFont="1" applyFill="1" applyBorder="1" applyAlignment="1">
      <alignment wrapText="1"/>
    </xf>
    <xf numFmtId="165" fontId="31" fillId="7" borderId="1" xfId="398" applyNumberFormat="1" applyFont="1" applyFill="1" applyBorder="1" applyAlignment="1">
      <alignment wrapText="1"/>
    </xf>
    <xf numFmtId="166" fontId="31" fillId="7" borderId="1" xfId="398" applyNumberFormat="1" applyFont="1" applyFill="1" applyBorder="1" applyAlignment="1">
      <alignment wrapText="1"/>
    </xf>
    <xf numFmtId="41" fontId="31" fillId="7" borderId="1" xfId="399" applyFont="1" applyFill="1" applyBorder="1" applyAlignment="1">
      <alignment wrapText="1"/>
    </xf>
    <xf numFmtId="0" fontId="0" fillId="0" borderId="0" xfId="0" applyNumberFormat="1" applyAlignment="1">
      <alignment horizontal="center"/>
    </xf>
    <xf numFmtId="0" fontId="14" fillId="2" borderId="0" xfId="0" applyNumberFormat="1" applyFont="1" applyFill="1" applyAlignment="1">
      <alignment horizontal="center" wrapText="1"/>
    </xf>
    <xf numFmtId="0" fontId="0" fillId="0" borderId="0" xfId="0" applyNumberFormat="1"/>
    <xf numFmtId="0" fontId="31" fillId="6" borderId="2" xfId="366" applyFont="1" applyFill="1" applyBorder="1" applyAlignment="1">
      <alignment wrapText="1"/>
    </xf>
    <xf numFmtId="0" fontId="32" fillId="6" borderId="1" xfId="366" applyFont="1" applyFill="1" applyBorder="1"/>
    <xf numFmtId="0" fontId="32" fillId="6" borderId="0" xfId="366" applyFont="1" applyFill="1"/>
    <xf numFmtId="167" fontId="27" fillId="3" borderId="1" xfId="42" applyNumberFormat="1" applyFont="1" applyFill="1" applyBorder="1" applyAlignment="1">
      <alignment horizontal="center"/>
    </xf>
    <xf numFmtId="2" fontId="19" fillId="5" borderId="1" xfId="0" applyNumberFormat="1" applyFont="1" applyFill="1" applyBorder="1" applyAlignment="1">
      <alignment vertical="center"/>
    </xf>
    <xf numFmtId="0" fontId="14" fillId="2" borderId="0" xfId="0" applyFont="1" applyFill="1" applyAlignment="1">
      <alignment horizontal="center" wrapText="1"/>
    </xf>
    <xf numFmtId="0" fontId="14" fillId="2" borderId="0" xfId="1" applyFont="1" applyFill="1" applyAlignment="1">
      <alignment horizontal="center" wrapText="1"/>
    </xf>
    <xf numFmtId="2" fontId="0" fillId="0" borderId="4" xfId="0" applyNumberFormat="1" applyBorder="1"/>
    <xf numFmtId="168" fontId="16" fillId="3" borderId="0" xfId="1" applyNumberFormat="1" applyFill="1"/>
    <xf numFmtId="0" fontId="16" fillId="3" borderId="0" xfId="1" applyFill="1"/>
    <xf numFmtId="0" fontId="16" fillId="3" borderId="0" xfId="1" applyFill="1" applyAlignment="1">
      <alignment horizontal="right"/>
    </xf>
    <xf numFmtId="0" fontId="14" fillId="4" borderId="0" xfId="1" applyFont="1" applyFill="1"/>
    <xf numFmtId="0" fontId="14" fillId="4" borderId="0" xfId="1" applyFont="1" applyFill="1" applyAlignment="1">
      <alignment horizontal="right"/>
    </xf>
    <xf numFmtId="168" fontId="34" fillId="3" borderId="1" xfId="42" applyNumberFormat="1" applyFont="1" applyFill="1" applyBorder="1" applyAlignment="1">
      <alignment horizontal="center"/>
    </xf>
    <xf numFmtId="169" fontId="4" fillId="11" borderId="1" xfId="367" applyNumberFormat="1" applyFont="1" applyFill="1" applyBorder="1"/>
    <xf numFmtId="170" fontId="4" fillId="11" borderId="1" xfId="367" applyNumberFormat="1" applyFont="1" applyFill="1" applyBorder="1"/>
    <xf numFmtId="0" fontId="4" fillId="11" borderId="1" xfId="1" applyFont="1" applyFill="1" applyBorder="1" applyAlignment="1">
      <alignment wrapText="1"/>
    </xf>
    <xf numFmtId="0" fontId="4" fillId="11" borderId="1" xfId="1" applyFont="1" applyFill="1" applyBorder="1" applyAlignment="1">
      <alignment horizontal="right"/>
    </xf>
    <xf numFmtId="0" fontId="4" fillId="11" borderId="1" xfId="1" applyFont="1" applyFill="1" applyBorder="1"/>
    <xf numFmtId="164" fontId="4" fillId="11" borderId="1" xfId="368" applyNumberFormat="1" applyFont="1" applyFill="1" applyBorder="1"/>
    <xf numFmtId="41" fontId="19" fillId="5" borderId="1" xfId="394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wrapText="1"/>
    </xf>
    <xf numFmtId="41" fontId="32" fillId="9" borderId="1" xfId="367" applyFont="1" applyFill="1" applyBorder="1"/>
    <xf numFmtId="165" fontId="32" fillId="9" borderId="1" xfId="369" applyNumberFormat="1" applyFont="1" applyFill="1" applyBorder="1"/>
    <xf numFmtId="0" fontId="0" fillId="0" borderId="0" xfId="0"/>
    <xf numFmtId="0" fontId="33" fillId="0" borderId="5" xfId="0" applyFont="1" applyBorder="1" applyAlignment="1">
      <alignment horizontal="right"/>
    </xf>
    <xf numFmtId="10" fontId="32" fillId="3" borderId="1" xfId="42" applyNumberFormat="1" applyFont="1" applyFill="1" applyBorder="1"/>
    <xf numFmtId="10" fontId="32" fillId="0" borderId="1" xfId="42" applyNumberFormat="1" applyFont="1" applyFill="1" applyBorder="1"/>
    <xf numFmtId="0" fontId="32" fillId="0" borderId="1" xfId="42" applyNumberFormat="1" applyFont="1" applyFill="1" applyBorder="1"/>
    <xf numFmtId="165" fontId="32" fillId="10" borderId="1" xfId="369" applyNumberFormat="1" applyFont="1" applyFill="1" applyBorder="1"/>
    <xf numFmtId="1" fontId="0" fillId="0" borderId="4" xfId="0" applyNumberFormat="1" applyBorder="1"/>
    <xf numFmtId="41" fontId="0" fillId="0" borderId="4" xfId="394" applyFont="1" applyBorder="1"/>
    <xf numFmtId="0" fontId="0" fillId="12" borderId="0" xfId="0" applyFill="1" applyAlignment="1">
      <alignment horizontal="center"/>
    </xf>
    <xf numFmtId="4" fontId="2" fillId="5" borderId="0" xfId="415" applyNumberFormat="1" applyFill="1" applyAlignment="1">
      <alignment horizontal="center"/>
    </xf>
    <xf numFmtId="0" fontId="2" fillId="0" borderId="0" xfId="415"/>
    <xf numFmtId="2" fontId="32" fillId="3" borderId="1" xfId="366" applyNumberFormat="1" applyFont="1" applyFill="1" applyBorder="1"/>
    <xf numFmtId="10" fontId="32" fillId="9" borderId="1" xfId="368" applyNumberFormat="1" applyFont="1" applyFill="1" applyBorder="1"/>
    <xf numFmtId="1" fontId="32" fillId="3" borderId="1" xfId="366" applyNumberFormat="1" applyFont="1" applyFill="1" applyBorder="1"/>
    <xf numFmtId="10" fontId="32" fillId="9" borderId="1" xfId="366" applyNumberFormat="1" applyFont="1" applyFill="1" applyBorder="1"/>
    <xf numFmtId="14" fontId="35" fillId="13" borderId="1" xfId="368" applyNumberFormat="1" applyFont="1" applyFill="1" applyBorder="1"/>
    <xf numFmtId="14" fontId="32" fillId="9" borderId="1" xfId="368" applyNumberFormat="1" applyFont="1" applyFill="1" applyBorder="1"/>
    <xf numFmtId="14" fontId="32" fillId="3" borderId="1" xfId="366" applyNumberFormat="1" applyFont="1" applyFill="1" applyBorder="1"/>
    <xf numFmtId="14" fontId="32" fillId="9" borderId="1" xfId="366" applyNumberFormat="1" applyFont="1" applyFill="1" applyBorder="1"/>
    <xf numFmtId="0" fontId="32" fillId="0" borderId="1" xfId="366" applyFont="1" applyBorder="1"/>
    <xf numFmtId="10" fontId="35" fillId="13" borderId="1" xfId="42" applyNumberFormat="1" applyFont="1" applyFill="1" applyBorder="1"/>
    <xf numFmtId="14" fontId="28" fillId="3" borderId="1" xfId="4" applyNumberFormat="1" applyFont="1" applyFill="1" applyBorder="1" applyAlignment="1">
      <alignment horizontal="center"/>
    </xf>
    <xf numFmtId="41" fontId="0" fillId="0" borderId="0" xfId="394" applyFont="1" applyAlignment="1">
      <alignment horizontal="center"/>
    </xf>
    <xf numFmtId="41" fontId="14" fillId="2" borderId="0" xfId="394" applyFont="1" applyFill="1" applyAlignment="1">
      <alignment horizontal="center" wrapText="1"/>
    </xf>
    <xf numFmtId="41" fontId="2" fillId="0" borderId="0" xfId="394" applyFont="1"/>
    <xf numFmtId="164" fontId="26" fillId="3" borderId="1" xfId="42" applyNumberFormat="1" applyFont="1" applyFill="1" applyBorder="1" applyAlignment="1">
      <alignment horizontal="center"/>
    </xf>
    <xf numFmtId="0" fontId="1" fillId="0" borderId="0" xfId="417"/>
    <xf numFmtId="168" fontId="14" fillId="4" borderId="0" xfId="1" applyNumberFormat="1" applyFont="1" applyFill="1" applyAlignment="1">
      <alignment horizontal="center" wrapText="1"/>
    </xf>
    <xf numFmtId="0" fontId="14" fillId="4" borderId="0" xfId="1" applyFont="1" applyFill="1" applyAlignment="1">
      <alignment horizontal="center" wrapText="1"/>
    </xf>
    <xf numFmtId="0" fontId="14" fillId="4" borderId="0" xfId="1" applyFont="1" applyFill="1" applyAlignment="1">
      <alignment horizontal="left" vertical="center" wrapText="1"/>
    </xf>
    <xf numFmtId="0" fontId="14" fillId="2" borderId="0" xfId="0" applyFont="1" applyFill="1" applyAlignment="1">
      <alignment horizontal="center" wrapText="1"/>
    </xf>
    <xf numFmtId="14" fontId="14" fillId="2" borderId="0" xfId="0" applyNumberFormat="1" applyFont="1" applyFill="1" applyAlignment="1">
      <alignment horizontal="center" wrapText="1"/>
    </xf>
    <xf numFmtId="0" fontId="32" fillId="9" borderId="1" xfId="366" applyFont="1" applyFill="1" applyBorder="1"/>
    <xf numFmtId="0" fontId="36" fillId="13" borderId="5" xfId="0" applyFont="1" applyFill="1" applyBorder="1" applyAlignment="1">
      <alignment horizontal="right"/>
    </xf>
    <xf numFmtId="165" fontId="32" fillId="3" borderId="1" xfId="366" applyNumberFormat="1" applyFont="1" applyFill="1" applyBorder="1"/>
    <xf numFmtId="0" fontId="35" fillId="13" borderId="1" xfId="42" applyNumberFormat="1" applyFont="1" applyFill="1" applyBorder="1"/>
    <xf numFmtId="10" fontId="37" fillId="13" borderId="1" xfId="42" applyNumberFormat="1" applyFont="1" applyFill="1" applyBorder="1"/>
  </cellXfs>
  <cellStyles count="418">
    <cellStyle name="Comma [0]" xfId="394" builtinId="6"/>
    <cellStyle name="Comma [0] 2" xfId="414" xr:uid="{641F6BB8-D352-43BC-A529-6E2DE2D2A1EC}"/>
    <cellStyle name="Comma 2" xfId="396" xr:uid="{61DAE624-8524-4605-A264-45FB28E24F4D}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Millares [0] 2" xfId="367" xr:uid="{00000000-0005-0000-0000-000057010000}"/>
    <cellStyle name="Millares [0] 2 2" xfId="391" xr:uid="{00000000-0005-0000-0000-000058010000}"/>
    <cellStyle name="Millares [0] 2 3" xfId="399" xr:uid="{22D26C3D-25D8-4F95-9382-7978C1AA5DB6}"/>
    <cellStyle name="Millares [0] 2 4" xfId="407" xr:uid="{DCA089A3-94EF-480A-B781-E00F6629A498}"/>
    <cellStyle name="Millares [0] 3" xfId="403" xr:uid="{1812FEFA-85E9-4AB7-9B0A-17764B086FA4}"/>
    <cellStyle name="Millares [0] 3 2" xfId="411" xr:uid="{F4DB6D6F-A5F4-49AE-A6D3-F9620B8435F9}"/>
    <cellStyle name="Moneda [0] 2" xfId="369" xr:uid="{00000000-0005-0000-0000-000059010000}"/>
    <cellStyle name="Moneda [0] 2 2" xfId="393" xr:uid="{00000000-0005-0000-0000-00005A010000}"/>
    <cellStyle name="Moneda [0] 2 3" xfId="401" xr:uid="{01651F93-B1FD-45BC-8C00-29D8878F8635}"/>
    <cellStyle name="Moneda [0] 2 4" xfId="409" xr:uid="{8AEC89F5-F500-4712-9FFF-BE7489D38E17}"/>
    <cellStyle name="Moneda [0] 3" xfId="405" xr:uid="{5193C545-A04E-456B-BDCA-7E25F59B7ADA}"/>
    <cellStyle name="Moneda [0] 3 2" xfId="413" xr:uid="{400C58C1-4786-4D37-938B-6168C25DA68B}"/>
    <cellStyle name="Normal" xfId="0" builtinId="0"/>
    <cellStyle name="Normal 10" xfId="5" xr:uid="{00000000-0005-0000-0000-00005C010000}"/>
    <cellStyle name="Normal 11" xfId="67" xr:uid="{00000000-0005-0000-0000-00005D010000}"/>
    <cellStyle name="Normal 11 2" xfId="389" xr:uid="{00000000-0005-0000-0000-00005E010000}"/>
    <cellStyle name="Normal 12" xfId="366" xr:uid="{00000000-0005-0000-0000-00005F010000}"/>
    <cellStyle name="Normal 12 2" xfId="390" xr:uid="{00000000-0005-0000-0000-000060010000}"/>
    <cellStyle name="Normal 12 3" xfId="398" xr:uid="{BBBE605B-08E4-44EC-9397-283B0B59D9BC}"/>
    <cellStyle name="Normal 12 4" xfId="406" xr:uid="{73692E2B-65A8-43E1-9968-A130ED6FB41B}"/>
    <cellStyle name="Normal 13" xfId="395" xr:uid="{DD7D5354-0C31-48D0-B826-38BBD5C18960}"/>
    <cellStyle name="Normal 14" xfId="415" xr:uid="{94966666-A202-4AB2-8F41-D042FDA54019}"/>
    <cellStyle name="Normal 15" xfId="417" xr:uid="{AF93ABA4-5974-4A19-A036-6F26A476F7FB}"/>
    <cellStyle name="Normal 2" xfId="1" xr:uid="{00000000-0005-0000-0000-000061010000}"/>
    <cellStyle name="Normal 2 2" xfId="6" xr:uid="{00000000-0005-0000-0000-000062010000}"/>
    <cellStyle name="Normal 2 2 2" xfId="59" xr:uid="{00000000-0005-0000-0000-000063010000}"/>
    <cellStyle name="Normal 2 2 2 2" xfId="381" xr:uid="{00000000-0005-0000-0000-000064010000}"/>
    <cellStyle name="Normal 2 2 3" xfId="372" xr:uid="{00000000-0005-0000-0000-000065010000}"/>
    <cellStyle name="Normal 2 3" xfId="402" xr:uid="{2BEBC982-2A73-45CC-8E10-4FE3FF9E5AE2}"/>
    <cellStyle name="Normal 2 4" xfId="410" xr:uid="{3255E02F-97E3-4903-A17B-D89C26E452CE}"/>
    <cellStyle name="Normal 3" xfId="2" xr:uid="{00000000-0005-0000-0000-000066010000}"/>
    <cellStyle name="Normal 3 2" xfId="7" xr:uid="{00000000-0005-0000-0000-000067010000}"/>
    <cellStyle name="Normal 3 2 2" xfId="60" xr:uid="{00000000-0005-0000-0000-000068010000}"/>
    <cellStyle name="Normal 3 2 2 2" xfId="382" xr:uid="{00000000-0005-0000-0000-000069010000}"/>
    <cellStyle name="Normal 3 2 3" xfId="373" xr:uid="{00000000-0005-0000-0000-00006A010000}"/>
    <cellStyle name="Normal 3 3" xfId="58" xr:uid="{00000000-0005-0000-0000-00006B010000}"/>
    <cellStyle name="Normal 3 3 2" xfId="380" xr:uid="{00000000-0005-0000-0000-00006C010000}"/>
    <cellStyle name="Normal 3 4" xfId="371" xr:uid="{00000000-0005-0000-0000-00006D010000}"/>
    <cellStyle name="Normal 4" xfId="8" xr:uid="{00000000-0005-0000-0000-00006E010000}"/>
    <cellStyle name="Normal 4 2" xfId="61" xr:uid="{00000000-0005-0000-0000-00006F010000}"/>
    <cellStyle name="Normal 4 2 2" xfId="383" xr:uid="{00000000-0005-0000-0000-000070010000}"/>
    <cellStyle name="Normal 4 3" xfId="374" xr:uid="{00000000-0005-0000-0000-000071010000}"/>
    <cellStyle name="Normal 5" xfId="9" xr:uid="{00000000-0005-0000-0000-000072010000}"/>
    <cellStyle name="Normal 5 2" xfId="62" xr:uid="{00000000-0005-0000-0000-000073010000}"/>
    <cellStyle name="Normal 5 2 2" xfId="384" xr:uid="{00000000-0005-0000-0000-000074010000}"/>
    <cellStyle name="Normal 5 3" xfId="375" xr:uid="{00000000-0005-0000-0000-000075010000}"/>
    <cellStyle name="Normal 6" xfId="10" xr:uid="{00000000-0005-0000-0000-000076010000}"/>
    <cellStyle name="Normal 6 2" xfId="63" xr:uid="{00000000-0005-0000-0000-000077010000}"/>
    <cellStyle name="Normal 6 2 2" xfId="385" xr:uid="{00000000-0005-0000-0000-000078010000}"/>
    <cellStyle name="Normal 6 3" xfId="376" xr:uid="{00000000-0005-0000-0000-000079010000}"/>
    <cellStyle name="Normal 7" xfId="11" xr:uid="{00000000-0005-0000-0000-00007A010000}"/>
    <cellStyle name="Normal 7 2" xfId="64" xr:uid="{00000000-0005-0000-0000-00007B010000}"/>
    <cellStyle name="Normal 7 2 2" xfId="386" xr:uid="{00000000-0005-0000-0000-00007C010000}"/>
    <cellStyle name="Normal 7 3" xfId="377" xr:uid="{00000000-0005-0000-0000-00007D010000}"/>
    <cellStyle name="Normal 8" xfId="12" xr:uid="{00000000-0005-0000-0000-00007E010000}"/>
    <cellStyle name="Normal 8 2" xfId="65" xr:uid="{00000000-0005-0000-0000-00007F010000}"/>
    <cellStyle name="Normal 8 2 2" xfId="387" xr:uid="{00000000-0005-0000-0000-000080010000}"/>
    <cellStyle name="Normal 8 3" xfId="378" xr:uid="{00000000-0005-0000-0000-000081010000}"/>
    <cellStyle name="Normal 9" xfId="13" xr:uid="{00000000-0005-0000-0000-000082010000}"/>
    <cellStyle name="Normal 9 2" xfId="66" xr:uid="{00000000-0005-0000-0000-000083010000}"/>
    <cellStyle name="Normal 9 2 2" xfId="388" xr:uid="{00000000-0005-0000-0000-000084010000}"/>
    <cellStyle name="Normal 9 3" xfId="379" xr:uid="{00000000-0005-0000-0000-000085010000}"/>
    <cellStyle name="Normal_COMPRAS" xfId="3" xr:uid="{00000000-0005-0000-0000-000086010000}"/>
    <cellStyle name="Normal_Sheet1" xfId="4" xr:uid="{00000000-0005-0000-0000-000087010000}"/>
    <cellStyle name="Normal_Sheet3" xfId="43" xr:uid="{00000000-0005-0000-0000-000088010000}"/>
    <cellStyle name="Percent" xfId="42" builtinId="5"/>
    <cellStyle name="Percent 2" xfId="370" xr:uid="{00000000-0005-0000-0000-00008A010000}"/>
    <cellStyle name="Percent 3" xfId="397" xr:uid="{6D4B4535-6F27-4854-9086-0AE9ADBF0C9E}"/>
    <cellStyle name="Percent 4" xfId="416" xr:uid="{B1916E87-27CF-4833-98A8-DBF922A6572A}"/>
    <cellStyle name="Porcentaje 2" xfId="368" xr:uid="{00000000-0005-0000-0000-00008B010000}"/>
    <cellStyle name="Porcentaje 2 2" xfId="392" xr:uid="{00000000-0005-0000-0000-00008C010000}"/>
    <cellStyle name="Porcentaje 2 3" xfId="400" xr:uid="{4ECEC393-077E-4967-BB28-207ADAD4BDA5}"/>
    <cellStyle name="Porcentaje 2 4" xfId="408" xr:uid="{B7D00082-E783-42BF-AC56-004013C7C8C7}"/>
    <cellStyle name="Porcentaje 3" xfId="404" xr:uid="{EC0093E0-8DF7-46E5-BD20-C1F484243E78}"/>
    <cellStyle name="Porcentaje 3 2" xfId="412" xr:uid="{0027039F-2830-48E3-909E-F9ABF22BB99F}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21"/>
  <sheetViews>
    <sheetView topLeftCell="AB1" workbookViewId="0">
      <pane ySplit="1" topLeftCell="A2" activePane="bottomLeft" state="frozen"/>
      <selection pane="bottomLeft" activeCell="AC16" sqref="AC16"/>
    </sheetView>
  </sheetViews>
  <sheetFormatPr defaultColWidth="11.42578125" defaultRowHeight="12.75" x14ac:dyDescent="0.2"/>
  <cols>
    <col min="1" max="1" width="3.140625" style="29" bestFit="1" customWidth="1"/>
    <col min="2" max="2" width="16.140625" style="29" bestFit="1" customWidth="1"/>
    <col min="3" max="3" width="11" style="29" bestFit="1" customWidth="1"/>
    <col min="4" max="4" width="9" style="56" customWidth="1"/>
    <col min="5" max="5" width="3.28515625" style="56" customWidth="1"/>
    <col min="6" max="6" width="9.5703125" style="29" bestFit="1" customWidth="1"/>
    <col min="7" max="7" width="10.140625" style="29" bestFit="1" customWidth="1"/>
    <col min="8" max="8" width="22.42578125" style="29" bestFit="1" customWidth="1"/>
    <col min="9" max="9" width="9.140625" style="29" bestFit="1" customWidth="1"/>
    <col min="10" max="10" width="16.42578125" style="29" bestFit="1" customWidth="1"/>
    <col min="11" max="11" width="10.42578125" style="29" bestFit="1" customWidth="1"/>
    <col min="12" max="13" width="11.42578125" style="29"/>
    <col min="14" max="14" width="10.140625" style="29" bestFit="1" customWidth="1"/>
    <col min="15" max="15" width="10.7109375" style="29" customWidth="1"/>
    <col min="16" max="16" width="9.140625" style="29" customWidth="1"/>
    <col min="17" max="17" width="6.85546875" style="29" customWidth="1"/>
    <col min="18" max="18" width="7.7109375" style="29" bestFit="1" customWidth="1"/>
    <col min="19" max="19" width="16.5703125" style="30" bestFit="1" customWidth="1"/>
    <col min="20" max="20" width="16.140625" style="30" bestFit="1" customWidth="1"/>
    <col min="21" max="21" width="13.5703125" style="30" bestFit="1" customWidth="1"/>
    <col min="22" max="22" width="9.85546875" style="29" bestFit="1" customWidth="1"/>
    <col min="23" max="23" width="11.85546875" style="29" bestFit="1" customWidth="1"/>
    <col min="24" max="24" width="11" style="29" customWidth="1"/>
    <col min="25" max="25" width="12.7109375" style="29" customWidth="1"/>
    <col min="26" max="26" width="13.5703125" style="31" customWidth="1"/>
    <col min="27" max="27" width="18.42578125" style="29" customWidth="1"/>
    <col min="28" max="28" width="13.5703125" style="29" bestFit="1" customWidth="1"/>
    <col min="29" max="29" width="12.140625" style="29" customWidth="1"/>
    <col min="30" max="30" width="15.85546875" style="32" customWidth="1"/>
    <col min="31" max="31" width="17.42578125" style="29" bestFit="1" customWidth="1"/>
    <col min="32" max="32" width="17.7109375" style="29" bestFit="1" customWidth="1"/>
    <col min="33" max="33" width="15.140625" style="29" bestFit="1" customWidth="1"/>
    <col min="34" max="34" width="12.85546875" style="29" bestFit="1" customWidth="1"/>
    <col min="35" max="35" width="34.85546875" style="29" bestFit="1" customWidth="1"/>
    <col min="36" max="36" width="23.42578125" style="29" bestFit="1" customWidth="1"/>
    <col min="37" max="37" width="12.85546875" style="29" bestFit="1" customWidth="1"/>
    <col min="38" max="38" width="11.42578125" style="42"/>
    <col min="39" max="16384" width="11.42578125" style="29"/>
  </cols>
  <sheetData>
    <row r="1" spans="1:42" s="27" customFormat="1" ht="51" x14ac:dyDescent="0.2">
      <c r="A1" s="26" t="s">
        <v>0</v>
      </c>
      <c r="B1" s="26" t="s">
        <v>14</v>
      </c>
      <c r="C1" s="26" t="s">
        <v>7</v>
      </c>
      <c r="D1" s="54" t="s">
        <v>15</v>
      </c>
      <c r="E1" s="54" t="s">
        <v>8</v>
      </c>
      <c r="F1" s="46" t="s">
        <v>16</v>
      </c>
      <c r="G1" s="46" t="s">
        <v>5</v>
      </c>
      <c r="H1" s="46" t="s">
        <v>6</v>
      </c>
      <c r="I1" s="46" t="s">
        <v>17</v>
      </c>
      <c r="J1" s="46" t="s">
        <v>18</v>
      </c>
      <c r="K1" s="46" t="s">
        <v>141</v>
      </c>
      <c r="L1" s="46" t="s">
        <v>19</v>
      </c>
      <c r="M1" s="46" t="s">
        <v>10</v>
      </c>
      <c r="N1" s="46" t="s">
        <v>20</v>
      </c>
      <c r="O1" s="47" t="s">
        <v>21</v>
      </c>
      <c r="P1" s="47" t="s">
        <v>22</v>
      </c>
      <c r="Q1" s="47" t="s">
        <v>23</v>
      </c>
      <c r="R1" s="47" t="s">
        <v>24</v>
      </c>
      <c r="S1" s="47" t="s">
        <v>25</v>
      </c>
      <c r="T1" s="48" t="s">
        <v>26</v>
      </c>
      <c r="U1" s="48" t="s">
        <v>27</v>
      </c>
      <c r="V1" s="48" t="s">
        <v>28</v>
      </c>
      <c r="W1" s="47" t="s">
        <v>29</v>
      </c>
      <c r="X1" s="47" t="s">
        <v>30</v>
      </c>
      <c r="Y1" s="47" t="s">
        <v>31</v>
      </c>
      <c r="Z1" s="47" t="s">
        <v>32</v>
      </c>
      <c r="AA1" s="49" t="s">
        <v>33</v>
      </c>
      <c r="AB1" s="47" t="s">
        <v>34</v>
      </c>
      <c r="AC1" s="47" t="s">
        <v>35</v>
      </c>
      <c r="AD1" s="47" t="s">
        <v>36</v>
      </c>
      <c r="AE1" s="50" t="s">
        <v>37</v>
      </c>
      <c r="AF1" s="47" t="s">
        <v>38</v>
      </c>
      <c r="AG1" s="47" t="s">
        <v>44</v>
      </c>
      <c r="AH1" s="47" t="s">
        <v>39</v>
      </c>
      <c r="AI1" s="47" t="s">
        <v>40</v>
      </c>
      <c r="AJ1" s="47" t="s">
        <v>41</v>
      </c>
      <c r="AK1" s="47" t="s">
        <v>42</v>
      </c>
      <c r="AL1" s="47" t="s">
        <v>142</v>
      </c>
      <c r="AM1" s="47" t="s">
        <v>143</v>
      </c>
    </row>
    <row r="2" spans="1:42" x14ac:dyDescent="0.2">
      <c r="A2" s="110">
        <v>1</v>
      </c>
      <c r="B2" s="111" t="s">
        <v>515</v>
      </c>
      <c r="C2" s="79" t="s">
        <v>516</v>
      </c>
      <c r="D2" s="55" t="str">
        <f>LEFT(C2,LEN(C2)-2)</f>
        <v>18803188</v>
      </c>
      <c r="E2" s="55" t="str">
        <f>RIGHT(C2,1)</f>
        <v>9</v>
      </c>
      <c r="F2" s="28" t="s">
        <v>517</v>
      </c>
      <c r="G2" s="28" t="s">
        <v>518</v>
      </c>
      <c r="H2" s="28" t="s">
        <v>519</v>
      </c>
      <c r="I2" s="28" t="s">
        <v>139</v>
      </c>
      <c r="J2" s="28" t="s">
        <v>10</v>
      </c>
      <c r="K2" s="89">
        <v>605</v>
      </c>
      <c r="L2" s="89">
        <v>2200</v>
      </c>
      <c r="M2" s="89">
        <v>525</v>
      </c>
      <c r="N2" s="89">
        <v>2325</v>
      </c>
      <c r="O2" s="80">
        <v>7.5300000000000006E-2</v>
      </c>
      <c r="P2" s="90">
        <v>6.0683124257288057E-3</v>
      </c>
      <c r="Q2" s="91">
        <v>300</v>
      </c>
      <c r="R2" s="91">
        <v>5</v>
      </c>
      <c r="S2" s="90">
        <v>0.72499999999999998</v>
      </c>
      <c r="T2" s="112">
        <v>1595</v>
      </c>
      <c r="U2" s="77">
        <v>11.988020000000001</v>
      </c>
      <c r="V2" s="77">
        <v>11.919435</v>
      </c>
      <c r="W2" s="90">
        <v>-4.0000000000000001E-3</v>
      </c>
      <c r="X2" s="92">
        <v>7.1300000000000002E-2</v>
      </c>
      <c r="Y2" s="90">
        <v>5.7559072994648464E-3</v>
      </c>
      <c r="Z2" s="93">
        <v>45376</v>
      </c>
      <c r="AA2" s="94">
        <v>45575</v>
      </c>
      <c r="AB2" s="95">
        <v>45379</v>
      </c>
      <c r="AC2" s="96">
        <v>45575</v>
      </c>
      <c r="AD2" s="96">
        <v>54523</v>
      </c>
      <c r="AE2" s="76">
        <v>295</v>
      </c>
      <c r="AF2" s="83">
        <v>1647.6019123785247</v>
      </c>
      <c r="AG2" s="97" t="s">
        <v>520</v>
      </c>
      <c r="AH2" s="97" t="s">
        <v>368</v>
      </c>
      <c r="AI2" s="97" t="s">
        <v>521</v>
      </c>
      <c r="AJ2" s="97" t="s">
        <v>639</v>
      </c>
      <c r="AK2" s="97" t="s">
        <v>522</v>
      </c>
      <c r="AL2" s="81">
        <v>0.25914524798335714</v>
      </c>
      <c r="AM2" s="81">
        <v>0.32831375996670092</v>
      </c>
      <c r="AN2" s="113">
        <v>682</v>
      </c>
      <c r="AO2" s="82" t="s">
        <v>165</v>
      </c>
      <c r="AP2" s="114" t="s">
        <v>523</v>
      </c>
    </row>
    <row r="3" spans="1:42" x14ac:dyDescent="0.2">
      <c r="A3" s="110">
        <f>A2+1</f>
        <v>2</v>
      </c>
      <c r="B3" s="111" t="s">
        <v>524</v>
      </c>
      <c r="C3" s="79" t="s">
        <v>525</v>
      </c>
      <c r="D3" s="55" t="str">
        <f t="shared" ref="D3:D21" si="0">LEFT(C3,LEN(C3)-2)</f>
        <v>16265854</v>
      </c>
      <c r="E3" s="55" t="str">
        <f t="shared" ref="E3:E21" si="1">RIGHT(C3,1)</f>
        <v>9</v>
      </c>
      <c r="F3" s="28" t="s">
        <v>526</v>
      </c>
      <c r="G3" s="28" t="s">
        <v>527</v>
      </c>
      <c r="H3" s="28" t="s">
        <v>528</v>
      </c>
      <c r="I3" s="28" t="s">
        <v>140</v>
      </c>
      <c r="J3" s="28" t="s">
        <v>10</v>
      </c>
      <c r="K3" s="89">
        <v>750</v>
      </c>
      <c r="L3" s="89">
        <v>2200</v>
      </c>
      <c r="M3" s="89">
        <v>550</v>
      </c>
      <c r="N3" s="89">
        <v>2560</v>
      </c>
      <c r="O3" s="80">
        <v>7.5300000000000006E-2</v>
      </c>
      <c r="P3" s="90">
        <v>6.0683124257288057E-3</v>
      </c>
      <c r="Q3" s="91">
        <v>360</v>
      </c>
      <c r="R3" s="91">
        <v>5</v>
      </c>
      <c r="S3" s="90">
        <v>0.67294545454545451</v>
      </c>
      <c r="T3" s="112">
        <v>1480.48</v>
      </c>
      <c r="U3" s="77">
        <v>10.483279</v>
      </c>
      <c r="V3" s="77">
        <v>10.761609</v>
      </c>
      <c r="W3" s="90">
        <v>-4.0000000000000001E-3</v>
      </c>
      <c r="X3" s="92">
        <v>7.1300000000000002E-2</v>
      </c>
      <c r="Y3" s="90">
        <v>5.7559072994648464E-3</v>
      </c>
      <c r="Z3" s="93">
        <v>45377</v>
      </c>
      <c r="AA3" s="94">
        <v>45575</v>
      </c>
      <c r="AB3" s="95">
        <v>45379</v>
      </c>
      <c r="AC3" s="96">
        <v>45575</v>
      </c>
      <c r="AD3" s="96">
        <v>56349</v>
      </c>
      <c r="AE3" s="76">
        <v>355</v>
      </c>
      <c r="AF3" s="83">
        <v>1534.7210730811703</v>
      </c>
      <c r="AG3" s="97" t="s">
        <v>529</v>
      </c>
      <c r="AH3" s="97" t="s">
        <v>183</v>
      </c>
      <c r="AI3" s="97" t="s">
        <v>184</v>
      </c>
      <c r="AJ3" s="97" t="s">
        <v>189</v>
      </c>
      <c r="AK3" s="97" t="s">
        <v>185</v>
      </c>
      <c r="AL3" s="81">
        <v>0.17374482766065716</v>
      </c>
      <c r="AM3" s="81">
        <v>0.46168658049605665</v>
      </c>
      <c r="AN3" s="113">
        <v>1136</v>
      </c>
      <c r="AO3" s="82" t="s">
        <v>165</v>
      </c>
      <c r="AP3" s="98" t="s">
        <v>523</v>
      </c>
    </row>
    <row r="4" spans="1:42" x14ac:dyDescent="0.2">
      <c r="A4" s="110">
        <f t="shared" ref="A4:A20" si="2">A3+1</f>
        <v>3</v>
      </c>
      <c r="B4" s="111" t="s">
        <v>530</v>
      </c>
      <c r="C4" s="79" t="s">
        <v>531</v>
      </c>
      <c r="D4" s="55" t="str">
        <f t="shared" si="0"/>
        <v>24585394</v>
      </c>
      <c r="E4" s="55" t="str">
        <f t="shared" si="1"/>
        <v>7</v>
      </c>
      <c r="F4" s="28" t="s">
        <v>532</v>
      </c>
      <c r="G4" s="28" t="s">
        <v>533</v>
      </c>
      <c r="H4" s="28" t="s">
        <v>534</v>
      </c>
      <c r="I4" s="28" t="s">
        <v>140</v>
      </c>
      <c r="J4" s="28" t="s">
        <v>10</v>
      </c>
      <c r="K4" s="89">
        <v>536.04</v>
      </c>
      <c r="L4" s="89">
        <v>1400</v>
      </c>
      <c r="M4" s="89">
        <v>450</v>
      </c>
      <c r="N4" s="89">
        <v>1400</v>
      </c>
      <c r="O4" s="80">
        <v>7.5300000000000006E-2</v>
      </c>
      <c r="P4" s="90">
        <v>6.0683124257288057E-3</v>
      </c>
      <c r="Q4" s="91">
        <v>312</v>
      </c>
      <c r="R4" s="91">
        <v>5</v>
      </c>
      <c r="S4" s="90">
        <v>0.61711428571428573</v>
      </c>
      <c r="T4" s="112">
        <v>863.96</v>
      </c>
      <c r="U4" s="77">
        <v>6.4028080000000003</v>
      </c>
      <c r="V4" s="77">
        <v>6.5963349999999998</v>
      </c>
      <c r="W4" s="90">
        <v>-4.0000000000000001E-3</v>
      </c>
      <c r="X4" s="92">
        <v>7.1300000000000002E-2</v>
      </c>
      <c r="Y4" s="90">
        <v>5.7559072994648464E-3</v>
      </c>
      <c r="Z4" s="93">
        <v>45376</v>
      </c>
      <c r="AA4" s="94">
        <v>45575</v>
      </c>
      <c r="AB4" s="95">
        <v>45379</v>
      </c>
      <c r="AC4" s="96">
        <v>45575</v>
      </c>
      <c r="AD4" s="96">
        <v>54888</v>
      </c>
      <c r="AE4" s="76">
        <v>307</v>
      </c>
      <c r="AF4" s="83">
        <v>892.68740115450908</v>
      </c>
      <c r="AG4" s="97" t="s">
        <v>535</v>
      </c>
      <c r="AH4" s="97" t="s">
        <v>136</v>
      </c>
      <c r="AI4" s="97" t="s">
        <v>135</v>
      </c>
      <c r="AJ4" s="97" t="s">
        <v>144</v>
      </c>
      <c r="AK4" s="97" t="s">
        <v>177</v>
      </c>
      <c r="AL4" s="81">
        <v>0.34565538981950128</v>
      </c>
      <c r="AM4" s="81">
        <v>0.54730716295674608</v>
      </c>
      <c r="AN4" s="113">
        <v>5481</v>
      </c>
      <c r="AO4" s="82" t="s">
        <v>165</v>
      </c>
      <c r="AP4" s="114" t="s">
        <v>523</v>
      </c>
    </row>
    <row r="5" spans="1:42" x14ac:dyDescent="0.2">
      <c r="A5" s="110">
        <f t="shared" si="2"/>
        <v>4</v>
      </c>
      <c r="B5" s="111" t="s">
        <v>536</v>
      </c>
      <c r="C5" s="79" t="s">
        <v>537</v>
      </c>
      <c r="D5" s="55" t="str">
        <f t="shared" si="0"/>
        <v>26537872</v>
      </c>
      <c r="E5" s="55" t="str">
        <f t="shared" si="1"/>
        <v>2</v>
      </c>
      <c r="F5" s="28" t="s">
        <v>538</v>
      </c>
      <c r="G5" s="28" t="s">
        <v>539</v>
      </c>
      <c r="H5" s="28" t="s">
        <v>540</v>
      </c>
      <c r="I5" s="28" t="s">
        <v>140</v>
      </c>
      <c r="J5" s="28" t="s">
        <v>10</v>
      </c>
      <c r="K5" s="89">
        <v>583</v>
      </c>
      <c r="L5" s="89">
        <v>2300</v>
      </c>
      <c r="M5" s="89">
        <v>475</v>
      </c>
      <c r="N5" s="89">
        <v>2300</v>
      </c>
      <c r="O5" s="80">
        <v>7.5300000000000006E-2</v>
      </c>
      <c r="P5" s="90">
        <v>6.0683124257288057E-3</v>
      </c>
      <c r="Q5" s="91">
        <v>264</v>
      </c>
      <c r="R5" s="91">
        <v>5</v>
      </c>
      <c r="S5" s="90">
        <v>0.74652173913043474</v>
      </c>
      <c r="T5" s="112">
        <v>1717</v>
      </c>
      <c r="U5" s="77">
        <v>13.571168</v>
      </c>
      <c r="V5" s="77">
        <v>13.454412</v>
      </c>
      <c r="W5" s="90">
        <v>-4.0000000000000001E-3</v>
      </c>
      <c r="X5" s="92">
        <v>7.1300000000000002E-2</v>
      </c>
      <c r="Y5" s="90">
        <v>5.7559072994648464E-3</v>
      </c>
      <c r="Z5" s="93">
        <v>45377</v>
      </c>
      <c r="AA5" s="94">
        <v>45575</v>
      </c>
      <c r="AB5" s="95">
        <v>45379</v>
      </c>
      <c r="AC5" s="96">
        <v>45575</v>
      </c>
      <c r="AD5" s="96">
        <v>53427</v>
      </c>
      <c r="AE5" s="76">
        <v>259</v>
      </c>
      <c r="AF5" s="83">
        <v>1768.2353146193509</v>
      </c>
      <c r="AG5" s="97" t="s">
        <v>541</v>
      </c>
      <c r="AH5" s="97" t="s">
        <v>55</v>
      </c>
      <c r="AI5" s="97" t="s">
        <v>55</v>
      </c>
      <c r="AJ5" s="97" t="s">
        <v>189</v>
      </c>
      <c r="AK5" s="97" t="s">
        <v>179</v>
      </c>
      <c r="AL5" s="81">
        <v>0.36411948690392382</v>
      </c>
      <c r="AM5" s="81">
        <v>0.41283350696716681</v>
      </c>
      <c r="AN5" s="113">
        <v>1753</v>
      </c>
      <c r="AO5" s="82" t="s">
        <v>165</v>
      </c>
      <c r="AP5" s="114" t="s">
        <v>523</v>
      </c>
    </row>
    <row r="6" spans="1:42" x14ac:dyDescent="0.2">
      <c r="A6" s="110">
        <f t="shared" si="2"/>
        <v>5</v>
      </c>
      <c r="B6" s="111" t="s">
        <v>542</v>
      </c>
      <c r="C6" s="79" t="s">
        <v>543</v>
      </c>
      <c r="D6" s="55" t="str">
        <f t="shared" si="0"/>
        <v>18188333</v>
      </c>
      <c r="E6" s="55" t="str">
        <f t="shared" si="1"/>
        <v>2</v>
      </c>
      <c r="F6" s="28" t="s">
        <v>544</v>
      </c>
      <c r="G6" s="28" t="s">
        <v>545</v>
      </c>
      <c r="H6" s="28" t="s">
        <v>546</v>
      </c>
      <c r="I6" s="28" t="s">
        <v>139</v>
      </c>
      <c r="J6" s="28" t="s">
        <v>10</v>
      </c>
      <c r="K6" s="89">
        <v>518.40000000000009</v>
      </c>
      <c r="L6" s="89">
        <v>2070</v>
      </c>
      <c r="M6" s="89">
        <v>375</v>
      </c>
      <c r="N6" s="89">
        <v>2400</v>
      </c>
      <c r="O6" s="80">
        <v>7.5300000000000006E-2</v>
      </c>
      <c r="P6" s="90">
        <v>6.0683124257288057E-3</v>
      </c>
      <c r="Q6" s="91">
        <v>360</v>
      </c>
      <c r="R6" s="91">
        <v>5</v>
      </c>
      <c r="S6" s="90">
        <v>0.74956521739130433</v>
      </c>
      <c r="T6" s="112">
        <v>1551.6</v>
      </c>
      <c r="U6" s="77">
        <v>10.986879999999999</v>
      </c>
      <c r="V6" s="77">
        <v>11.27858</v>
      </c>
      <c r="W6" s="90">
        <v>-4.0000000000000001E-3</v>
      </c>
      <c r="X6" s="92">
        <v>7.1300000000000002E-2</v>
      </c>
      <c r="Y6" s="90">
        <v>5.7559072994648464E-3</v>
      </c>
      <c r="Z6" s="93">
        <v>45376</v>
      </c>
      <c r="AA6" s="94">
        <v>45575</v>
      </c>
      <c r="AB6" s="95">
        <v>45379</v>
      </c>
      <c r="AC6" s="96">
        <v>45575</v>
      </c>
      <c r="AD6" s="96">
        <v>56349</v>
      </c>
      <c r="AE6" s="76">
        <v>355</v>
      </c>
      <c r="AF6" s="83">
        <v>1609.4064692661752</v>
      </c>
      <c r="AG6" s="97" t="s">
        <v>547</v>
      </c>
      <c r="AH6" s="97" t="s">
        <v>136</v>
      </c>
      <c r="AI6" s="97" t="s">
        <v>135</v>
      </c>
      <c r="AJ6" s="97" t="s">
        <v>144</v>
      </c>
      <c r="AK6" s="97" t="s">
        <v>177</v>
      </c>
      <c r="AL6" s="81">
        <v>0.40025142858546026</v>
      </c>
      <c r="AM6" s="81">
        <v>0.42269567710593697</v>
      </c>
      <c r="AN6" s="113">
        <v>5560</v>
      </c>
      <c r="AO6" s="82" t="s">
        <v>165</v>
      </c>
      <c r="AP6" s="98" t="s">
        <v>523</v>
      </c>
    </row>
    <row r="7" spans="1:42" x14ac:dyDescent="0.2">
      <c r="A7" s="110">
        <f t="shared" si="2"/>
        <v>6</v>
      </c>
      <c r="B7" s="111" t="s">
        <v>548</v>
      </c>
      <c r="C7" s="79" t="s">
        <v>549</v>
      </c>
      <c r="D7" s="55" t="str">
        <f t="shared" si="0"/>
        <v>18250306</v>
      </c>
      <c r="E7" s="55" t="str">
        <f t="shared" si="1"/>
        <v>1</v>
      </c>
      <c r="F7" s="28" t="s">
        <v>550</v>
      </c>
      <c r="G7" s="28" t="s">
        <v>182</v>
      </c>
      <c r="H7" s="28" t="s">
        <v>551</v>
      </c>
      <c r="I7" s="28" t="s">
        <v>139</v>
      </c>
      <c r="J7" s="28" t="s">
        <v>10</v>
      </c>
      <c r="K7" s="89">
        <v>1035.77</v>
      </c>
      <c r="L7" s="89">
        <v>2700</v>
      </c>
      <c r="M7" s="89">
        <v>700</v>
      </c>
      <c r="N7" s="89">
        <v>2700</v>
      </c>
      <c r="O7" s="80">
        <v>7.5300000000000006E-2</v>
      </c>
      <c r="P7" s="90">
        <v>6.0683124257288057E-3</v>
      </c>
      <c r="Q7" s="91">
        <v>300</v>
      </c>
      <c r="R7" s="91">
        <v>5</v>
      </c>
      <c r="S7" s="90">
        <v>0.61638148148148153</v>
      </c>
      <c r="T7" s="112">
        <v>1664.23</v>
      </c>
      <c r="U7" s="77">
        <v>12.508353</v>
      </c>
      <c r="V7" s="77">
        <v>12.436790999999999</v>
      </c>
      <c r="W7" s="90">
        <v>-4.0000000000000001E-3</v>
      </c>
      <c r="X7" s="92">
        <v>7.1300000000000002E-2</v>
      </c>
      <c r="Y7" s="90">
        <v>5.7559072994648464E-3</v>
      </c>
      <c r="Z7" s="93">
        <v>45377</v>
      </c>
      <c r="AA7" s="94">
        <v>45575</v>
      </c>
      <c r="AB7" s="95">
        <v>45379</v>
      </c>
      <c r="AC7" s="96">
        <v>45575</v>
      </c>
      <c r="AD7" s="96">
        <v>54523</v>
      </c>
      <c r="AE7" s="76">
        <v>295</v>
      </c>
      <c r="AF7" s="83">
        <v>1719.0580822949839</v>
      </c>
      <c r="AG7" s="97" t="s">
        <v>552</v>
      </c>
      <c r="AH7" s="97" t="s">
        <v>178</v>
      </c>
      <c r="AI7" s="97" t="s">
        <v>50</v>
      </c>
      <c r="AJ7" s="97" t="s">
        <v>144</v>
      </c>
      <c r="AK7" s="97" t="s">
        <v>177</v>
      </c>
      <c r="AL7" s="81">
        <v>0.16448388849219844</v>
      </c>
      <c r="AM7" s="81">
        <v>0.37966624676468186</v>
      </c>
      <c r="AN7" s="113">
        <v>5566</v>
      </c>
      <c r="AO7" s="82" t="s">
        <v>165</v>
      </c>
      <c r="AP7" s="114" t="s">
        <v>523</v>
      </c>
    </row>
    <row r="8" spans="1:42" x14ac:dyDescent="0.2">
      <c r="A8" s="110">
        <f t="shared" si="2"/>
        <v>7</v>
      </c>
      <c r="B8" s="111" t="s">
        <v>553</v>
      </c>
      <c r="C8" s="79" t="s">
        <v>554</v>
      </c>
      <c r="D8" s="55" t="str">
        <f t="shared" si="0"/>
        <v>17747816</v>
      </c>
      <c r="E8" s="55" t="str">
        <f t="shared" si="1"/>
        <v>4</v>
      </c>
      <c r="F8" s="28" t="s">
        <v>555</v>
      </c>
      <c r="G8" s="28" t="s">
        <v>556</v>
      </c>
      <c r="H8" s="28" t="s">
        <v>557</v>
      </c>
      <c r="I8" s="28" t="s">
        <v>139</v>
      </c>
      <c r="J8" s="28" t="s">
        <v>10</v>
      </c>
      <c r="K8" s="89">
        <v>650</v>
      </c>
      <c r="L8" s="89">
        <v>2250</v>
      </c>
      <c r="M8" s="89">
        <v>550</v>
      </c>
      <c r="N8" s="89">
        <v>2460</v>
      </c>
      <c r="O8" s="80">
        <v>7.5300000000000006E-2</v>
      </c>
      <c r="P8" s="90">
        <v>6.0683124257288057E-3</v>
      </c>
      <c r="Q8" s="91">
        <v>360</v>
      </c>
      <c r="R8" s="91">
        <v>5</v>
      </c>
      <c r="S8" s="90">
        <v>0.72487777777777773</v>
      </c>
      <c r="T8" s="112">
        <v>1630.9749999999999</v>
      </c>
      <c r="U8" s="77">
        <v>11.548933999999999</v>
      </c>
      <c r="V8" s="77">
        <v>11.855556999999999</v>
      </c>
      <c r="W8" s="90">
        <v>-4.0000000000000001E-3</v>
      </c>
      <c r="X8" s="92">
        <v>7.1300000000000002E-2</v>
      </c>
      <c r="Y8" s="90">
        <v>5.7559072994648464E-3</v>
      </c>
      <c r="Z8" s="93">
        <v>45377</v>
      </c>
      <c r="AA8" s="94">
        <v>45575</v>
      </c>
      <c r="AB8" s="95">
        <v>45379</v>
      </c>
      <c r="AC8" s="96">
        <v>45575</v>
      </c>
      <c r="AD8" s="96">
        <v>56349</v>
      </c>
      <c r="AE8" s="76">
        <v>355</v>
      </c>
      <c r="AF8" s="83">
        <v>1691.4151013084154</v>
      </c>
      <c r="AG8" s="97" t="s">
        <v>558</v>
      </c>
      <c r="AH8" s="97" t="s">
        <v>183</v>
      </c>
      <c r="AI8" s="97" t="s">
        <v>184</v>
      </c>
      <c r="AJ8" s="97" t="s">
        <v>189</v>
      </c>
      <c r="AK8" s="97" t="s">
        <v>185</v>
      </c>
      <c r="AL8" s="81">
        <v>0.33391403236517714</v>
      </c>
      <c r="AM8" s="81">
        <v>0.49056280508740147</v>
      </c>
      <c r="AN8" s="113">
        <v>1134</v>
      </c>
      <c r="AO8" s="82" t="s">
        <v>165</v>
      </c>
      <c r="AP8" s="114" t="s">
        <v>523</v>
      </c>
    </row>
    <row r="9" spans="1:42" x14ac:dyDescent="0.2">
      <c r="A9" s="110">
        <f t="shared" si="2"/>
        <v>8</v>
      </c>
      <c r="B9" s="111" t="s">
        <v>559</v>
      </c>
      <c r="C9" s="79" t="s">
        <v>560</v>
      </c>
      <c r="D9" s="55" t="str">
        <f t="shared" si="0"/>
        <v>17137105</v>
      </c>
      <c r="E9" s="55" t="str">
        <f t="shared" si="1"/>
        <v>8</v>
      </c>
      <c r="F9" s="28" t="s">
        <v>561</v>
      </c>
      <c r="G9" s="28" t="s">
        <v>562</v>
      </c>
      <c r="H9" s="28" t="s">
        <v>563</v>
      </c>
      <c r="I9" s="28" t="s">
        <v>139</v>
      </c>
      <c r="J9" s="28" t="s">
        <v>10</v>
      </c>
      <c r="K9" s="89">
        <v>618.63</v>
      </c>
      <c r="L9" s="89">
        <v>1400</v>
      </c>
      <c r="M9" s="89">
        <v>400</v>
      </c>
      <c r="N9" s="89">
        <v>1410</v>
      </c>
      <c r="O9" s="80">
        <v>7.5300000000000006E-2</v>
      </c>
      <c r="P9" s="90">
        <v>6.0683124257288057E-3</v>
      </c>
      <c r="Q9" s="91">
        <v>360</v>
      </c>
      <c r="R9" s="91">
        <v>5</v>
      </c>
      <c r="S9" s="90">
        <v>0.55812142857142855</v>
      </c>
      <c r="T9" s="112">
        <v>781.37</v>
      </c>
      <c r="U9" s="77">
        <v>5.5328809999999997</v>
      </c>
      <c r="V9" s="77">
        <v>5.6797789999999999</v>
      </c>
      <c r="W9" s="90">
        <v>-4.0000000000000001E-3</v>
      </c>
      <c r="X9" s="92">
        <v>7.1300000000000002E-2</v>
      </c>
      <c r="Y9" s="90">
        <v>5.7559072994648464E-3</v>
      </c>
      <c r="Z9" s="93">
        <v>45373</v>
      </c>
      <c r="AA9" s="94">
        <v>45575</v>
      </c>
      <c r="AB9" s="95">
        <v>45379</v>
      </c>
      <c r="AC9" s="96">
        <v>45575</v>
      </c>
      <c r="AD9" s="96">
        <v>56349</v>
      </c>
      <c r="AE9" s="76">
        <v>355</v>
      </c>
      <c r="AF9" s="83">
        <v>809.82924735143922</v>
      </c>
      <c r="AG9" s="97" t="s">
        <v>564</v>
      </c>
      <c r="AH9" s="97" t="s">
        <v>49</v>
      </c>
      <c r="AI9" s="97" t="s">
        <v>145</v>
      </c>
      <c r="AJ9" s="97" t="s">
        <v>188</v>
      </c>
      <c r="AK9" s="97" t="s">
        <v>174</v>
      </c>
      <c r="AL9" s="81">
        <v>0.38354013936998338</v>
      </c>
      <c r="AM9" s="81">
        <v>0.50324471065490717</v>
      </c>
      <c r="AN9" s="113">
        <v>789</v>
      </c>
      <c r="AO9" s="82" t="s">
        <v>165</v>
      </c>
      <c r="AP9" s="98" t="s">
        <v>523</v>
      </c>
    </row>
    <row r="10" spans="1:42" x14ac:dyDescent="0.2">
      <c r="A10" s="110">
        <f t="shared" si="2"/>
        <v>9</v>
      </c>
      <c r="B10" s="111" t="s">
        <v>565</v>
      </c>
      <c r="C10" s="79" t="s">
        <v>566</v>
      </c>
      <c r="D10" s="55" t="str">
        <f t="shared" si="0"/>
        <v>16995140</v>
      </c>
      <c r="E10" s="55" t="str">
        <f t="shared" si="1"/>
        <v>3</v>
      </c>
      <c r="F10" s="28" t="s">
        <v>567</v>
      </c>
      <c r="G10" s="28" t="s">
        <v>568</v>
      </c>
      <c r="H10" s="28" t="s">
        <v>569</v>
      </c>
      <c r="I10" s="28" t="s">
        <v>139</v>
      </c>
      <c r="J10" s="28" t="s">
        <v>10</v>
      </c>
      <c r="K10" s="89">
        <v>640</v>
      </c>
      <c r="L10" s="89">
        <v>1400</v>
      </c>
      <c r="M10" s="89">
        <v>600</v>
      </c>
      <c r="N10" s="89">
        <v>1600</v>
      </c>
      <c r="O10" s="80">
        <v>7.5300000000000006E-2</v>
      </c>
      <c r="P10" s="90">
        <v>6.0683124257288057E-3</v>
      </c>
      <c r="Q10" s="91">
        <v>216</v>
      </c>
      <c r="R10" s="91">
        <v>5</v>
      </c>
      <c r="S10" s="90">
        <v>0.54285714285714282</v>
      </c>
      <c r="T10" s="112">
        <v>760</v>
      </c>
      <c r="U10" s="77">
        <v>6.593</v>
      </c>
      <c r="V10" s="77">
        <v>6.5086399999999998</v>
      </c>
      <c r="W10" s="90">
        <v>-4.0000000000000001E-3</v>
      </c>
      <c r="X10" s="92">
        <v>7.1300000000000002E-2</v>
      </c>
      <c r="Y10" s="90">
        <v>5.7559072994648464E-3</v>
      </c>
      <c r="Z10" s="93">
        <v>45377</v>
      </c>
      <c r="AA10" s="94">
        <v>45575</v>
      </c>
      <c r="AB10" s="95">
        <v>45379</v>
      </c>
      <c r="AC10" s="96">
        <v>45575</v>
      </c>
      <c r="AD10" s="96">
        <v>51966</v>
      </c>
      <c r="AE10" s="76">
        <v>211</v>
      </c>
      <c r="AF10" s="83">
        <v>779.09590351176541</v>
      </c>
      <c r="AG10" s="97" t="s">
        <v>570</v>
      </c>
      <c r="AH10" s="97" t="s">
        <v>345</v>
      </c>
      <c r="AI10" s="97" t="s">
        <v>521</v>
      </c>
      <c r="AJ10" s="97" t="s">
        <v>639</v>
      </c>
      <c r="AK10" s="97" t="s">
        <v>571</v>
      </c>
      <c r="AL10" s="81">
        <v>0.15834569754268921</v>
      </c>
      <c r="AM10" s="81">
        <v>0.40708554051412071</v>
      </c>
      <c r="AN10" s="113">
        <v>851</v>
      </c>
      <c r="AO10" s="82" t="s">
        <v>165</v>
      </c>
      <c r="AP10" s="114" t="s">
        <v>523</v>
      </c>
    </row>
    <row r="11" spans="1:42" x14ac:dyDescent="0.2">
      <c r="A11" s="110">
        <f t="shared" si="2"/>
        <v>10</v>
      </c>
      <c r="B11" s="111" t="s">
        <v>572</v>
      </c>
      <c r="C11" s="79" t="s">
        <v>573</v>
      </c>
      <c r="D11" s="55" t="str">
        <f t="shared" si="0"/>
        <v>18645373</v>
      </c>
      <c r="E11" s="55" t="str">
        <f t="shared" si="1"/>
        <v>5</v>
      </c>
      <c r="F11" s="28" t="s">
        <v>574</v>
      </c>
      <c r="G11" s="28" t="s">
        <v>575</v>
      </c>
      <c r="H11" s="28" t="s">
        <v>576</v>
      </c>
      <c r="I11" s="28" t="s">
        <v>140</v>
      </c>
      <c r="J11" s="28" t="s">
        <v>10</v>
      </c>
      <c r="K11" s="89">
        <v>418</v>
      </c>
      <c r="L11" s="89">
        <v>2090</v>
      </c>
      <c r="M11" s="89">
        <v>325</v>
      </c>
      <c r="N11" s="89">
        <v>2200</v>
      </c>
      <c r="O11" s="80">
        <v>7.5300000000000006E-2</v>
      </c>
      <c r="P11" s="90">
        <v>6.0683124257288057E-3</v>
      </c>
      <c r="Q11" s="91">
        <v>360</v>
      </c>
      <c r="R11" s="91">
        <v>5</v>
      </c>
      <c r="S11" s="90">
        <v>0.8</v>
      </c>
      <c r="T11" s="112">
        <v>1672</v>
      </c>
      <c r="U11" s="77">
        <v>11.839432</v>
      </c>
      <c r="V11" s="77">
        <v>12.153767999999999</v>
      </c>
      <c r="W11" s="90">
        <v>-4.0000000000000001E-3</v>
      </c>
      <c r="X11" s="92">
        <v>7.1300000000000002E-2</v>
      </c>
      <c r="Y11" s="90">
        <v>5.7559072994648464E-3</v>
      </c>
      <c r="Z11" s="93">
        <v>45376</v>
      </c>
      <c r="AA11" s="94">
        <v>45575</v>
      </c>
      <c r="AB11" s="95">
        <v>45379</v>
      </c>
      <c r="AC11" s="96">
        <v>45575</v>
      </c>
      <c r="AD11" s="96">
        <v>56349</v>
      </c>
      <c r="AE11" s="76">
        <v>355</v>
      </c>
      <c r="AF11" s="83">
        <v>1733.8825502107045</v>
      </c>
      <c r="AG11" s="97" t="s">
        <v>577</v>
      </c>
      <c r="AH11" s="97" t="s">
        <v>49</v>
      </c>
      <c r="AI11" s="97" t="s">
        <v>145</v>
      </c>
      <c r="AJ11" s="97" t="s">
        <v>188</v>
      </c>
      <c r="AK11" s="97" t="s">
        <v>174</v>
      </c>
      <c r="AL11" s="81">
        <v>0.24855130650535823</v>
      </c>
      <c r="AM11" s="81">
        <v>0.39683384444703251</v>
      </c>
      <c r="AN11" s="113">
        <v>808</v>
      </c>
      <c r="AO11" s="82" t="s">
        <v>165</v>
      </c>
      <c r="AP11" s="114" t="s">
        <v>523</v>
      </c>
    </row>
    <row r="12" spans="1:42" x14ac:dyDescent="0.2">
      <c r="A12" s="110">
        <f t="shared" si="2"/>
        <v>11</v>
      </c>
      <c r="B12" s="111" t="s">
        <v>578</v>
      </c>
      <c r="C12" s="79" t="s">
        <v>579</v>
      </c>
      <c r="D12" s="55" t="str">
        <f t="shared" si="0"/>
        <v>16681463</v>
      </c>
      <c r="E12" s="55" t="str">
        <f t="shared" si="1"/>
        <v>4</v>
      </c>
      <c r="F12" s="28" t="s">
        <v>580</v>
      </c>
      <c r="G12" s="28" t="s">
        <v>166</v>
      </c>
      <c r="H12" s="28" t="s">
        <v>581</v>
      </c>
      <c r="I12" s="28" t="s">
        <v>140</v>
      </c>
      <c r="J12" s="28" t="s">
        <v>10</v>
      </c>
      <c r="K12" s="89">
        <v>522.22</v>
      </c>
      <c r="L12" s="89">
        <v>1400</v>
      </c>
      <c r="M12" s="89">
        <v>450</v>
      </c>
      <c r="N12" s="89">
        <v>1400</v>
      </c>
      <c r="O12" s="80">
        <v>7.5300000000000006E-2</v>
      </c>
      <c r="P12" s="90">
        <v>6.0683124257288057E-3</v>
      </c>
      <c r="Q12" s="91">
        <v>240</v>
      </c>
      <c r="R12" s="91">
        <v>5</v>
      </c>
      <c r="S12" s="90">
        <v>0.62698571428571426</v>
      </c>
      <c r="T12" s="112">
        <v>877.78</v>
      </c>
      <c r="U12" s="77">
        <v>7.2364179999999996</v>
      </c>
      <c r="V12" s="77">
        <v>7.0687620000000004</v>
      </c>
      <c r="W12" s="90">
        <v>-4.0000000000000001E-3</v>
      </c>
      <c r="X12" s="92">
        <v>7.1300000000000002E-2</v>
      </c>
      <c r="Y12" s="90">
        <v>5.7559072994648464E-3</v>
      </c>
      <c r="Z12" s="93">
        <v>45376</v>
      </c>
      <c r="AA12" s="94">
        <v>45575</v>
      </c>
      <c r="AB12" s="95">
        <v>45379</v>
      </c>
      <c r="AC12" s="96">
        <v>45575</v>
      </c>
      <c r="AD12" s="96">
        <v>52697</v>
      </c>
      <c r="AE12" s="76">
        <v>235</v>
      </c>
      <c r="AF12" s="83">
        <v>902.65750548038943</v>
      </c>
      <c r="AG12" s="97" t="s">
        <v>582</v>
      </c>
      <c r="AH12" s="97" t="s">
        <v>260</v>
      </c>
      <c r="AI12" s="97" t="s">
        <v>145</v>
      </c>
      <c r="AJ12" s="97" t="s">
        <v>188</v>
      </c>
      <c r="AK12" s="97" t="s">
        <v>583</v>
      </c>
      <c r="AL12" s="81">
        <v>0.27580802189222209</v>
      </c>
      <c r="AM12" s="81">
        <v>0.28908033806916394</v>
      </c>
      <c r="AN12" s="82" t="s">
        <v>584</v>
      </c>
      <c r="AO12" s="82" t="s">
        <v>165</v>
      </c>
      <c r="AP12" s="98" t="s">
        <v>523</v>
      </c>
    </row>
    <row r="13" spans="1:42" x14ac:dyDescent="0.2">
      <c r="A13" s="110">
        <f t="shared" si="2"/>
        <v>12</v>
      </c>
      <c r="B13" s="111" t="s">
        <v>585</v>
      </c>
      <c r="C13" s="79" t="s">
        <v>586</v>
      </c>
      <c r="D13" s="55" t="str">
        <f t="shared" si="0"/>
        <v>24243822</v>
      </c>
      <c r="E13" s="55" t="str">
        <f t="shared" si="1"/>
        <v>1</v>
      </c>
      <c r="F13" s="28" t="s">
        <v>587</v>
      </c>
      <c r="G13" s="28" t="s">
        <v>588</v>
      </c>
      <c r="H13" s="28" t="s">
        <v>589</v>
      </c>
      <c r="I13" s="28" t="s">
        <v>140</v>
      </c>
      <c r="J13" s="28" t="s">
        <v>10</v>
      </c>
      <c r="K13" s="89">
        <v>933.25</v>
      </c>
      <c r="L13" s="89">
        <v>1700</v>
      </c>
      <c r="M13" s="89">
        <v>737.5</v>
      </c>
      <c r="N13" s="89">
        <v>1700</v>
      </c>
      <c r="O13" s="80">
        <v>7.5300000000000006E-2</v>
      </c>
      <c r="P13" s="90">
        <v>6.0683124257288057E-3</v>
      </c>
      <c r="Q13" s="91">
        <v>204</v>
      </c>
      <c r="R13" s="91">
        <v>5</v>
      </c>
      <c r="S13" s="90">
        <v>0.4510294117647059</v>
      </c>
      <c r="T13" s="112">
        <v>766.75</v>
      </c>
      <c r="U13" s="77">
        <v>6.850911</v>
      </c>
      <c r="V13" s="77">
        <v>6.8938490000000003</v>
      </c>
      <c r="W13" s="90">
        <v>-4.0000000000000001E-3</v>
      </c>
      <c r="X13" s="92">
        <v>7.1300000000000002E-2</v>
      </c>
      <c r="Y13" s="90">
        <v>5.7559072994648464E-3</v>
      </c>
      <c r="Z13" s="93">
        <v>45376</v>
      </c>
      <c r="AA13" s="94">
        <v>45575</v>
      </c>
      <c r="AB13" s="95">
        <v>45379</v>
      </c>
      <c r="AC13" s="96">
        <v>45575</v>
      </c>
      <c r="AD13" s="96">
        <v>51601</v>
      </c>
      <c r="AE13" s="76">
        <v>199</v>
      </c>
      <c r="AF13" s="83">
        <v>785.3707352231653</v>
      </c>
      <c r="AG13" s="97" t="s">
        <v>590</v>
      </c>
      <c r="AH13" s="97" t="s">
        <v>178</v>
      </c>
      <c r="AI13" s="97" t="s">
        <v>50</v>
      </c>
      <c r="AJ13" s="97" t="s">
        <v>144</v>
      </c>
      <c r="AK13" s="97" t="s">
        <v>177</v>
      </c>
      <c r="AL13" s="81">
        <v>0.41766991621651506</v>
      </c>
      <c r="AM13" s="81">
        <v>0.44378192071293193</v>
      </c>
      <c r="AN13" s="113">
        <v>5557</v>
      </c>
      <c r="AO13" s="82" t="s">
        <v>165</v>
      </c>
      <c r="AP13" s="114" t="s">
        <v>523</v>
      </c>
    </row>
    <row r="14" spans="1:42" x14ac:dyDescent="0.2">
      <c r="A14" s="110">
        <f t="shared" si="2"/>
        <v>13</v>
      </c>
      <c r="B14" s="111" t="s">
        <v>591</v>
      </c>
      <c r="C14" s="79" t="s">
        <v>592</v>
      </c>
      <c r="D14" s="55" t="str">
        <f t="shared" si="0"/>
        <v>10745032</v>
      </c>
      <c r="E14" s="55" t="str">
        <f t="shared" si="1"/>
        <v>7</v>
      </c>
      <c r="F14" s="28" t="s">
        <v>593</v>
      </c>
      <c r="G14" s="28" t="s">
        <v>594</v>
      </c>
      <c r="H14" s="28" t="s">
        <v>595</v>
      </c>
      <c r="I14" s="28" t="s">
        <v>140</v>
      </c>
      <c r="J14" s="28" t="s">
        <v>10</v>
      </c>
      <c r="K14" s="89">
        <v>903.54</v>
      </c>
      <c r="L14" s="89">
        <v>1600</v>
      </c>
      <c r="M14" s="89">
        <v>675</v>
      </c>
      <c r="N14" s="89">
        <v>1600</v>
      </c>
      <c r="O14" s="80">
        <v>7.5300000000000006E-2</v>
      </c>
      <c r="P14" s="90">
        <v>6.0683124257288057E-3</v>
      </c>
      <c r="Q14" s="91">
        <v>240</v>
      </c>
      <c r="R14" s="91">
        <v>5</v>
      </c>
      <c r="S14" s="90">
        <v>0.44872500000000004</v>
      </c>
      <c r="T14" s="112">
        <v>717.96</v>
      </c>
      <c r="U14" s="77">
        <v>5.9188619999999998</v>
      </c>
      <c r="V14" s="77">
        <v>5.7817319999999999</v>
      </c>
      <c r="W14" s="90">
        <v>-4.0000000000000001E-3</v>
      </c>
      <c r="X14" s="92">
        <v>7.1300000000000002E-2</v>
      </c>
      <c r="Y14" s="90">
        <v>5.7559072994648464E-3</v>
      </c>
      <c r="Z14" s="93">
        <v>45378</v>
      </c>
      <c r="AA14" s="94">
        <v>45575</v>
      </c>
      <c r="AB14" s="95">
        <v>45379</v>
      </c>
      <c r="AC14" s="96">
        <v>45575</v>
      </c>
      <c r="AD14" s="96">
        <v>52697</v>
      </c>
      <c r="AE14" s="76">
        <v>235</v>
      </c>
      <c r="AF14" s="83">
        <v>738.08434014145394</v>
      </c>
      <c r="AG14" s="97" t="s">
        <v>596</v>
      </c>
      <c r="AH14" s="97" t="s">
        <v>449</v>
      </c>
      <c r="AI14" s="97" t="s">
        <v>597</v>
      </c>
      <c r="AJ14" s="97" t="s">
        <v>640</v>
      </c>
      <c r="AK14" s="97" t="s">
        <v>598</v>
      </c>
      <c r="AL14" s="81">
        <v>0.24192368279380921</v>
      </c>
      <c r="AM14" s="81">
        <v>0.28928929245913287</v>
      </c>
      <c r="AN14" s="82" t="s">
        <v>584</v>
      </c>
      <c r="AO14" s="82" t="s">
        <v>165</v>
      </c>
      <c r="AP14" s="98" t="s">
        <v>523</v>
      </c>
    </row>
    <row r="15" spans="1:42" x14ac:dyDescent="0.2">
      <c r="A15" s="110">
        <f t="shared" si="2"/>
        <v>14</v>
      </c>
      <c r="B15" s="111" t="s">
        <v>599</v>
      </c>
      <c r="C15" s="79" t="s">
        <v>600</v>
      </c>
      <c r="D15" s="55" t="str">
        <f t="shared" si="0"/>
        <v>18429503</v>
      </c>
      <c r="E15" s="55" t="str">
        <f t="shared" si="1"/>
        <v>2</v>
      </c>
      <c r="F15" s="28" t="s">
        <v>601</v>
      </c>
      <c r="G15" s="28" t="s">
        <v>602</v>
      </c>
      <c r="H15" s="28" t="s">
        <v>603</v>
      </c>
      <c r="I15" s="28" t="s">
        <v>140</v>
      </c>
      <c r="J15" s="28" t="s">
        <v>10</v>
      </c>
      <c r="K15" s="89">
        <v>505</v>
      </c>
      <c r="L15" s="89">
        <v>2150</v>
      </c>
      <c r="M15" s="89">
        <v>425</v>
      </c>
      <c r="N15" s="89">
        <v>2150</v>
      </c>
      <c r="O15" s="80">
        <v>7.5300000000000006E-2</v>
      </c>
      <c r="P15" s="90">
        <v>6.0683124257288057E-3</v>
      </c>
      <c r="Q15" s="91">
        <v>360</v>
      </c>
      <c r="R15" s="91">
        <v>5</v>
      </c>
      <c r="S15" s="90">
        <v>0.76511627906976742</v>
      </c>
      <c r="T15" s="112">
        <v>1645</v>
      </c>
      <c r="U15" s="77">
        <v>11.648244999999999</v>
      </c>
      <c r="V15" s="77">
        <v>11.957504999999999</v>
      </c>
      <c r="W15" s="90">
        <v>-4.0000000000000001E-3</v>
      </c>
      <c r="X15" s="92">
        <v>7.1300000000000002E-2</v>
      </c>
      <c r="Y15" s="90">
        <v>5.7559072994648464E-3</v>
      </c>
      <c r="Z15" s="93">
        <v>45376</v>
      </c>
      <c r="AA15" s="94">
        <v>45575</v>
      </c>
      <c r="AB15" s="95">
        <v>45379</v>
      </c>
      <c r="AC15" s="96">
        <v>45575</v>
      </c>
      <c r="AD15" s="96">
        <v>56349</v>
      </c>
      <c r="AE15" s="76">
        <v>355</v>
      </c>
      <c r="AF15" s="83">
        <v>1706.0590492057568</v>
      </c>
      <c r="AG15" s="97" t="s">
        <v>604</v>
      </c>
      <c r="AH15" s="97" t="s">
        <v>146</v>
      </c>
      <c r="AI15" s="97" t="s">
        <v>147</v>
      </c>
      <c r="AJ15" s="97" t="s">
        <v>148</v>
      </c>
      <c r="AK15" s="97" t="s">
        <v>605</v>
      </c>
      <c r="AL15" s="81">
        <v>0.28845392094673755</v>
      </c>
      <c r="AM15" s="81">
        <v>0.43027696122104953</v>
      </c>
      <c r="AN15" s="113">
        <v>1233</v>
      </c>
      <c r="AO15" s="82" t="s">
        <v>165</v>
      </c>
      <c r="AP15" s="114" t="s">
        <v>523</v>
      </c>
    </row>
    <row r="16" spans="1:42" x14ac:dyDescent="0.2">
      <c r="A16" s="110">
        <f t="shared" si="2"/>
        <v>15</v>
      </c>
      <c r="B16" s="111" t="s">
        <v>606</v>
      </c>
      <c r="C16" s="79" t="s">
        <v>607</v>
      </c>
      <c r="D16" s="55" t="str">
        <f t="shared" si="0"/>
        <v>16415014</v>
      </c>
      <c r="E16" s="55" t="str">
        <f t="shared" si="1"/>
        <v>3</v>
      </c>
      <c r="F16" s="28" t="s">
        <v>166</v>
      </c>
      <c r="G16" s="28" t="s">
        <v>608</v>
      </c>
      <c r="H16" s="28" t="s">
        <v>609</v>
      </c>
      <c r="I16" s="28" t="s">
        <v>139</v>
      </c>
      <c r="J16" s="28" t="s">
        <v>10</v>
      </c>
      <c r="K16" s="89">
        <v>750</v>
      </c>
      <c r="L16" s="89">
        <v>2600</v>
      </c>
      <c r="M16" s="89">
        <v>600</v>
      </c>
      <c r="N16" s="89">
        <v>2600</v>
      </c>
      <c r="O16" s="80">
        <v>7.5300000000000006E-2</v>
      </c>
      <c r="P16" s="90">
        <v>6.0683124257288057E-3</v>
      </c>
      <c r="Q16" s="91">
        <v>360</v>
      </c>
      <c r="R16" s="91">
        <v>5</v>
      </c>
      <c r="S16" s="90">
        <v>0.71153846153846156</v>
      </c>
      <c r="T16" s="112">
        <v>1850</v>
      </c>
      <c r="U16" s="77">
        <v>13.09985</v>
      </c>
      <c r="V16" s="77">
        <v>13.447649999999999</v>
      </c>
      <c r="W16" s="90">
        <v>-4.0000000000000001E-3</v>
      </c>
      <c r="X16" s="92">
        <v>7.1300000000000002E-2</v>
      </c>
      <c r="Y16" s="90">
        <v>5.7559072994648464E-3</v>
      </c>
      <c r="Z16" s="93">
        <v>45377</v>
      </c>
      <c r="AA16" s="94">
        <v>45575</v>
      </c>
      <c r="AB16" s="95">
        <v>45379</v>
      </c>
      <c r="AC16" s="96">
        <v>45575</v>
      </c>
      <c r="AD16" s="96">
        <v>56349</v>
      </c>
      <c r="AE16" s="76">
        <v>355</v>
      </c>
      <c r="AF16" s="83">
        <v>1918.4013413514626</v>
      </c>
      <c r="AG16" s="97" t="s">
        <v>610</v>
      </c>
      <c r="AH16" s="97" t="s">
        <v>449</v>
      </c>
      <c r="AI16" s="97" t="s">
        <v>597</v>
      </c>
      <c r="AJ16" s="97" t="s">
        <v>640</v>
      </c>
      <c r="AK16" s="97" t="s">
        <v>598</v>
      </c>
      <c r="AL16" s="81">
        <v>0.37495020966478326</v>
      </c>
      <c r="AM16" s="81">
        <v>0.43965437972128463</v>
      </c>
      <c r="AN16" s="113">
        <v>638</v>
      </c>
      <c r="AO16" s="82" t="s">
        <v>165</v>
      </c>
      <c r="AP16" s="114" t="s">
        <v>523</v>
      </c>
    </row>
    <row r="17" spans="1:42" x14ac:dyDescent="0.2">
      <c r="A17" s="110">
        <f t="shared" si="2"/>
        <v>16</v>
      </c>
      <c r="B17" s="111" t="s">
        <v>611</v>
      </c>
      <c r="C17" s="79" t="s">
        <v>612</v>
      </c>
      <c r="D17" s="55" t="str">
        <f t="shared" si="0"/>
        <v>19796943</v>
      </c>
      <c r="E17" s="55" t="str">
        <f t="shared" si="1"/>
        <v>1</v>
      </c>
      <c r="F17" s="28" t="s">
        <v>613</v>
      </c>
      <c r="G17" s="28" t="s">
        <v>614</v>
      </c>
      <c r="H17" s="28" t="s">
        <v>615</v>
      </c>
      <c r="I17" s="28" t="s">
        <v>140</v>
      </c>
      <c r="J17" s="28" t="s">
        <v>10</v>
      </c>
      <c r="K17" s="89">
        <v>505</v>
      </c>
      <c r="L17" s="89">
        <v>2150</v>
      </c>
      <c r="M17" s="89">
        <v>425</v>
      </c>
      <c r="N17" s="89">
        <v>2150</v>
      </c>
      <c r="O17" s="80">
        <v>7.5300000000000006E-2</v>
      </c>
      <c r="P17" s="90">
        <v>6.0683124257288057E-3</v>
      </c>
      <c r="Q17" s="91">
        <v>360</v>
      </c>
      <c r="R17" s="91">
        <v>5</v>
      </c>
      <c r="S17" s="90">
        <v>0.76511627906976742</v>
      </c>
      <c r="T17" s="112">
        <v>1645</v>
      </c>
      <c r="U17" s="77">
        <v>11.648244999999999</v>
      </c>
      <c r="V17" s="77">
        <v>11.957504999999999</v>
      </c>
      <c r="W17" s="90">
        <v>-4.0000000000000001E-3</v>
      </c>
      <c r="X17" s="92">
        <v>7.1300000000000002E-2</v>
      </c>
      <c r="Y17" s="90">
        <v>5.7559072994648464E-3</v>
      </c>
      <c r="Z17" s="93">
        <v>45376</v>
      </c>
      <c r="AA17" s="94">
        <v>45575</v>
      </c>
      <c r="AB17" s="95">
        <v>45379</v>
      </c>
      <c r="AC17" s="96">
        <v>45575</v>
      </c>
      <c r="AD17" s="96">
        <v>56349</v>
      </c>
      <c r="AE17" s="76">
        <v>355</v>
      </c>
      <c r="AF17" s="83">
        <v>1706.0590492057568</v>
      </c>
      <c r="AG17" s="97" t="s">
        <v>616</v>
      </c>
      <c r="AH17" s="97" t="s">
        <v>146</v>
      </c>
      <c r="AI17" s="97" t="s">
        <v>147</v>
      </c>
      <c r="AJ17" s="97" t="s">
        <v>148</v>
      </c>
      <c r="AK17" s="97" t="s">
        <v>605</v>
      </c>
      <c r="AL17" s="81">
        <v>0.24543004296744142</v>
      </c>
      <c r="AM17" s="81">
        <v>0.30375180634737564</v>
      </c>
      <c r="AN17" s="113">
        <v>1236</v>
      </c>
      <c r="AO17" s="82" t="s">
        <v>165</v>
      </c>
      <c r="AP17" s="114" t="s">
        <v>523</v>
      </c>
    </row>
    <row r="18" spans="1:42" x14ac:dyDescent="0.2">
      <c r="A18" s="110">
        <f t="shared" si="2"/>
        <v>17</v>
      </c>
      <c r="B18" s="111" t="s">
        <v>617</v>
      </c>
      <c r="C18" s="79" t="s">
        <v>618</v>
      </c>
      <c r="D18" s="55" t="str">
        <f t="shared" si="0"/>
        <v>18475742</v>
      </c>
      <c r="E18" s="55" t="str">
        <f t="shared" si="1"/>
        <v>7</v>
      </c>
      <c r="F18" s="28" t="s">
        <v>163</v>
      </c>
      <c r="G18" s="28" t="s">
        <v>187</v>
      </c>
      <c r="H18" s="28" t="s">
        <v>619</v>
      </c>
      <c r="I18" s="28" t="s">
        <v>139</v>
      </c>
      <c r="J18" s="28" t="s">
        <v>10</v>
      </c>
      <c r="K18" s="89">
        <v>730</v>
      </c>
      <c r="L18" s="89">
        <v>2250</v>
      </c>
      <c r="M18" s="89">
        <v>550</v>
      </c>
      <c r="N18" s="89">
        <v>2540</v>
      </c>
      <c r="O18" s="80">
        <v>7.5300000000000006E-2</v>
      </c>
      <c r="P18" s="90">
        <v>6.0683124257288057E-3</v>
      </c>
      <c r="Q18" s="91">
        <v>360</v>
      </c>
      <c r="R18" s="91">
        <v>5</v>
      </c>
      <c r="S18" s="90">
        <v>0.68932222222222217</v>
      </c>
      <c r="T18" s="112">
        <v>1550.9749999999999</v>
      </c>
      <c r="U18" s="77">
        <v>10.982454000000001</v>
      </c>
      <c r="V18" s="77">
        <v>11.274037</v>
      </c>
      <c r="W18" s="90">
        <v>-4.0000000000000001E-3</v>
      </c>
      <c r="X18" s="92">
        <v>7.1300000000000002E-2</v>
      </c>
      <c r="Y18" s="90">
        <v>5.7559072994648464E-3</v>
      </c>
      <c r="Z18" s="93">
        <v>45377</v>
      </c>
      <c r="AA18" s="94">
        <v>45575</v>
      </c>
      <c r="AB18" s="95">
        <v>45379</v>
      </c>
      <c r="AC18" s="96">
        <v>45575</v>
      </c>
      <c r="AD18" s="96">
        <v>56349</v>
      </c>
      <c r="AE18" s="76">
        <v>355</v>
      </c>
      <c r="AF18" s="83">
        <v>1607.9420744764407</v>
      </c>
      <c r="AG18" s="97" t="s">
        <v>620</v>
      </c>
      <c r="AH18" s="97" t="s">
        <v>183</v>
      </c>
      <c r="AI18" s="97" t="s">
        <v>184</v>
      </c>
      <c r="AJ18" s="97" t="s">
        <v>189</v>
      </c>
      <c r="AK18" s="97" t="s">
        <v>185</v>
      </c>
      <c r="AL18" s="81">
        <v>0.23529819312454506</v>
      </c>
      <c r="AM18" s="81">
        <v>0.40352778220729452</v>
      </c>
      <c r="AN18" s="113">
        <v>1135</v>
      </c>
      <c r="AO18" s="82" t="s">
        <v>165</v>
      </c>
      <c r="AP18" s="98" t="s">
        <v>523</v>
      </c>
    </row>
    <row r="19" spans="1:42" x14ac:dyDescent="0.2">
      <c r="A19" s="110">
        <f t="shared" si="2"/>
        <v>18</v>
      </c>
      <c r="B19" s="111" t="s">
        <v>621</v>
      </c>
      <c r="C19" s="79" t="s">
        <v>622</v>
      </c>
      <c r="D19" s="55" t="str">
        <f t="shared" si="0"/>
        <v>14204102</v>
      </c>
      <c r="E19" s="55" t="str">
        <f t="shared" si="1"/>
        <v>2</v>
      </c>
      <c r="F19" s="28" t="s">
        <v>623</v>
      </c>
      <c r="G19" s="28" t="s">
        <v>624</v>
      </c>
      <c r="H19" s="28" t="s">
        <v>625</v>
      </c>
      <c r="I19" s="28" t="s">
        <v>140</v>
      </c>
      <c r="J19" s="28" t="s">
        <v>10</v>
      </c>
      <c r="K19" s="89">
        <v>487.6</v>
      </c>
      <c r="L19" s="89">
        <v>1400</v>
      </c>
      <c r="M19" s="89">
        <v>400</v>
      </c>
      <c r="N19" s="89">
        <v>1410</v>
      </c>
      <c r="O19" s="80">
        <v>7.5300000000000006E-2</v>
      </c>
      <c r="P19" s="90">
        <v>6.0683124257288057E-3</v>
      </c>
      <c r="Q19" s="91">
        <v>288</v>
      </c>
      <c r="R19" s="91">
        <v>5</v>
      </c>
      <c r="S19" s="90">
        <v>0.65171428571428569</v>
      </c>
      <c r="T19" s="112">
        <v>912.4</v>
      </c>
      <c r="U19" s="77">
        <v>6.9634369999999999</v>
      </c>
      <c r="V19" s="77">
        <v>6.8575980000000003</v>
      </c>
      <c r="W19" s="90">
        <v>-4.0000000000000001E-3</v>
      </c>
      <c r="X19" s="92">
        <v>7.1300000000000002E-2</v>
      </c>
      <c r="Y19" s="90">
        <v>5.7559072994648464E-3</v>
      </c>
      <c r="Z19" s="93">
        <v>45376</v>
      </c>
      <c r="AA19" s="94">
        <v>45575</v>
      </c>
      <c r="AB19" s="95">
        <v>45379</v>
      </c>
      <c r="AC19" s="96">
        <v>45575</v>
      </c>
      <c r="AD19" s="96">
        <v>54158</v>
      </c>
      <c r="AE19" s="76">
        <v>283</v>
      </c>
      <c r="AF19" s="83">
        <v>941.02321729931782</v>
      </c>
      <c r="AG19" s="97" t="s">
        <v>626</v>
      </c>
      <c r="AH19" s="97" t="s">
        <v>49</v>
      </c>
      <c r="AI19" s="97" t="s">
        <v>145</v>
      </c>
      <c r="AJ19" s="97" t="s">
        <v>188</v>
      </c>
      <c r="AK19" s="97" t="s">
        <v>174</v>
      </c>
      <c r="AL19" s="81">
        <v>0.26594348476290675</v>
      </c>
      <c r="AM19" s="81">
        <v>0.38932644949335454</v>
      </c>
      <c r="AN19" s="113">
        <v>802</v>
      </c>
      <c r="AO19" s="82" t="s">
        <v>165</v>
      </c>
      <c r="AP19" s="114" t="s">
        <v>523</v>
      </c>
    </row>
    <row r="20" spans="1:42" x14ac:dyDescent="0.2">
      <c r="A20" s="110">
        <f t="shared" si="2"/>
        <v>19</v>
      </c>
      <c r="B20" s="111" t="s">
        <v>627</v>
      </c>
      <c r="C20" s="79" t="s">
        <v>628</v>
      </c>
      <c r="D20" s="55" t="str">
        <f t="shared" si="0"/>
        <v>13219684</v>
      </c>
      <c r="E20" s="55" t="str">
        <f t="shared" si="1"/>
        <v>2</v>
      </c>
      <c r="F20" s="28" t="s">
        <v>629</v>
      </c>
      <c r="G20" s="28" t="s">
        <v>630</v>
      </c>
      <c r="H20" s="28" t="s">
        <v>631</v>
      </c>
      <c r="I20" s="28" t="s">
        <v>140</v>
      </c>
      <c r="J20" s="28" t="s">
        <v>10</v>
      </c>
      <c r="K20" s="89">
        <v>414</v>
      </c>
      <c r="L20" s="89">
        <v>2070</v>
      </c>
      <c r="M20" s="89">
        <v>325</v>
      </c>
      <c r="N20" s="89">
        <v>2200</v>
      </c>
      <c r="O20" s="80">
        <v>7.5300000000000006E-2</v>
      </c>
      <c r="P20" s="90">
        <v>6.0683124257288057E-3</v>
      </c>
      <c r="Q20" s="91">
        <v>360</v>
      </c>
      <c r="R20" s="91">
        <v>5</v>
      </c>
      <c r="S20" s="90">
        <v>0.8</v>
      </c>
      <c r="T20" s="112">
        <v>1656</v>
      </c>
      <c r="U20" s="77">
        <v>11.726136</v>
      </c>
      <c r="V20" s="77">
        <v>12.037464</v>
      </c>
      <c r="W20" s="90">
        <v>-4.0000000000000001E-3</v>
      </c>
      <c r="X20" s="92">
        <v>7.1300000000000002E-2</v>
      </c>
      <c r="Y20" s="90">
        <v>5.7559072994648464E-3</v>
      </c>
      <c r="Z20" s="93">
        <v>45376</v>
      </c>
      <c r="AA20" s="94">
        <v>45575</v>
      </c>
      <c r="AB20" s="95">
        <v>45379</v>
      </c>
      <c r="AC20" s="96">
        <v>45575</v>
      </c>
      <c r="AD20" s="96">
        <v>56349</v>
      </c>
      <c r="AE20" s="76">
        <v>355</v>
      </c>
      <c r="AF20" s="83">
        <v>1717.7742075236295</v>
      </c>
      <c r="AG20" s="97" t="s">
        <v>632</v>
      </c>
      <c r="AH20" s="97" t="s">
        <v>49</v>
      </c>
      <c r="AI20" s="97" t="s">
        <v>145</v>
      </c>
      <c r="AJ20" s="97" t="s">
        <v>188</v>
      </c>
      <c r="AK20" s="97" t="s">
        <v>174</v>
      </c>
      <c r="AL20" s="81">
        <v>0.18073503976315294</v>
      </c>
      <c r="AM20" s="81">
        <v>0.27390951809260505</v>
      </c>
      <c r="AN20" s="113">
        <v>800</v>
      </c>
      <c r="AO20" s="82" t="s">
        <v>165</v>
      </c>
      <c r="AP20" s="114" t="s">
        <v>523</v>
      </c>
    </row>
    <row r="21" spans="1:42" x14ac:dyDescent="0.2">
      <c r="A21" s="110">
        <f>A20+1</f>
        <v>20</v>
      </c>
      <c r="B21" s="111" t="s">
        <v>633</v>
      </c>
      <c r="C21" s="79" t="s">
        <v>634</v>
      </c>
      <c r="D21" s="55" t="str">
        <f t="shared" si="0"/>
        <v>27097423</v>
      </c>
      <c r="E21" s="55" t="str">
        <f t="shared" si="1"/>
        <v>6</v>
      </c>
      <c r="F21" s="28" t="s">
        <v>635</v>
      </c>
      <c r="G21" s="28" t="s">
        <v>636</v>
      </c>
      <c r="H21" s="28" t="s">
        <v>637</v>
      </c>
      <c r="I21" s="28" t="s">
        <v>140</v>
      </c>
      <c r="J21" s="28" t="s">
        <v>10</v>
      </c>
      <c r="K21" s="89">
        <v>940</v>
      </c>
      <c r="L21" s="89">
        <v>2800</v>
      </c>
      <c r="M21" s="89">
        <v>700</v>
      </c>
      <c r="N21" s="89">
        <v>2800</v>
      </c>
      <c r="O21" s="80">
        <v>7.5300000000000006E-2</v>
      </c>
      <c r="P21" s="90">
        <v>6.0683124257288057E-3</v>
      </c>
      <c r="Q21" s="91">
        <v>360</v>
      </c>
      <c r="R21" s="91">
        <v>5</v>
      </c>
      <c r="S21" s="90">
        <v>0.66428571428571426</v>
      </c>
      <c r="T21" s="112">
        <v>1860</v>
      </c>
      <c r="U21" s="77">
        <v>13.17</v>
      </c>
      <c r="V21" s="77">
        <v>13.52</v>
      </c>
      <c r="W21" s="90">
        <v>-4.0000000000000001E-3</v>
      </c>
      <c r="X21" s="92">
        <v>7.1300000000000002E-2</v>
      </c>
      <c r="Y21" s="90">
        <v>5.7559072994648464E-3</v>
      </c>
      <c r="Z21" s="93">
        <v>45376</v>
      </c>
      <c r="AA21" s="94">
        <v>45575</v>
      </c>
      <c r="AB21" s="95">
        <v>45379</v>
      </c>
      <c r="AC21" s="96">
        <v>45575</v>
      </c>
      <c r="AD21" s="96">
        <v>56349</v>
      </c>
      <c r="AE21" s="76">
        <v>355</v>
      </c>
      <c r="AF21" s="83">
        <v>1928.6521048796014</v>
      </c>
      <c r="AG21" s="97" t="s">
        <v>638</v>
      </c>
      <c r="AH21" s="97" t="s">
        <v>178</v>
      </c>
      <c r="AI21" s="97" t="s">
        <v>50</v>
      </c>
      <c r="AJ21" s="97" t="s">
        <v>144</v>
      </c>
      <c r="AK21" s="97" t="s">
        <v>177</v>
      </c>
      <c r="AL21" s="81">
        <v>0.17733579809700817</v>
      </c>
      <c r="AM21" s="81">
        <v>0.21092959051927079</v>
      </c>
      <c r="AN21" s="113">
        <v>5492</v>
      </c>
      <c r="AO21" s="82" t="s">
        <v>165</v>
      </c>
      <c r="AP21" s="114" t="s">
        <v>523</v>
      </c>
    </row>
  </sheetData>
  <autoFilter ref="A1:AK16" xr:uid="{00000000-0009-0000-0000-000002000000}"/>
  <conditionalFormatting sqref="B2:C16">
    <cfRule type="expression" dxfId="0" priority="2">
      <formula>COUNTIF(B:B,B2)&gt;1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BFW23"/>
  <sheetViews>
    <sheetView showGridLines="0" zoomScale="93" zoomScaleNormal="93" zoomScalePageLayoutView="93" workbookViewId="0">
      <pane xSplit="1" ySplit="3" topLeftCell="V4" activePane="bottomRight" state="frozen"/>
      <selection pane="topRight" activeCell="C1" sqref="C1"/>
      <selection pane="bottomLeft" activeCell="A3" sqref="A3"/>
      <selection pane="bottomRight" activeCell="A4" sqref="A4:XFD23"/>
    </sheetView>
  </sheetViews>
  <sheetFormatPr defaultColWidth="11.42578125" defaultRowHeight="12.75" x14ac:dyDescent="0.2"/>
  <cols>
    <col min="1" max="1" width="8" bestFit="1" customWidth="1"/>
    <col min="2" max="2" width="18.5703125" bestFit="1" customWidth="1"/>
    <col min="3" max="3" width="19.7109375" bestFit="1" customWidth="1"/>
    <col min="4" max="4" width="20.28515625" bestFit="1" customWidth="1"/>
    <col min="5" max="5" width="19.42578125" bestFit="1" customWidth="1"/>
    <col min="6" max="6" width="13" customWidth="1"/>
    <col min="7" max="7" width="3.85546875" customWidth="1"/>
    <col min="8" max="8" width="21.28515625" bestFit="1" customWidth="1"/>
    <col min="9" max="10" width="12.7109375" customWidth="1"/>
    <col min="11" max="12" width="12.7109375" style="45" customWidth="1"/>
    <col min="13" max="13" width="12.7109375" customWidth="1"/>
    <col min="14" max="14" width="10" style="1" customWidth="1"/>
    <col min="15" max="15" width="27.140625" style="53" bestFit="1" customWidth="1"/>
    <col min="16" max="16" width="11.140625" customWidth="1"/>
    <col min="17" max="17" width="14.140625" style="34" bestFit="1" customWidth="1"/>
    <col min="18" max="18" width="11.42578125" customWidth="1"/>
    <col min="19" max="19" width="12.28515625" customWidth="1"/>
    <col min="20" max="20" width="17" customWidth="1"/>
    <col min="21" max="21" width="18.7109375" customWidth="1"/>
    <col min="22" max="22" width="11.140625" style="45" customWidth="1"/>
    <col min="23" max="23" width="11.140625" style="40" customWidth="1"/>
    <col min="24" max="24" width="10.85546875" style="6"/>
    <col min="25" max="25" width="13" style="6" customWidth="1"/>
    <col min="26" max="26" width="12.42578125" style="62" customWidth="1"/>
    <col min="27" max="27" width="15.140625" style="63" customWidth="1"/>
    <col min="28" max="28" width="15.5703125" style="63" bestFit="1" customWidth="1"/>
    <col min="29" max="29" width="9.42578125" style="63" customWidth="1"/>
    <col min="30" max="30" width="59.5703125" style="63" customWidth="1"/>
    <col min="31" max="31" width="26.5703125" style="64" bestFit="1" customWidth="1"/>
    <col min="32" max="32" width="19.5703125" style="63" customWidth="1"/>
    <col min="33" max="1531" width="10.85546875" style="6"/>
  </cols>
  <sheetData>
    <row r="1" spans="1:32" x14ac:dyDescent="0.2">
      <c r="D1" s="1"/>
      <c r="E1" s="1"/>
      <c r="F1" s="1"/>
      <c r="G1" s="1"/>
      <c r="H1" s="1"/>
      <c r="I1" s="1"/>
      <c r="J1" s="1"/>
      <c r="K1" s="1"/>
      <c r="L1" s="1"/>
      <c r="M1" s="1"/>
      <c r="O1" s="51"/>
      <c r="P1" s="86"/>
      <c r="Q1" s="14"/>
      <c r="R1" s="1"/>
      <c r="S1" s="5"/>
      <c r="U1" s="5"/>
      <c r="V1" s="1" t="s">
        <v>152</v>
      </c>
      <c r="W1" s="100"/>
      <c r="X1" s="13"/>
    </row>
    <row r="2" spans="1:32" x14ac:dyDescent="0.2">
      <c r="A2" s="9"/>
      <c r="B2" s="9"/>
      <c r="C2" s="9"/>
      <c r="D2" s="9"/>
      <c r="E2" s="9"/>
      <c r="F2" s="9"/>
      <c r="G2" s="9"/>
      <c r="H2" s="9"/>
      <c r="I2" s="108" t="s">
        <v>1</v>
      </c>
      <c r="J2" s="8"/>
      <c r="K2" s="59"/>
      <c r="L2" s="59"/>
      <c r="M2" s="8"/>
      <c r="N2" s="17"/>
      <c r="O2" s="52"/>
      <c r="P2" s="108" t="s">
        <v>151</v>
      </c>
      <c r="Q2" s="109" t="s">
        <v>46</v>
      </c>
      <c r="R2" s="108" t="s">
        <v>2</v>
      </c>
      <c r="S2" s="108" t="s">
        <v>3</v>
      </c>
      <c r="T2" s="2"/>
      <c r="U2" s="2" t="s">
        <v>12</v>
      </c>
      <c r="V2" s="108" t="s">
        <v>31</v>
      </c>
      <c r="W2" s="101"/>
      <c r="X2" s="108" t="s">
        <v>9</v>
      </c>
      <c r="Y2" s="108" t="s">
        <v>11</v>
      </c>
      <c r="Z2" s="105" t="s">
        <v>156</v>
      </c>
      <c r="AA2" s="106" t="s">
        <v>157</v>
      </c>
      <c r="AB2" s="106" t="s">
        <v>142</v>
      </c>
      <c r="AC2" s="107" t="s">
        <v>158</v>
      </c>
      <c r="AD2" s="65"/>
      <c r="AE2" s="66"/>
      <c r="AF2" s="65"/>
    </row>
    <row r="3" spans="1:32" ht="24" customHeight="1" x14ac:dyDescent="0.2">
      <c r="A3" s="11" t="s">
        <v>0</v>
      </c>
      <c r="B3" s="39" t="s">
        <v>138</v>
      </c>
      <c r="C3" s="12" t="s">
        <v>16</v>
      </c>
      <c r="D3" s="12" t="s">
        <v>5</v>
      </c>
      <c r="E3" s="12" t="s">
        <v>6</v>
      </c>
      <c r="F3" s="12" t="s">
        <v>7</v>
      </c>
      <c r="G3" s="12" t="s">
        <v>8</v>
      </c>
      <c r="H3" s="12" t="s">
        <v>190</v>
      </c>
      <c r="I3" s="108"/>
      <c r="J3" s="8" t="s">
        <v>10</v>
      </c>
      <c r="K3" s="59" t="s">
        <v>141</v>
      </c>
      <c r="L3" s="60" t="s">
        <v>153</v>
      </c>
      <c r="M3" s="8" t="s">
        <v>154</v>
      </c>
      <c r="N3" s="10" t="s">
        <v>4</v>
      </c>
      <c r="O3" s="52" t="s">
        <v>134</v>
      </c>
      <c r="P3" s="108"/>
      <c r="Q3" s="109"/>
      <c r="R3" s="108"/>
      <c r="S3" s="108"/>
      <c r="T3" s="4">
        <v>45392</v>
      </c>
      <c r="U3" s="4">
        <v>45379</v>
      </c>
      <c r="V3" s="108"/>
      <c r="W3" s="101" t="s">
        <v>155</v>
      </c>
      <c r="X3" s="108"/>
      <c r="Y3" s="108"/>
      <c r="Z3" s="105"/>
      <c r="AA3" s="106"/>
      <c r="AB3" s="106"/>
      <c r="AC3" s="107"/>
      <c r="AD3" s="65" t="s">
        <v>159</v>
      </c>
      <c r="AE3" s="66" t="s">
        <v>160</v>
      </c>
      <c r="AF3" s="65" t="s">
        <v>39</v>
      </c>
    </row>
    <row r="4" spans="1:32" ht="15" customHeight="1" x14ac:dyDescent="0.25">
      <c r="A4" s="16">
        <f>+Base!A2</f>
        <v>1</v>
      </c>
      <c r="B4" s="16" t="str">
        <f>+Base!B2</f>
        <v>202403250103A033</v>
      </c>
      <c r="C4" s="16" t="str">
        <f>+Base!F2</f>
        <v xml:space="preserve">Diaz </v>
      </c>
      <c r="D4" s="16" t="str">
        <f>+Base!G2</f>
        <v xml:space="preserve">Zuñiga </v>
      </c>
      <c r="E4" s="16" t="str">
        <f>+Base!H2</f>
        <v xml:space="preserve">Joel Alejandro </v>
      </c>
      <c r="F4" s="23" t="str">
        <f>+Base!D2</f>
        <v>18803188</v>
      </c>
      <c r="G4" s="23" t="str">
        <f>+Base!E2</f>
        <v>9</v>
      </c>
      <c r="H4" s="99">
        <f>+Base!Z2</f>
        <v>45376</v>
      </c>
      <c r="I4" s="44">
        <f>+Base!T2</f>
        <v>1595</v>
      </c>
      <c r="J4" s="84">
        <f>+Base!M2</f>
        <v>525</v>
      </c>
      <c r="K4" s="61">
        <f>+L4-J4-I4</f>
        <v>80</v>
      </c>
      <c r="L4" s="85">
        <f>+Base!L2</f>
        <v>2200</v>
      </c>
      <c r="M4" s="22">
        <v>0</v>
      </c>
      <c r="N4" s="18">
        <f>+Base!Q2</f>
        <v>300</v>
      </c>
      <c r="O4" s="24">
        <f>+Base!R2+1</f>
        <v>6</v>
      </c>
      <c r="P4" s="25">
        <f>+XIRR('Tabla desarrollo FX'!B3:MY3,'Tabla desarrollo FX'!$B$1:$MY$1)</f>
        <v>7.0972546935081482E-2</v>
      </c>
      <c r="Q4" s="33">
        <f>+Base!AA2</f>
        <v>45575</v>
      </c>
      <c r="R4" s="19">
        <f>+Base!AD2</f>
        <v>54523</v>
      </c>
      <c r="S4" s="19">
        <f>$T$3</f>
        <v>45392</v>
      </c>
      <c r="T4" s="35">
        <f>+NPV(V4,'Tabla desarrollo FX'!D3:MY3)</f>
        <v>1651.5339709051957</v>
      </c>
      <c r="U4" s="36">
        <f>+Base!AF2</f>
        <v>1647.6019123785247</v>
      </c>
      <c r="V4" s="103">
        <f>+Base!Y2</f>
        <v>5.7559072994648464E-3</v>
      </c>
      <c r="W4" s="61">
        <f>+Base!T2</f>
        <v>1595</v>
      </c>
      <c r="X4" s="20">
        <f>+Base!N2</f>
        <v>2325</v>
      </c>
      <c r="Y4" s="57">
        <f t="shared" ref="Y4:Y18" si="0">+U4/X4</f>
        <v>0.70864598381872035</v>
      </c>
      <c r="Z4" s="67">
        <f>+P4-Base!O2</f>
        <v>-4.3274530649185239E-3</v>
      </c>
      <c r="AA4" s="73">
        <f>+Base!U2</f>
        <v>11.988020000000001</v>
      </c>
      <c r="AB4" s="68">
        <f>+Base!AL2*100</f>
        <v>25.914524798335712</v>
      </c>
      <c r="AC4" s="69">
        <f>+Base!AM2*100</f>
        <v>32.83137599667009</v>
      </c>
      <c r="AD4" s="70" t="str">
        <f>+Base!AG2</f>
        <v>Calle 8 Sur Poniente 351,casa 351</v>
      </c>
      <c r="AE4" s="71" t="e">
        <f>+VLOOKUP(AF4,Comuna!A:B,2,0)</f>
        <v>#N/A</v>
      </c>
      <c r="AF4" s="72" t="str">
        <f>+Base!AI2</f>
        <v>Biobío</v>
      </c>
    </row>
    <row r="5" spans="1:32" ht="15" customHeight="1" x14ac:dyDescent="0.25">
      <c r="A5" s="16">
        <f>+Base!A3</f>
        <v>2</v>
      </c>
      <c r="B5" s="16" t="str">
        <f>+Base!B3</f>
        <v>202403260104A033</v>
      </c>
      <c r="C5" s="16" t="str">
        <f>+Base!F3</f>
        <v>Hultazo</v>
      </c>
      <c r="D5" s="16" t="str">
        <f>+Base!G3</f>
        <v>Novoa</v>
      </c>
      <c r="E5" s="16" t="str">
        <f>+Base!H3</f>
        <v>Daniela Del Carmen</v>
      </c>
      <c r="F5" s="23" t="str">
        <f>+Base!D3</f>
        <v>16265854</v>
      </c>
      <c r="G5" s="23" t="str">
        <f>+Base!E3</f>
        <v>9</v>
      </c>
      <c r="H5" s="99">
        <f>+Base!Z3</f>
        <v>45377</v>
      </c>
      <c r="I5" s="44">
        <f>+Base!T3</f>
        <v>1480.48</v>
      </c>
      <c r="J5" s="84">
        <f>+Base!M3</f>
        <v>550</v>
      </c>
      <c r="K5" s="61">
        <f t="shared" ref="K5:K18" si="1">+L5-J5-I5</f>
        <v>169.51999999999998</v>
      </c>
      <c r="L5" s="85">
        <f>+Base!L3</f>
        <v>2200</v>
      </c>
      <c r="M5" s="22">
        <v>1</v>
      </c>
      <c r="N5" s="18">
        <f>+Base!Q3</f>
        <v>360</v>
      </c>
      <c r="O5" s="24">
        <f>+Base!R3+1</f>
        <v>6</v>
      </c>
      <c r="P5" s="25">
        <f>+XIRR('Tabla desarrollo FX'!B4:MY4,'Tabla desarrollo FX'!$B$1:$MY$1)</f>
        <v>7.1001556515693662E-2</v>
      </c>
      <c r="Q5" s="33">
        <f>+Base!AA3</f>
        <v>45575</v>
      </c>
      <c r="R5" s="19">
        <f>+Base!AD3</f>
        <v>56349</v>
      </c>
      <c r="S5" s="19">
        <f t="shared" ref="S5:S23" si="2">$T$3</f>
        <v>45392</v>
      </c>
      <c r="T5" s="35">
        <f>+NPV(V5,'Tabla desarrollo FX'!D4:MY4)</f>
        <v>1539.1183916971243</v>
      </c>
      <c r="U5" s="36">
        <f>+Base!AF3</f>
        <v>1534.7210730811703</v>
      </c>
      <c r="V5" s="103">
        <f>+Base!Y3</f>
        <v>5.7559072994648464E-3</v>
      </c>
      <c r="W5" s="61">
        <f>+Base!T3</f>
        <v>1480.48</v>
      </c>
      <c r="X5" s="20">
        <f>+Base!N3</f>
        <v>2560</v>
      </c>
      <c r="Y5" s="57">
        <f t="shared" si="0"/>
        <v>0.5995004191723321</v>
      </c>
      <c r="Z5" s="67">
        <f>+P5-Base!O3</f>
        <v>-4.298443484306344E-3</v>
      </c>
      <c r="AA5" s="73">
        <f>+Base!U3</f>
        <v>10.483279</v>
      </c>
      <c r="AB5" s="68">
        <f>+Base!AL3*100</f>
        <v>17.374482766065714</v>
      </c>
      <c r="AC5" s="69">
        <f>+Base!AM3*100</f>
        <v>46.168658049605668</v>
      </c>
      <c r="AD5" s="70" t="str">
        <f>+Base!AG3</f>
        <v>ADRIANA GARCIA IBAÑEZ 2030, Edificio G,departamento 303</v>
      </c>
      <c r="AE5" s="71">
        <f>+VLOOKUP(AF5,Comuna!A:B,2,0)</f>
        <v>7401</v>
      </c>
      <c r="AF5" s="72" t="str">
        <f>+Base!AI3</f>
        <v>Linares</v>
      </c>
    </row>
    <row r="6" spans="1:32" ht="15" customHeight="1" x14ac:dyDescent="0.25">
      <c r="A6" s="16">
        <f>+Base!A4</f>
        <v>3</v>
      </c>
      <c r="B6" s="16" t="str">
        <f>+Base!B4</f>
        <v>202403250105A033</v>
      </c>
      <c r="C6" s="16" t="str">
        <f>+Base!F4</f>
        <v xml:space="preserve">Salazar </v>
      </c>
      <c r="D6" s="16" t="str">
        <f>+Base!G4</f>
        <v>Carvajal</v>
      </c>
      <c r="E6" s="16" t="str">
        <f>+Base!H4</f>
        <v xml:space="preserve">Nedier Graciela </v>
      </c>
      <c r="F6" s="23" t="str">
        <f>+Base!D4</f>
        <v>24585394</v>
      </c>
      <c r="G6" s="23" t="str">
        <f>+Base!E4</f>
        <v>7</v>
      </c>
      <c r="H6" s="99">
        <f>+Base!Z4</f>
        <v>45376</v>
      </c>
      <c r="I6" s="44">
        <f>+Base!T4</f>
        <v>863.96</v>
      </c>
      <c r="J6" s="84">
        <f>+Base!M4</f>
        <v>450</v>
      </c>
      <c r="K6" s="61">
        <f t="shared" si="1"/>
        <v>86.039999999999964</v>
      </c>
      <c r="L6" s="85">
        <f>+Base!L4</f>
        <v>1400</v>
      </c>
      <c r="M6" s="22">
        <v>2</v>
      </c>
      <c r="N6" s="18">
        <f>+Base!Q4</f>
        <v>312</v>
      </c>
      <c r="O6" s="24">
        <f>+Base!R4+1</f>
        <v>6</v>
      </c>
      <c r="P6" s="25">
        <f>+XIRR('Tabla desarrollo FX'!B5:MY5,'Tabla desarrollo FX'!$B$1:$MY$1)</f>
        <v>7.0979335904121407E-2</v>
      </c>
      <c r="Q6" s="33">
        <f>+Base!AA4</f>
        <v>45575</v>
      </c>
      <c r="R6" s="19">
        <f>+Base!AD4</f>
        <v>54888</v>
      </c>
      <c r="S6" s="19">
        <f t="shared" si="2"/>
        <v>45392</v>
      </c>
      <c r="T6" s="35">
        <f>+NPV(V6,'Tabla desarrollo FX'!D5:MY5)</f>
        <v>895.35700311260075</v>
      </c>
      <c r="U6" s="36">
        <f>+Base!AF4</f>
        <v>892.68740115450908</v>
      </c>
      <c r="V6" s="103">
        <f>+Base!Y4</f>
        <v>5.7559072994648464E-3</v>
      </c>
      <c r="W6" s="61">
        <f>+Base!T4</f>
        <v>863.96</v>
      </c>
      <c r="X6" s="20">
        <f>+Base!N4</f>
        <v>1400</v>
      </c>
      <c r="Y6" s="57">
        <f t="shared" si="0"/>
        <v>0.63763385796750649</v>
      </c>
      <c r="Z6" s="67">
        <f>+P6-Base!O4</f>
        <v>-4.3206640958785986E-3</v>
      </c>
      <c r="AA6" s="73">
        <f>+Base!U4</f>
        <v>6.4028080000000003</v>
      </c>
      <c r="AB6" s="68">
        <f>+Base!AL4*100</f>
        <v>34.565538981950127</v>
      </c>
      <c r="AC6" s="69">
        <f>+Base!AM4*100</f>
        <v>54.730716295674611</v>
      </c>
      <c r="AD6" s="70" t="str">
        <f>+Base!AG4</f>
        <v>Camino La Vara  02600, Torre 1,departamento 406</v>
      </c>
      <c r="AE6" s="71" t="e">
        <f>+VLOOKUP(AF6,Comuna!A:B,2,0)</f>
        <v>#N/A</v>
      </c>
      <c r="AF6" s="72" t="str">
        <f>+Base!AI4</f>
        <v>Maipo</v>
      </c>
    </row>
    <row r="7" spans="1:32" ht="15" customHeight="1" x14ac:dyDescent="0.25">
      <c r="A7" s="16">
        <f>+Base!A5</f>
        <v>4</v>
      </c>
      <c r="B7" s="16" t="str">
        <f>+Base!B5</f>
        <v>202403260108A033</v>
      </c>
      <c r="C7" s="16" t="str">
        <f>+Base!F5</f>
        <v>Vasquez</v>
      </c>
      <c r="D7" s="16" t="str">
        <f>+Base!G5</f>
        <v>Sanchez</v>
      </c>
      <c r="E7" s="16" t="str">
        <f>+Base!H5</f>
        <v>Bertha Ramona</v>
      </c>
      <c r="F7" s="23" t="str">
        <f>+Base!D5</f>
        <v>26537872</v>
      </c>
      <c r="G7" s="23" t="str">
        <f>+Base!E5</f>
        <v>2</v>
      </c>
      <c r="H7" s="99">
        <f>+Base!Z5</f>
        <v>45377</v>
      </c>
      <c r="I7" s="44">
        <f>+Base!T5</f>
        <v>1717</v>
      </c>
      <c r="J7" s="84">
        <f>+Base!M5</f>
        <v>475</v>
      </c>
      <c r="K7" s="61">
        <f t="shared" si="1"/>
        <v>108</v>
      </c>
      <c r="L7" s="85">
        <f>+Base!L5</f>
        <v>2300</v>
      </c>
      <c r="M7" s="22">
        <v>3</v>
      </c>
      <c r="N7" s="18">
        <f>+Base!Q5</f>
        <v>264</v>
      </c>
      <c r="O7" s="24">
        <f>+Base!R5+1</f>
        <v>6</v>
      </c>
      <c r="P7" s="25">
        <f>+XIRR('Tabla desarrollo FX'!B6:MY6,'Tabla desarrollo FX'!$B$1:$MY$1)</f>
        <v>7.0948073267936715E-2</v>
      </c>
      <c r="Q7" s="33">
        <f>+Base!AA5</f>
        <v>45575</v>
      </c>
      <c r="R7" s="19">
        <f>+Base!AD5</f>
        <v>53427</v>
      </c>
      <c r="S7" s="19">
        <f t="shared" si="2"/>
        <v>45392</v>
      </c>
      <c r="T7" s="35">
        <f>+NPV(V7,'Tabla desarrollo FX'!D6:MY6)</f>
        <v>1772.9011835115232</v>
      </c>
      <c r="U7" s="36">
        <f>+Base!AF5</f>
        <v>1768.2353146193509</v>
      </c>
      <c r="V7" s="103">
        <f>+Base!Y5</f>
        <v>5.7559072994648464E-3</v>
      </c>
      <c r="W7" s="61">
        <f>+Base!T5</f>
        <v>1717</v>
      </c>
      <c r="X7" s="20">
        <f>+Base!N5</f>
        <v>2300</v>
      </c>
      <c r="Y7" s="57">
        <f t="shared" si="0"/>
        <v>0.76879796287797864</v>
      </c>
      <c r="Z7" s="67">
        <f>+P7-Base!O5</f>
        <v>-4.3519267320632909E-3</v>
      </c>
      <c r="AA7" s="73">
        <f>+Base!U5</f>
        <v>13.571168</v>
      </c>
      <c r="AB7" s="68">
        <f>+Base!AL5*100</f>
        <v>36.411948690392379</v>
      </c>
      <c r="AC7" s="69">
        <f>+Base!AM5*100</f>
        <v>41.283350696716681</v>
      </c>
      <c r="AD7" s="70" t="str">
        <f>+Base!AG5</f>
        <v>Calle 38 Oriente  350, Torre 8,departamento 2804</v>
      </c>
      <c r="AE7" s="71">
        <f>+VLOOKUP(AF7,Comuna!A:B,2,0)</f>
        <v>7101</v>
      </c>
      <c r="AF7" s="72" t="str">
        <f>+Base!AI5</f>
        <v>Talca</v>
      </c>
    </row>
    <row r="8" spans="1:32" ht="15" customHeight="1" x14ac:dyDescent="0.25">
      <c r="A8" s="16">
        <f>+Base!A6</f>
        <v>5</v>
      </c>
      <c r="B8" s="16" t="str">
        <f>+Base!B6</f>
        <v>202403250112A033</v>
      </c>
      <c r="C8" s="16" t="str">
        <f>+Base!F6</f>
        <v xml:space="preserve">Huenchul </v>
      </c>
      <c r="D8" s="16" t="str">
        <f>+Base!G6</f>
        <v>Colihuinca</v>
      </c>
      <c r="E8" s="16" t="str">
        <f>+Base!H6</f>
        <v xml:space="preserve">César Antonio </v>
      </c>
      <c r="F8" s="23" t="str">
        <f>+Base!D6</f>
        <v>18188333</v>
      </c>
      <c r="G8" s="23" t="str">
        <f>+Base!E6</f>
        <v>2</v>
      </c>
      <c r="H8" s="99">
        <f>+Base!Z6</f>
        <v>45376</v>
      </c>
      <c r="I8" s="44">
        <f>+Base!T6</f>
        <v>1551.6</v>
      </c>
      <c r="J8" s="84">
        <f>+Base!M6</f>
        <v>375</v>
      </c>
      <c r="K8" s="61">
        <f t="shared" si="1"/>
        <v>143.40000000000009</v>
      </c>
      <c r="L8" s="85">
        <f>+Base!L6</f>
        <v>2070</v>
      </c>
      <c r="M8" s="22">
        <v>4</v>
      </c>
      <c r="N8" s="18">
        <f>+Base!Q6</f>
        <v>360</v>
      </c>
      <c r="O8" s="24">
        <f>+Base!R6+1</f>
        <v>6</v>
      </c>
      <c r="P8" s="25">
        <f>+XIRR('Tabla desarrollo FX'!B7:MY7,'Tabla desarrollo FX'!$B$1:$MY$1)</f>
        <v>7.1001556515693662E-2</v>
      </c>
      <c r="Q8" s="33">
        <f>+Base!AA6</f>
        <v>45575</v>
      </c>
      <c r="R8" s="19">
        <f>+Base!AD6</f>
        <v>56349</v>
      </c>
      <c r="S8" s="19">
        <f t="shared" si="2"/>
        <v>45392</v>
      </c>
      <c r="T8" s="35">
        <f>+NPV(V8,'Tabla desarrollo FX'!D7:MY7)</f>
        <v>1613.0553307444463</v>
      </c>
      <c r="U8" s="36">
        <f>+Base!AF6</f>
        <v>1609.4064692661752</v>
      </c>
      <c r="V8" s="103">
        <f>+Base!Y6</f>
        <v>5.7559072994648464E-3</v>
      </c>
      <c r="W8" s="61">
        <f>+Base!T6</f>
        <v>1551.6</v>
      </c>
      <c r="X8" s="20">
        <f>+Base!N6</f>
        <v>2400</v>
      </c>
      <c r="Y8" s="57">
        <f t="shared" si="0"/>
        <v>0.67058602886090635</v>
      </c>
      <c r="Z8" s="67">
        <f>+P8-Base!O6</f>
        <v>-4.298443484306344E-3</v>
      </c>
      <c r="AA8" s="73">
        <f>+Base!U6</f>
        <v>10.986879999999999</v>
      </c>
      <c r="AB8" s="68">
        <f>+Base!AL6*100</f>
        <v>40.025142858546026</v>
      </c>
      <c r="AC8" s="69">
        <f>+Base!AM6*100</f>
        <v>42.269567710593698</v>
      </c>
      <c r="AD8" s="70" t="str">
        <f>+Base!AG6</f>
        <v>Camino La Vara  02600, TORRE 2,departamento 412</v>
      </c>
      <c r="AE8" s="71" t="e">
        <f>+VLOOKUP(AF8,Comuna!A:B,2,0)</f>
        <v>#N/A</v>
      </c>
      <c r="AF8" s="72" t="str">
        <f>+Base!AI6</f>
        <v>Maipo</v>
      </c>
    </row>
    <row r="9" spans="1:32" ht="15" customHeight="1" x14ac:dyDescent="0.25">
      <c r="A9" s="16">
        <f>+Base!A7</f>
        <v>6</v>
      </c>
      <c r="B9" s="16" t="str">
        <f>+Base!B7</f>
        <v>202403260115A033</v>
      </c>
      <c r="C9" s="16" t="str">
        <f>+Base!F7</f>
        <v xml:space="preserve">Rojas </v>
      </c>
      <c r="D9" s="16" t="str">
        <f>+Base!G7</f>
        <v>Diaz</v>
      </c>
      <c r="E9" s="16" t="str">
        <f>+Base!H7</f>
        <v xml:space="preserve">Claudio Sebastian </v>
      </c>
      <c r="F9" s="23" t="str">
        <f>+Base!D7</f>
        <v>18250306</v>
      </c>
      <c r="G9" s="23" t="str">
        <f>+Base!E7</f>
        <v>1</v>
      </c>
      <c r="H9" s="99">
        <f>+Base!Z7</f>
        <v>45377</v>
      </c>
      <c r="I9" s="44">
        <f>+Base!T7</f>
        <v>1664.23</v>
      </c>
      <c r="J9" s="84">
        <f>+Base!M7</f>
        <v>700</v>
      </c>
      <c r="K9" s="61">
        <f t="shared" si="1"/>
        <v>335.77</v>
      </c>
      <c r="L9" s="85">
        <f>+Base!L7</f>
        <v>2700</v>
      </c>
      <c r="M9" s="22">
        <v>5</v>
      </c>
      <c r="N9" s="18">
        <f>+Base!Q7</f>
        <v>300</v>
      </c>
      <c r="O9" s="24">
        <f>+Base!R7+1</f>
        <v>6</v>
      </c>
      <c r="P9" s="25">
        <f>+XIRR('Tabla desarrollo FX'!B8:MY8,'Tabla desarrollo FX'!$B$1:$MY$1)</f>
        <v>7.0972546935081482E-2</v>
      </c>
      <c r="Q9" s="33">
        <f>+Base!AA7</f>
        <v>45575</v>
      </c>
      <c r="R9" s="19">
        <f>+Base!AD7</f>
        <v>54523</v>
      </c>
      <c r="S9" s="19">
        <f t="shared" si="2"/>
        <v>45392</v>
      </c>
      <c r="T9" s="35">
        <f>+NPV(V9,'Tabla desarrollo FX'!D8:MY8)</f>
        <v>1723.2178374195353</v>
      </c>
      <c r="U9" s="36">
        <f>+Base!AF7</f>
        <v>1719.0580822949839</v>
      </c>
      <c r="V9" s="103">
        <f>+Base!Y7</f>
        <v>5.7559072994648464E-3</v>
      </c>
      <c r="W9" s="61">
        <f>+Base!T7</f>
        <v>1664.23</v>
      </c>
      <c r="X9" s="20">
        <f>+Base!N7</f>
        <v>2700</v>
      </c>
      <c r="Y9" s="57">
        <f t="shared" si="0"/>
        <v>0.63668817862777183</v>
      </c>
      <c r="Z9" s="67">
        <f>+P9-Base!O7</f>
        <v>-4.3274530649185239E-3</v>
      </c>
      <c r="AA9" s="73">
        <f>+Base!U7</f>
        <v>12.508353</v>
      </c>
      <c r="AB9" s="68">
        <f>+Base!AL7*100</f>
        <v>16.448388849219846</v>
      </c>
      <c r="AC9" s="69">
        <f>+Base!AM7*100</f>
        <v>37.966624676468186</v>
      </c>
      <c r="AD9" s="70" t="str">
        <f>+Base!AG7</f>
        <v>Los Libertadores  4733, Edificio F,departamento 106</v>
      </c>
      <c r="AE9" s="71">
        <f>+VLOOKUP(AF9,Comuna!A:B,2,0)</f>
        <v>13101</v>
      </c>
      <c r="AF9" s="72" t="str">
        <f>+Base!AI7</f>
        <v>Santiago</v>
      </c>
    </row>
    <row r="10" spans="1:32" ht="15" customHeight="1" x14ac:dyDescent="0.25">
      <c r="A10" s="16">
        <f>+Base!A8</f>
        <v>7</v>
      </c>
      <c r="B10" s="16" t="str">
        <f>+Base!B8</f>
        <v>202403260117A033</v>
      </c>
      <c r="C10" s="16" t="str">
        <f>+Base!F8</f>
        <v>Lagos</v>
      </c>
      <c r="D10" s="16" t="str">
        <f>+Base!G8</f>
        <v>Muñoz</v>
      </c>
      <c r="E10" s="16" t="str">
        <f>+Base!H8</f>
        <v>Pablo Daniel</v>
      </c>
      <c r="F10" s="23" t="str">
        <f>+Base!D8</f>
        <v>17747816</v>
      </c>
      <c r="G10" s="23" t="str">
        <f>+Base!E8</f>
        <v>4</v>
      </c>
      <c r="H10" s="99">
        <f>+Base!Z8</f>
        <v>45377</v>
      </c>
      <c r="I10" s="44">
        <f>+Base!T8</f>
        <v>1630.9749999999999</v>
      </c>
      <c r="J10" s="84">
        <f>+Base!M8</f>
        <v>550</v>
      </c>
      <c r="K10" s="61">
        <f t="shared" si="1"/>
        <v>69.025000000000091</v>
      </c>
      <c r="L10" s="85">
        <f>+Base!L8</f>
        <v>2250</v>
      </c>
      <c r="M10" s="22">
        <v>6</v>
      </c>
      <c r="N10" s="18">
        <f>+Base!Q8</f>
        <v>360</v>
      </c>
      <c r="O10" s="24">
        <f>+Base!R8+1</f>
        <v>6</v>
      </c>
      <c r="P10" s="25">
        <f>+XIRR('Tabla desarrollo FX'!B9:MY9,'Tabla desarrollo FX'!$B$1:$MY$1)</f>
        <v>7.1001556515693662E-2</v>
      </c>
      <c r="Q10" s="33">
        <f>+Base!AA8</f>
        <v>45575</v>
      </c>
      <c r="R10" s="19">
        <f>+Base!AD8</f>
        <v>56349</v>
      </c>
      <c r="S10" s="19">
        <f t="shared" si="2"/>
        <v>45392</v>
      </c>
      <c r="T10" s="35">
        <f>+NPV(V10,'Tabla desarrollo FX'!D9:MY9)</f>
        <v>1695.5741351396553</v>
      </c>
      <c r="U10" s="36">
        <f>+Base!AF8</f>
        <v>1691.4151013084154</v>
      </c>
      <c r="V10" s="103">
        <f>+Base!Y8</f>
        <v>5.7559072994648464E-3</v>
      </c>
      <c r="W10" s="61">
        <f>+Base!T8</f>
        <v>1630.9749999999999</v>
      </c>
      <c r="X10" s="20">
        <f>+Base!N8</f>
        <v>2460</v>
      </c>
      <c r="Y10" s="57">
        <f t="shared" si="0"/>
        <v>0.68756711435301443</v>
      </c>
      <c r="Z10" s="67">
        <f>+P10-Base!O8</f>
        <v>-4.298443484306344E-3</v>
      </c>
      <c r="AA10" s="73">
        <f>+Base!U8</f>
        <v>11.548933999999999</v>
      </c>
      <c r="AB10" s="68">
        <f>+Base!AL8*100</f>
        <v>33.391403236517711</v>
      </c>
      <c r="AC10" s="69">
        <f>+Base!AM8*100</f>
        <v>49.056280508740144</v>
      </c>
      <c r="AD10" s="70" t="str">
        <f>+Base!AG8</f>
        <v>ADRIANA GARCIA IBAÑEZ 2030, Torre B,departamento 401</v>
      </c>
      <c r="AE10" s="71">
        <f>+VLOOKUP(AF10,Comuna!A:B,2,0)</f>
        <v>7401</v>
      </c>
      <c r="AF10" s="72" t="str">
        <f>+Base!AI8</f>
        <v>Linares</v>
      </c>
    </row>
    <row r="11" spans="1:32" ht="15" customHeight="1" x14ac:dyDescent="0.25">
      <c r="A11" s="16">
        <f>+Base!A9</f>
        <v>8</v>
      </c>
      <c r="B11" s="16" t="str">
        <f>+Base!B9</f>
        <v>202403220119A033</v>
      </c>
      <c r="C11" s="16" t="str">
        <f>+Base!F9</f>
        <v>Jaña</v>
      </c>
      <c r="D11" s="16" t="str">
        <f>+Base!G9</f>
        <v>Avila</v>
      </c>
      <c r="E11" s="16" t="str">
        <f>+Base!H9</f>
        <v>Francisco Javier</v>
      </c>
      <c r="F11" s="23" t="str">
        <f>+Base!D9</f>
        <v>17137105</v>
      </c>
      <c r="G11" s="23" t="str">
        <f>+Base!E9</f>
        <v>8</v>
      </c>
      <c r="H11" s="99">
        <f>+Base!Z9</f>
        <v>45373</v>
      </c>
      <c r="I11" s="44">
        <f>+Base!T9</f>
        <v>781.37</v>
      </c>
      <c r="J11" s="84">
        <f>+Base!M9</f>
        <v>400</v>
      </c>
      <c r="K11" s="61">
        <f t="shared" si="1"/>
        <v>218.63</v>
      </c>
      <c r="L11" s="85">
        <f>+Base!L9</f>
        <v>1400</v>
      </c>
      <c r="M11" s="22">
        <v>7</v>
      </c>
      <c r="N11" s="18">
        <f>+Base!Q9</f>
        <v>360</v>
      </c>
      <c r="O11" s="24">
        <f>+Base!R9+1</f>
        <v>6</v>
      </c>
      <c r="P11" s="25">
        <f>+XIRR('Tabla desarrollo FX'!B10:MY10,'Tabla desarrollo FX'!$B$1:$MY$1)</f>
        <v>7.1001556515693662E-2</v>
      </c>
      <c r="Q11" s="33">
        <f>+Base!AA9</f>
        <v>45575</v>
      </c>
      <c r="R11" s="19">
        <f>+Base!AD9</f>
        <v>56349</v>
      </c>
      <c r="S11" s="19">
        <f t="shared" si="2"/>
        <v>45392</v>
      </c>
      <c r="T11" s="35">
        <f>+NPV(V11,'Tabla desarrollo FX'!D10:MY10)</f>
        <v>812.31825528302966</v>
      </c>
      <c r="U11" s="36">
        <f>+Base!AF9</f>
        <v>809.82924735143922</v>
      </c>
      <c r="V11" s="103">
        <f>+Base!Y9</f>
        <v>5.7559072994648464E-3</v>
      </c>
      <c r="W11" s="61">
        <f>+Base!T9</f>
        <v>781.37</v>
      </c>
      <c r="X11" s="20">
        <f>+Base!N9</f>
        <v>1410</v>
      </c>
      <c r="Y11" s="57">
        <f t="shared" si="0"/>
        <v>0.57434698393719097</v>
      </c>
      <c r="Z11" s="67">
        <f>+P11-Base!O9</f>
        <v>-4.298443484306344E-3</v>
      </c>
      <c r="AA11" s="73">
        <f>+Base!U9</f>
        <v>5.5328809999999997</v>
      </c>
      <c r="AB11" s="68">
        <f>+Base!AL9*100</f>
        <v>38.354013936998335</v>
      </c>
      <c r="AC11" s="69">
        <f>+Base!AM9*100</f>
        <v>50.324471065490719</v>
      </c>
      <c r="AD11" s="70" t="str">
        <f>+Base!AG9</f>
        <v>Av. El Valle 199, Torre B,departamento 101</v>
      </c>
      <c r="AE11" s="71" t="e">
        <f>+VLOOKUP(AF11,Comuna!A:B,2,0)</f>
        <v>#N/A</v>
      </c>
      <c r="AF11" s="72" t="str">
        <f>+Base!AI9</f>
        <v>Cachapoal</v>
      </c>
    </row>
    <row r="12" spans="1:32" ht="15" customHeight="1" x14ac:dyDescent="0.25">
      <c r="A12" s="16">
        <f>+Base!A10</f>
        <v>9</v>
      </c>
      <c r="B12" s="16" t="str">
        <f>+Base!B10</f>
        <v>202403260120A033</v>
      </c>
      <c r="C12" s="16" t="str">
        <f>+Base!F10</f>
        <v xml:space="preserve">Oñate </v>
      </c>
      <c r="D12" s="16" t="str">
        <f>+Base!G10</f>
        <v xml:space="preserve">Muñoz </v>
      </c>
      <c r="E12" s="16" t="str">
        <f>+Base!H10</f>
        <v xml:space="preserve">Pablo Enrique </v>
      </c>
      <c r="F12" s="23" t="str">
        <f>+Base!D10</f>
        <v>16995140</v>
      </c>
      <c r="G12" s="23" t="str">
        <f>+Base!E10</f>
        <v>3</v>
      </c>
      <c r="H12" s="99">
        <f>+Base!Z10</f>
        <v>45377</v>
      </c>
      <c r="I12" s="44">
        <f>+Base!T10</f>
        <v>760</v>
      </c>
      <c r="J12" s="84">
        <f>+Base!M10</f>
        <v>600</v>
      </c>
      <c r="K12" s="61">
        <f t="shared" si="1"/>
        <v>40</v>
      </c>
      <c r="L12" s="85">
        <f>+Base!L10</f>
        <v>1400</v>
      </c>
      <c r="M12" s="22">
        <v>8</v>
      </c>
      <c r="N12" s="18">
        <f>+Base!Q10</f>
        <v>216</v>
      </c>
      <c r="O12" s="24">
        <f>+Base!R10+1</f>
        <v>6</v>
      </c>
      <c r="P12" s="25">
        <f>+XIRR('Tabla desarrollo FX'!B11:MY11,'Tabla desarrollo FX'!$B$1:$MY$1)</f>
        <v>7.090196907520295E-2</v>
      </c>
      <c r="Q12" s="33">
        <f>+Base!AA10</f>
        <v>45575</v>
      </c>
      <c r="R12" s="19">
        <f>+Base!AD10</f>
        <v>51966</v>
      </c>
      <c r="S12" s="19">
        <f t="shared" si="2"/>
        <v>45392</v>
      </c>
      <c r="T12" s="35">
        <f>+NPV(V12,'Tabla desarrollo FX'!D11:MY11)</f>
        <v>781.43863500200575</v>
      </c>
      <c r="U12" s="36">
        <f>+Base!AF10</f>
        <v>779.09590351176541</v>
      </c>
      <c r="V12" s="103">
        <f>+Base!Y10</f>
        <v>5.7559072994648464E-3</v>
      </c>
      <c r="W12" s="61">
        <f>+Base!T10</f>
        <v>760</v>
      </c>
      <c r="X12" s="20">
        <f>+Base!N10</f>
        <v>1600</v>
      </c>
      <c r="Y12" s="57">
        <f t="shared" si="0"/>
        <v>0.48693493969485341</v>
      </c>
      <c r="Z12" s="67">
        <f>+P12-Base!O10</f>
        <v>-4.3980309247970556E-3</v>
      </c>
      <c r="AA12" s="73">
        <f>+Base!U10</f>
        <v>6.593</v>
      </c>
      <c r="AB12" s="68">
        <f>+Base!AL10*100</f>
        <v>15.834569754268921</v>
      </c>
      <c r="AC12" s="69">
        <f>+Base!AM10*100</f>
        <v>40.708554051412072</v>
      </c>
      <c r="AD12" s="70" t="str">
        <f>+Base!AG10</f>
        <v>PROFESOR PASCUAL PEREIRA 1324,casa 1324</v>
      </c>
      <c r="AE12" s="71" t="e">
        <f>+VLOOKUP(AF12,Comuna!A:B,2,0)</f>
        <v>#N/A</v>
      </c>
      <c r="AF12" s="72" t="str">
        <f>+Base!AI10</f>
        <v>Biobío</v>
      </c>
    </row>
    <row r="13" spans="1:32" ht="15" customHeight="1" x14ac:dyDescent="0.25">
      <c r="A13" s="16">
        <f>+Base!A11</f>
        <v>10</v>
      </c>
      <c r="B13" s="16" t="str">
        <f>+Base!B11</f>
        <v>202403250121A033</v>
      </c>
      <c r="C13" s="16" t="str">
        <f>+Base!F11</f>
        <v>Aranguiz</v>
      </c>
      <c r="D13" s="16" t="str">
        <f>+Base!G11</f>
        <v>Arevalo</v>
      </c>
      <c r="E13" s="16" t="str">
        <f>+Base!H11</f>
        <v>Macarena Andrea Del Carmen</v>
      </c>
      <c r="F13" s="23" t="str">
        <f>+Base!D11</f>
        <v>18645373</v>
      </c>
      <c r="G13" s="23" t="str">
        <f>+Base!E11</f>
        <v>5</v>
      </c>
      <c r="H13" s="99">
        <f>+Base!Z11</f>
        <v>45376</v>
      </c>
      <c r="I13" s="44">
        <f>+Base!T11</f>
        <v>1672</v>
      </c>
      <c r="J13" s="84">
        <f>+Base!M11</f>
        <v>325</v>
      </c>
      <c r="K13" s="61">
        <f t="shared" si="1"/>
        <v>93</v>
      </c>
      <c r="L13" s="85">
        <f>+Base!L11</f>
        <v>2090</v>
      </c>
      <c r="M13" s="22">
        <v>9</v>
      </c>
      <c r="N13" s="18">
        <f>+Base!Q11</f>
        <v>360</v>
      </c>
      <c r="O13" s="24">
        <f>+Base!R11+1</f>
        <v>6</v>
      </c>
      <c r="P13" s="25">
        <f>+XIRR('Tabla desarrollo FX'!B12:MY12,'Tabla desarrollo FX'!$B$1:$MY$1)</f>
        <v>7.1001556515693662E-2</v>
      </c>
      <c r="Q13" s="33">
        <f>+Base!AA11</f>
        <v>45575</v>
      </c>
      <c r="R13" s="19">
        <f>+Base!AD11</f>
        <v>56349</v>
      </c>
      <c r="S13" s="19">
        <f t="shared" si="2"/>
        <v>45392</v>
      </c>
      <c r="T13" s="35">
        <f>+NPV(V13,'Tabla desarrollo FX'!D12:MY12)</f>
        <v>1738.224036469139</v>
      </c>
      <c r="U13" s="36">
        <f>+Base!AF11</f>
        <v>1733.8825502107045</v>
      </c>
      <c r="V13" s="103">
        <f>+Base!Y11</f>
        <v>5.7559072994648464E-3</v>
      </c>
      <c r="W13" s="61">
        <f>+Base!T11</f>
        <v>1672</v>
      </c>
      <c r="X13" s="20">
        <f>+Base!N11</f>
        <v>2200</v>
      </c>
      <c r="Y13" s="57">
        <f t="shared" si="0"/>
        <v>0.78812843191395654</v>
      </c>
      <c r="Z13" s="67">
        <f>+P13-Base!O11</f>
        <v>-4.298443484306344E-3</v>
      </c>
      <c r="AA13" s="73">
        <f>+Base!U11</f>
        <v>11.839432</v>
      </c>
      <c r="AB13" s="68">
        <f>+Base!AL11*100</f>
        <v>24.855130650535823</v>
      </c>
      <c r="AC13" s="69">
        <f>+Base!AM11*100</f>
        <v>39.68338444470325</v>
      </c>
      <c r="AD13" s="70" t="str">
        <f>+Base!AG11</f>
        <v>Av El Valle 199, Torre B,departamento 407</v>
      </c>
      <c r="AE13" s="71" t="e">
        <f>+VLOOKUP(AF13,Comuna!A:B,2,0)</f>
        <v>#N/A</v>
      </c>
      <c r="AF13" s="72" t="str">
        <f>+Base!AI11</f>
        <v>Cachapoal</v>
      </c>
    </row>
    <row r="14" spans="1:32" ht="15" customHeight="1" x14ac:dyDescent="0.25">
      <c r="A14" s="16">
        <f>+Base!A12</f>
        <v>11</v>
      </c>
      <c r="B14" s="16" t="str">
        <f>+Base!B12</f>
        <v>202403250123A033</v>
      </c>
      <c r="C14" s="16" t="str">
        <f>+Base!F12</f>
        <v>Moraga</v>
      </c>
      <c r="D14" s="16" t="str">
        <f>+Base!G12</f>
        <v>Carrasco</v>
      </c>
      <c r="E14" s="16" t="str">
        <f>+Base!H12</f>
        <v>Jenny Alejandra</v>
      </c>
      <c r="F14" s="23" t="str">
        <f>+Base!D12</f>
        <v>16681463</v>
      </c>
      <c r="G14" s="23" t="str">
        <f>+Base!E12</f>
        <v>4</v>
      </c>
      <c r="H14" s="99">
        <f>+Base!Z12</f>
        <v>45376</v>
      </c>
      <c r="I14" s="44">
        <f>+Base!T12</f>
        <v>877.78</v>
      </c>
      <c r="J14" s="84">
        <f>+Base!M12</f>
        <v>450</v>
      </c>
      <c r="K14" s="61">
        <f t="shared" si="1"/>
        <v>72.220000000000027</v>
      </c>
      <c r="L14" s="85">
        <f>+Base!L12</f>
        <v>1400</v>
      </c>
      <c r="M14" s="22">
        <v>10</v>
      </c>
      <c r="N14" s="18">
        <f>+Base!Q12</f>
        <v>240</v>
      </c>
      <c r="O14" s="24">
        <f>+Base!R12+1</f>
        <v>6</v>
      </c>
      <c r="P14" s="25">
        <f>+XIRR('Tabla desarrollo FX'!B13:MY13,'Tabla desarrollo FX'!$B$1:$MY$1)</f>
        <v>7.092765867710113E-2</v>
      </c>
      <c r="Q14" s="33">
        <f>+Base!AA12</f>
        <v>45575</v>
      </c>
      <c r="R14" s="19">
        <f>+Base!AD12</f>
        <v>52697</v>
      </c>
      <c r="S14" s="19">
        <f t="shared" si="2"/>
        <v>45392</v>
      </c>
      <c r="T14" s="35">
        <f>+NPV(V14,'Tabla desarrollo FX'!D13:MY13)</f>
        <v>904.51417612031389</v>
      </c>
      <c r="U14" s="36">
        <f>+Base!AF12</f>
        <v>902.65750548038943</v>
      </c>
      <c r="V14" s="103">
        <f>+Base!Y12</f>
        <v>5.7559072994648464E-3</v>
      </c>
      <c r="W14" s="61">
        <f>+Base!T12</f>
        <v>877.78</v>
      </c>
      <c r="X14" s="20">
        <f>+Base!N12</f>
        <v>1400</v>
      </c>
      <c r="Y14" s="57">
        <f t="shared" si="0"/>
        <v>0.64475536105742104</v>
      </c>
      <c r="Z14" s="67">
        <f>+P14-Base!O12</f>
        <v>-4.3723413228988761E-3</v>
      </c>
      <c r="AA14" s="73">
        <f>+Base!U12</f>
        <v>7.2364179999999996</v>
      </c>
      <c r="AB14" s="68">
        <f>+Base!AL12*100</f>
        <v>27.580802189222208</v>
      </c>
      <c r="AC14" s="69">
        <f>+Base!AM12*100</f>
        <v>28.908033806916393</v>
      </c>
      <c r="AD14" s="70" t="str">
        <f>+Base!AG12</f>
        <v>PASAJE DEMOFILA TORREALBA (PROFESORA)  1744,casa 1744</v>
      </c>
      <c r="AE14" s="71" t="e">
        <f>+VLOOKUP(AF14,Comuna!A:B,2,0)</f>
        <v>#N/A</v>
      </c>
      <c r="AF14" s="72" t="str">
        <f>+Base!AI12</f>
        <v>Cachapoal</v>
      </c>
    </row>
    <row r="15" spans="1:32" ht="15" customHeight="1" x14ac:dyDescent="0.25">
      <c r="A15" s="16">
        <f>+Base!A13</f>
        <v>12</v>
      </c>
      <c r="B15" s="16" t="str">
        <f>+Base!B13</f>
        <v>202403250125A033</v>
      </c>
      <c r="C15" s="16" t="str">
        <f>+Base!F13</f>
        <v xml:space="preserve">Pozo </v>
      </c>
      <c r="D15" s="16" t="str">
        <f>+Base!G13</f>
        <v>Salvatierra</v>
      </c>
      <c r="E15" s="16" t="str">
        <f>+Base!H13</f>
        <v xml:space="preserve">Eufronia </v>
      </c>
      <c r="F15" s="23" t="str">
        <f>+Base!D13</f>
        <v>24243822</v>
      </c>
      <c r="G15" s="23" t="str">
        <f>+Base!E13</f>
        <v>1</v>
      </c>
      <c r="H15" s="99">
        <f>+Base!Z13</f>
        <v>45376</v>
      </c>
      <c r="I15" s="44">
        <f>+Base!T13</f>
        <v>766.75</v>
      </c>
      <c r="J15" s="84">
        <f>+Base!M13</f>
        <v>737.5</v>
      </c>
      <c r="K15" s="61">
        <f t="shared" si="1"/>
        <v>195.75</v>
      </c>
      <c r="L15" s="85">
        <f>+Base!L13</f>
        <v>1700</v>
      </c>
      <c r="M15" s="22">
        <v>11</v>
      </c>
      <c r="N15" s="18">
        <f>+Base!Q13</f>
        <v>204</v>
      </c>
      <c r="O15" s="24">
        <f>+Base!R13+1</f>
        <v>6</v>
      </c>
      <c r="P15" s="25">
        <f>+XIRR('Tabla desarrollo FX'!B14:MY14,'Tabla desarrollo FX'!$B$1:$MY$1)</f>
        <v>7.0887038111686715E-2</v>
      </c>
      <c r="Q15" s="33">
        <f>+Base!AA13</f>
        <v>45575</v>
      </c>
      <c r="R15" s="19">
        <f>+Base!AD13</f>
        <v>51601</v>
      </c>
      <c r="S15" s="19">
        <f t="shared" si="2"/>
        <v>45392</v>
      </c>
      <c r="T15" s="35">
        <f>+NPV(V15,'Tabla desarrollo FX'!D14:MY14)</f>
        <v>787.48093687706933</v>
      </c>
      <c r="U15" s="36">
        <f>+Base!AF13</f>
        <v>785.3707352231653</v>
      </c>
      <c r="V15" s="103">
        <f>+Base!Y13</f>
        <v>5.7559072994648464E-3</v>
      </c>
      <c r="W15" s="61">
        <f>+Base!T13</f>
        <v>766.75</v>
      </c>
      <c r="X15" s="20">
        <f>+Base!N13</f>
        <v>1700</v>
      </c>
      <c r="Y15" s="57">
        <f t="shared" si="0"/>
        <v>0.46198278542539134</v>
      </c>
      <c r="Z15" s="67">
        <f>+P15-Base!O13</f>
        <v>-4.4129618883132909E-3</v>
      </c>
      <c r="AA15" s="73">
        <f>+Base!U13</f>
        <v>6.850911</v>
      </c>
      <c r="AB15" s="68">
        <f>+Base!AL13*100</f>
        <v>41.766991621651506</v>
      </c>
      <c r="AC15" s="69">
        <f>+Base!AM13*100</f>
        <v>44.378192071293192</v>
      </c>
      <c r="AD15" s="70" t="str">
        <f>+Base!AG13</f>
        <v>Los Libertadores  4733, Edificio F,departamento 808</v>
      </c>
      <c r="AE15" s="71">
        <f>+VLOOKUP(AF15,Comuna!A:B,2,0)</f>
        <v>13101</v>
      </c>
      <c r="AF15" s="72" t="str">
        <f>+Base!AI13</f>
        <v>Santiago</v>
      </c>
    </row>
    <row r="16" spans="1:32" ht="15" customHeight="1" x14ac:dyDescent="0.25">
      <c r="A16" s="16">
        <f>+Base!A14</f>
        <v>13</v>
      </c>
      <c r="B16" s="16" t="str">
        <f>+Base!B14</f>
        <v>202403270128A033</v>
      </c>
      <c r="C16" s="16" t="str">
        <f>+Base!F14</f>
        <v>Herrera</v>
      </c>
      <c r="D16" s="16" t="str">
        <f>+Base!G14</f>
        <v>Labarca</v>
      </c>
      <c r="E16" s="16" t="str">
        <f>+Base!H14</f>
        <v>Ester Lorena</v>
      </c>
      <c r="F16" s="23" t="str">
        <f>+Base!D14</f>
        <v>10745032</v>
      </c>
      <c r="G16" s="23" t="str">
        <f>+Base!E14</f>
        <v>7</v>
      </c>
      <c r="H16" s="99">
        <f>+Base!Z14</f>
        <v>45378</v>
      </c>
      <c r="I16" s="44">
        <f>+Base!T14</f>
        <v>717.96</v>
      </c>
      <c r="J16" s="84">
        <f>+Base!M14</f>
        <v>675</v>
      </c>
      <c r="K16" s="61">
        <f t="shared" si="1"/>
        <v>207.03999999999996</v>
      </c>
      <c r="L16" s="85">
        <f>+Base!L14</f>
        <v>1600</v>
      </c>
      <c r="M16" s="22">
        <v>12</v>
      </c>
      <c r="N16" s="18">
        <f>+Base!Q14</f>
        <v>240</v>
      </c>
      <c r="O16" s="24">
        <f>+Base!R14+1</f>
        <v>6</v>
      </c>
      <c r="P16" s="25">
        <f>+XIRR('Tabla desarrollo FX'!B15:MY15,'Tabla desarrollo FX'!$B$1:$MY$1)</f>
        <v>7.092765867710113E-2</v>
      </c>
      <c r="Q16" s="33">
        <f>+Base!AA14</f>
        <v>45575</v>
      </c>
      <c r="R16" s="19">
        <f>+Base!AD14</f>
        <v>52697</v>
      </c>
      <c r="S16" s="19">
        <f t="shared" si="2"/>
        <v>45392</v>
      </c>
      <c r="T16" s="35">
        <f>+NPV(V16,'Tabla desarrollo FX'!D15:MY15)</f>
        <v>739.82660843910162</v>
      </c>
      <c r="U16" s="36">
        <f>+Base!AF14</f>
        <v>738.08434014145394</v>
      </c>
      <c r="V16" s="103">
        <f>+Base!Y14</f>
        <v>5.7559072994648464E-3</v>
      </c>
      <c r="W16" s="61">
        <f>+Base!T14</f>
        <v>717.96</v>
      </c>
      <c r="X16" s="20">
        <f>+Base!N14</f>
        <v>1600</v>
      </c>
      <c r="Y16" s="57">
        <f t="shared" si="0"/>
        <v>0.46130271258840871</v>
      </c>
      <c r="Z16" s="67">
        <f>+P16-Base!O14</f>
        <v>-4.3723413228988761E-3</v>
      </c>
      <c r="AA16" s="73">
        <f>+Base!U14</f>
        <v>5.9188619999999998</v>
      </c>
      <c r="AB16" s="68">
        <f>+Base!AL14*100</f>
        <v>24.192368279380922</v>
      </c>
      <c r="AC16" s="69">
        <f>+Base!AM14*100</f>
        <v>28.928929245913288</v>
      </c>
      <c r="AD16" s="70" t="str">
        <f>+Base!AG14</f>
        <v>EMMA GOLDMAN  3456,casa 3456</v>
      </c>
      <c r="AE16" s="71" t="e">
        <f>+VLOOKUP(AF16,Comuna!A:B,2,0)</f>
        <v>#N/A</v>
      </c>
      <c r="AF16" s="72" t="str">
        <f>+Base!AI14</f>
        <v>Elqui</v>
      </c>
    </row>
    <row r="17" spans="1:32" ht="15" customHeight="1" x14ac:dyDescent="0.25">
      <c r="A17" s="16">
        <f>+Base!A15</f>
        <v>14</v>
      </c>
      <c r="B17" s="16" t="str">
        <f>+Base!B15</f>
        <v>202403250129A033</v>
      </c>
      <c r="C17" s="16" t="str">
        <f>+Base!F15</f>
        <v xml:space="preserve">Daza </v>
      </c>
      <c r="D17" s="16" t="str">
        <f>+Base!G15</f>
        <v xml:space="preserve">Contreras </v>
      </c>
      <c r="E17" s="16" t="str">
        <f>+Base!H15</f>
        <v xml:space="preserve">Jocelyn Magdalena </v>
      </c>
      <c r="F17" s="23" t="str">
        <f>+Base!D15</f>
        <v>18429503</v>
      </c>
      <c r="G17" s="23" t="str">
        <f>+Base!E15</f>
        <v>2</v>
      </c>
      <c r="H17" s="99">
        <f>+Base!Z15</f>
        <v>45376</v>
      </c>
      <c r="I17" s="44">
        <f>+Base!T15</f>
        <v>1645</v>
      </c>
      <c r="J17" s="84">
        <f>+Base!M15</f>
        <v>425</v>
      </c>
      <c r="K17" s="61">
        <f t="shared" si="1"/>
        <v>80</v>
      </c>
      <c r="L17" s="85">
        <f>+Base!L15</f>
        <v>2150</v>
      </c>
      <c r="M17" s="22">
        <v>13</v>
      </c>
      <c r="N17" s="18">
        <f>+Base!Q15</f>
        <v>360</v>
      </c>
      <c r="O17" s="24">
        <f>+Base!R15+1</f>
        <v>6</v>
      </c>
      <c r="P17" s="25">
        <f>+XIRR('Tabla desarrollo FX'!B16:MY16,'Tabla desarrollo FX'!$B$1:$MY$1)</f>
        <v>7.1001556515693662E-2</v>
      </c>
      <c r="Q17" s="33">
        <f>+Base!AA15</f>
        <v>45575</v>
      </c>
      <c r="R17" s="19">
        <f>+Base!AD15</f>
        <v>56349</v>
      </c>
      <c r="S17" s="19">
        <f t="shared" si="2"/>
        <v>45392</v>
      </c>
      <c r="T17" s="35">
        <f>+NPV(V17,'Tabla desarrollo FX'!D16:MY16)</f>
        <v>1710.1546291816587</v>
      </c>
      <c r="U17" s="36">
        <f>+Base!AF15</f>
        <v>1706.0590492057568</v>
      </c>
      <c r="V17" s="103">
        <f>+Base!Y15</f>
        <v>5.7559072994648464E-3</v>
      </c>
      <c r="W17" s="61">
        <f>+Base!T15</f>
        <v>1645</v>
      </c>
      <c r="X17" s="20">
        <f>+Base!N15</f>
        <v>2150</v>
      </c>
      <c r="Y17" s="57">
        <f t="shared" si="0"/>
        <v>0.79351583683988691</v>
      </c>
      <c r="Z17" s="67">
        <f>+P17-Base!O15</f>
        <v>-4.298443484306344E-3</v>
      </c>
      <c r="AA17" s="73">
        <f>+Base!U15</f>
        <v>11.648244999999999</v>
      </c>
      <c r="AB17" s="68">
        <f>+Base!AL15*100</f>
        <v>28.845392094673755</v>
      </c>
      <c r="AC17" s="69">
        <f>+Base!AM15*100</f>
        <v>43.027696122104956</v>
      </c>
      <c r="AD17" s="70" t="str">
        <f>+Base!AG15</f>
        <v>Camino Las Rosas 518, Edificio 12,departamento 52</v>
      </c>
      <c r="AE17" s="71" t="e">
        <f>+VLOOKUP(AF17,Comuna!A:B,2,0)</f>
        <v>#N/A</v>
      </c>
      <c r="AF17" s="72" t="str">
        <f>+Base!AI15</f>
        <v>Diguillín</v>
      </c>
    </row>
    <row r="18" spans="1:32" ht="15" customHeight="1" x14ac:dyDescent="0.25">
      <c r="A18" s="16">
        <f>+Base!A16</f>
        <v>15</v>
      </c>
      <c r="B18" s="16" t="str">
        <f>+Base!B16</f>
        <v>202403260131A033</v>
      </c>
      <c r="C18" s="16" t="str">
        <f>+Base!F16</f>
        <v>Carrasco</v>
      </c>
      <c r="D18" s="16" t="str">
        <f>+Base!G16</f>
        <v>Barrientos</v>
      </c>
      <c r="E18" s="16" t="str">
        <f>+Base!H16</f>
        <v>Cesar Antonio</v>
      </c>
      <c r="F18" s="23" t="str">
        <f>+Base!D16</f>
        <v>16415014</v>
      </c>
      <c r="G18" s="23" t="str">
        <f>+Base!E16</f>
        <v>3</v>
      </c>
      <c r="H18" s="99">
        <f>+Base!Z16</f>
        <v>45377</v>
      </c>
      <c r="I18" s="44">
        <f>+Base!T16</f>
        <v>1850</v>
      </c>
      <c r="J18" s="84">
        <f>+Base!M16</f>
        <v>600</v>
      </c>
      <c r="K18" s="61">
        <f t="shared" si="1"/>
        <v>150</v>
      </c>
      <c r="L18" s="85">
        <f>+Base!L16</f>
        <v>2600</v>
      </c>
      <c r="M18" s="22">
        <v>14</v>
      </c>
      <c r="N18" s="18">
        <f>+Base!Q16</f>
        <v>360</v>
      </c>
      <c r="O18" s="24">
        <f>+Base!R16+1</f>
        <v>6</v>
      </c>
      <c r="P18" s="25">
        <f>+XIRR('Tabla desarrollo FX'!B17:MY17,'Tabla desarrollo FX'!$B$1:$MY$1)</f>
        <v>7.1001556515693662E-2</v>
      </c>
      <c r="Q18" s="33">
        <f>+Base!AA16</f>
        <v>45575</v>
      </c>
      <c r="R18" s="19">
        <f>+Base!AD16</f>
        <v>56349</v>
      </c>
      <c r="S18" s="19">
        <f t="shared" si="2"/>
        <v>45392</v>
      </c>
      <c r="T18" s="35">
        <f>+NPV(V18,'Tabla desarrollo FX'!D17:MY17)</f>
        <v>1923.2742030310446</v>
      </c>
      <c r="U18" s="36">
        <f>+Base!AF16</f>
        <v>1918.4013413514626</v>
      </c>
      <c r="V18" s="103">
        <f>+Base!Y16</f>
        <v>5.7559072994648464E-3</v>
      </c>
      <c r="W18" s="61">
        <f>+Base!T16</f>
        <v>1850</v>
      </c>
      <c r="X18" s="20">
        <f>+Base!N16</f>
        <v>2600</v>
      </c>
      <c r="Y18" s="57">
        <f t="shared" si="0"/>
        <v>0.73784666975056257</v>
      </c>
      <c r="Z18" s="67">
        <f>+P18-Base!O16</f>
        <v>-4.298443484306344E-3</v>
      </c>
      <c r="AA18" s="73">
        <f>+Base!U16</f>
        <v>13.09985</v>
      </c>
      <c r="AB18" s="68">
        <f>+Base!AL16*100</f>
        <v>37.495020966478329</v>
      </c>
      <c r="AC18" s="69">
        <f>+Base!AM16*100</f>
        <v>43.965437972128463</v>
      </c>
      <c r="AD18" s="70" t="str">
        <f>+Base!AG16</f>
        <v>STELLA DIAZ VARIN 1901,departamento 1901</v>
      </c>
      <c r="AE18" s="71" t="e">
        <f>+VLOOKUP(AF18,Comuna!A:B,2,0)</f>
        <v>#N/A</v>
      </c>
      <c r="AF18" s="72" t="str">
        <f>+Base!AI16</f>
        <v>Elqui</v>
      </c>
    </row>
    <row r="19" spans="1:32" ht="15.75" x14ac:dyDescent="0.25">
      <c r="A19" s="16">
        <f>+Base!A17</f>
        <v>16</v>
      </c>
      <c r="B19" s="16" t="str">
        <f>+Base!B17</f>
        <v>202403250132A033</v>
      </c>
      <c r="C19" s="16" t="str">
        <f>+Base!F17</f>
        <v xml:space="preserve">Yañez </v>
      </c>
      <c r="D19" s="16" t="str">
        <f>+Base!G17</f>
        <v xml:space="preserve">Gallardo </v>
      </c>
      <c r="E19" s="16" t="str">
        <f>+Base!H17</f>
        <v xml:space="preserve">Angelica Isabel </v>
      </c>
      <c r="F19" s="23" t="str">
        <f>+Base!D17</f>
        <v>19796943</v>
      </c>
      <c r="G19" s="23" t="str">
        <f>+Base!E17</f>
        <v>1</v>
      </c>
      <c r="H19" s="99">
        <f>+Base!Z17</f>
        <v>45376</v>
      </c>
      <c r="I19" s="44">
        <f>+Base!T17</f>
        <v>1645</v>
      </c>
      <c r="J19" s="84">
        <f>+Base!M17</f>
        <v>425</v>
      </c>
      <c r="K19" s="61">
        <f t="shared" ref="K19:K23" si="3">+L19-J19-I19</f>
        <v>80</v>
      </c>
      <c r="L19" s="85">
        <f>+Base!L17</f>
        <v>2150</v>
      </c>
      <c r="M19" s="22">
        <v>15</v>
      </c>
      <c r="N19" s="18">
        <f>+Base!Q17</f>
        <v>360</v>
      </c>
      <c r="O19" s="24">
        <f>+Base!R17+1</f>
        <v>6</v>
      </c>
      <c r="P19" s="25">
        <f>+XIRR('Tabla desarrollo FX'!B18:MY18,'Tabla desarrollo FX'!$B$1:$MY$1)</f>
        <v>7.1001556515693662E-2</v>
      </c>
      <c r="Q19" s="33">
        <f>+Base!AA17</f>
        <v>45575</v>
      </c>
      <c r="R19" s="19">
        <f>+Base!AD17</f>
        <v>56349</v>
      </c>
      <c r="S19" s="19">
        <f t="shared" si="2"/>
        <v>45392</v>
      </c>
      <c r="T19" s="35">
        <f>+NPV(V19,'Tabla desarrollo FX'!D18:MY18)</f>
        <v>1710.1546291816587</v>
      </c>
      <c r="U19" s="36">
        <f>+Base!AF17</f>
        <v>1706.0590492057568</v>
      </c>
      <c r="V19" s="103">
        <f>+Base!Y17</f>
        <v>5.7559072994648464E-3</v>
      </c>
      <c r="W19" s="61">
        <f>+Base!T17</f>
        <v>1645</v>
      </c>
      <c r="X19" s="20">
        <f>+Base!N17</f>
        <v>2150</v>
      </c>
      <c r="Y19" s="57">
        <f t="shared" ref="Y19:Y23" si="4">+U19/X19</f>
        <v>0.79351583683988691</v>
      </c>
      <c r="Z19" s="67">
        <f>+P19-Base!O17</f>
        <v>-4.298443484306344E-3</v>
      </c>
      <c r="AA19" s="73">
        <f>+Base!U17</f>
        <v>11.648244999999999</v>
      </c>
      <c r="AB19" s="68">
        <f>+Base!AL17*100</f>
        <v>24.543004296744144</v>
      </c>
      <c r="AC19" s="69">
        <f>+Base!AM17*100</f>
        <v>30.375180634737564</v>
      </c>
      <c r="AD19" s="70" t="str">
        <f>+Base!AG17</f>
        <v>Camino Las Rosas 518, Edificio 14,departamento 54</v>
      </c>
      <c r="AE19" s="71" t="e">
        <f>+VLOOKUP(AF19,Comuna!A:B,2,0)</f>
        <v>#N/A</v>
      </c>
      <c r="AF19" s="72" t="str">
        <f>+Base!AI17</f>
        <v>Diguillín</v>
      </c>
    </row>
    <row r="20" spans="1:32" ht="15.75" x14ac:dyDescent="0.25">
      <c r="A20" s="16">
        <f>+Base!A18</f>
        <v>17</v>
      </c>
      <c r="B20" s="16" t="str">
        <f>+Base!B18</f>
        <v>202403260133A033</v>
      </c>
      <c r="C20" s="16" t="str">
        <f>+Base!F18</f>
        <v>Torres</v>
      </c>
      <c r="D20" s="16" t="str">
        <f>+Base!G18</f>
        <v>Romero</v>
      </c>
      <c r="E20" s="16" t="str">
        <f>+Base!H18</f>
        <v>Evelyn Andrea</v>
      </c>
      <c r="F20" s="23" t="str">
        <f>+Base!D18</f>
        <v>18475742</v>
      </c>
      <c r="G20" s="23" t="str">
        <f>+Base!E18</f>
        <v>7</v>
      </c>
      <c r="H20" s="99">
        <f>+Base!Z18</f>
        <v>45377</v>
      </c>
      <c r="I20" s="44">
        <f>+Base!T18</f>
        <v>1550.9749999999999</v>
      </c>
      <c r="J20" s="84">
        <f>+Base!M18</f>
        <v>550</v>
      </c>
      <c r="K20" s="61">
        <f t="shared" si="3"/>
        <v>149.02500000000009</v>
      </c>
      <c r="L20" s="85">
        <f>+Base!L18</f>
        <v>2250</v>
      </c>
      <c r="M20" s="22">
        <v>16</v>
      </c>
      <c r="N20" s="18">
        <f>+Base!Q18</f>
        <v>360</v>
      </c>
      <c r="O20" s="24">
        <f>+Base!R18+1</f>
        <v>6</v>
      </c>
      <c r="P20" s="25">
        <f>+XIRR('Tabla desarrollo FX'!B19:MY19,'Tabla desarrollo FX'!$B$1:$MY$1)</f>
        <v>7.1001556515693662E-2</v>
      </c>
      <c r="Q20" s="33">
        <f>+Base!AA18</f>
        <v>45575</v>
      </c>
      <c r="R20" s="19">
        <f>+Base!AD18</f>
        <v>56349</v>
      </c>
      <c r="S20" s="19">
        <f t="shared" si="2"/>
        <v>45392</v>
      </c>
      <c r="T20" s="35">
        <f>+NPV(V20,'Tabla desarrollo FX'!D19:MY19)</f>
        <v>1612.4055209545306</v>
      </c>
      <c r="U20" s="36">
        <f>+Base!AF18</f>
        <v>1607.9420744764407</v>
      </c>
      <c r="V20" s="103">
        <f>+Base!Y18</f>
        <v>5.7559072994648464E-3</v>
      </c>
      <c r="W20" s="61">
        <f>+Base!T18</f>
        <v>1550.9749999999999</v>
      </c>
      <c r="X20" s="20">
        <f>+Base!N18</f>
        <v>2540</v>
      </c>
      <c r="Y20" s="57">
        <f t="shared" si="4"/>
        <v>0.63304806081749632</v>
      </c>
      <c r="Z20" s="67">
        <f>+P20-Base!O18</f>
        <v>-4.298443484306344E-3</v>
      </c>
      <c r="AA20" s="73">
        <f>+Base!U18</f>
        <v>10.982454000000001</v>
      </c>
      <c r="AB20" s="68">
        <f>+Base!AL18*100</f>
        <v>23.529819312454507</v>
      </c>
      <c r="AC20" s="69">
        <f>+Base!AM18*100</f>
        <v>40.352778220729455</v>
      </c>
      <c r="AD20" s="70" t="str">
        <f>+Base!AG18</f>
        <v>Calle Adriana García Ibáñez  2030, Torre F,departamento 202</v>
      </c>
      <c r="AE20" s="71">
        <f>+VLOOKUP(AF20,Comuna!A:B,2,0)</f>
        <v>7401</v>
      </c>
      <c r="AF20" s="72" t="str">
        <f>+Base!AI18</f>
        <v>Linares</v>
      </c>
    </row>
    <row r="21" spans="1:32" ht="15.75" x14ac:dyDescent="0.25">
      <c r="A21" s="16">
        <f>+Base!A19</f>
        <v>18</v>
      </c>
      <c r="B21" s="16" t="str">
        <f>+Base!B19</f>
        <v>202403250134A033</v>
      </c>
      <c r="C21" s="16" t="str">
        <f>+Base!F19</f>
        <v>Nuñez</v>
      </c>
      <c r="D21" s="16" t="str">
        <f>+Base!G19</f>
        <v>Brito</v>
      </c>
      <c r="E21" s="16" t="str">
        <f>+Base!H19</f>
        <v>Fernanda Angelica</v>
      </c>
      <c r="F21" s="23" t="str">
        <f>+Base!D19</f>
        <v>14204102</v>
      </c>
      <c r="G21" s="23" t="str">
        <f>+Base!E19</f>
        <v>2</v>
      </c>
      <c r="H21" s="99">
        <f>+Base!Z19</f>
        <v>45376</v>
      </c>
      <c r="I21" s="44">
        <f>+Base!T19</f>
        <v>912.4</v>
      </c>
      <c r="J21" s="84">
        <f>+Base!M19</f>
        <v>400</v>
      </c>
      <c r="K21" s="61">
        <f t="shared" si="3"/>
        <v>87.600000000000023</v>
      </c>
      <c r="L21" s="85">
        <f>+Base!L19</f>
        <v>1400</v>
      </c>
      <c r="M21" s="22">
        <v>17</v>
      </c>
      <c r="N21" s="18">
        <f>+Base!Q19</f>
        <v>288</v>
      </c>
      <c r="O21" s="24">
        <f>+Base!R19+1</f>
        <v>6</v>
      </c>
      <c r="P21" s="25">
        <f>+XIRR('Tabla desarrollo FX'!B20:MY20,'Tabla desarrollo FX'!$B$1:$MY$1)</f>
        <v>7.0965245366096524E-2</v>
      </c>
      <c r="Q21" s="33">
        <f>+Base!AA19</f>
        <v>45575</v>
      </c>
      <c r="R21" s="19">
        <f>+Base!AD19</f>
        <v>54158</v>
      </c>
      <c r="S21" s="19">
        <f t="shared" si="2"/>
        <v>45392</v>
      </c>
      <c r="T21" s="35">
        <f>+NPV(V21,'Tabla desarrollo FX'!D20:MY20)</f>
        <v>943.88952857264826</v>
      </c>
      <c r="U21" s="36">
        <f>+Base!AF19</f>
        <v>941.02321729931782</v>
      </c>
      <c r="V21" s="103">
        <f>+Base!Y19</f>
        <v>5.7559072994648464E-3</v>
      </c>
      <c r="W21" s="61">
        <f>+Base!T19</f>
        <v>912.4</v>
      </c>
      <c r="X21" s="20">
        <f>+Base!N19</f>
        <v>1410</v>
      </c>
      <c r="Y21" s="57">
        <f t="shared" si="4"/>
        <v>0.66739235269455166</v>
      </c>
      <c r="Z21" s="67">
        <f>+P21-Base!O19</f>
        <v>-4.3347546339034815E-3</v>
      </c>
      <c r="AA21" s="73">
        <f>+Base!U19</f>
        <v>6.9634369999999999</v>
      </c>
      <c r="AB21" s="68">
        <f>+Base!AL19*100</f>
        <v>26.594348476290676</v>
      </c>
      <c r="AC21" s="69">
        <f>+Base!AM19*100</f>
        <v>38.932644949335454</v>
      </c>
      <c r="AD21" s="70" t="str">
        <f>+Base!AG19</f>
        <v>Avenida El Valle 199, Torre C,departamento 701</v>
      </c>
      <c r="AE21" s="71" t="e">
        <f>+VLOOKUP(AF21,Comuna!A:B,2,0)</f>
        <v>#N/A</v>
      </c>
      <c r="AF21" s="72" t="str">
        <f>+Base!AI19</f>
        <v>Cachapoal</v>
      </c>
    </row>
    <row r="22" spans="1:32" ht="15.75" x14ac:dyDescent="0.25">
      <c r="A22" s="16">
        <f>+Base!A20</f>
        <v>19</v>
      </c>
      <c r="B22" s="16" t="str">
        <f>+Base!B20</f>
        <v>202403250135A033</v>
      </c>
      <c r="C22" s="16" t="str">
        <f>+Base!F20</f>
        <v>Cardenas</v>
      </c>
      <c r="D22" s="16" t="str">
        <f>+Base!G20</f>
        <v>Mardones</v>
      </c>
      <c r="E22" s="16" t="str">
        <f>+Base!H20</f>
        <v>Katherine Magdalena</v>
      </c>
      <c r="F22" s="23" t="str">
        <f>+Base!D20</f>
        <v>13219684</v>
      </c>
      <c r="G22" s="23" t="str">
        <f>+Base!E20</f>
        <v>2</v>
      </c>
      <c r="H22" s="99">
        <f>+Base!Z20</f>
        <v>45376</v>
      </c>
      <c r="I22" s="44">
        <f>+Base!T20</f>
        <v>1656</v>
      </c>
      <c r="J22" s="84">
        <f>+Base!M20</f>
        <v>325</v>
      </c>
      <c r="K22" s="61">
        <f t="shared" si="3"/>
        <v>89</v>
      </c>
      <c r="L22" s="85">
        <f>+Base!L20</f>
        <v>2070</v>
      </c>
      <c r="M22" s="22">
        <v>18</v>
      </c>
      <c r="N22" s="18">
        <f>+Base!Q20</f>
        <v>360</v>
      </c>
      <c r="O22" s="24">
        <f>+Base!R20+1</f>
        <v>6</v>
      </c>
      <c r="P22" s="25">
        <f>+XIRR('Tabla desarrollo FX'!B21:MY21,'Tabla desarrollo FX'!$B$1:$MY$1)</f>
        <v>7.1001556515693662E-2</v>
      </c>
      <c r="Q22" s="33">
        <f>+Base!AA20</f>
        <v>45575</v>
      </c>
      <c r="R22" s="19">
        <f>+Base!AD20</f>
        <v>56349</v>
      </c>
      <c r="S22" s="19">
        <f t="shared" si="2"/>
        <v>45392</v>
      </c>
      <c r="T22" s="35">
        <f>+NPV(V22,'Tabla desarrollo FX'!D21:MY21)</f>
        <v>1721.5903136321158</v>
      </c>
      <c r="U22" s="36">
        <f>+Base!AF20</f>
        <v>1717.7742075236295</v>
      </c>
      <c r="V22" s="103">
        <f>+Base!Y20</f>
        <v>5.7559072994648464E-3</v>
      </c>
      <c r="W22" s="61">
        <f>+Base!T20</f>
        <v>1656</v>
      </c>
      <c r="X22" s="20">
        <f>+Base!N20</f>
        <v>2200</v>
      </c>
      <c r="Y22" s="57">
        <f t="shared" si="4"/>
        <v>0.78080645796528614</v>
      </c>
      <c r="Z22" s="67">
        <f>+P22-Base!O20</f>
        <v>-4.298443484306344E-3</v>
      </c>
      <c r="AA22" s="73">
        <f>+Base!U20</f>
        <v>11.726136</v>
      </c>
      <c r="AB22" s="68">
        <f>+Base!AL20*100</f>
        <v>18.073503976315294</v>
      </c>
      <c r="AC22" s="69">
        <f>+Base!AM20*100</f>
        <v>27.390951809260507</v>
      </c>
      <c r="AD22" s="70" t="str">
        <f>+Base!AG20</f>
        <v xml:space="preserve"> Avenida El Valle  199, Torre A,departamento 303</v>
      </c>
      <c r="AE22" s="71" t="e">
        <f>+VLOOKUP(AF22,Comuna!A:B,2,0)</f>
        <v>#N/A</v>
      </c>
      <c r="AF22" s="72" t="str">
        <f>+Base!AI20</f>
        <v>Cachapoal</v>
      </c>
    </row>
    <row r="23" spans="1:32" ht="15.75" x14ac:dyDescent="0.25">
      <c r="A23" s="16">
        <f>+Base!A21</f>
        <v>20</v>
      </c>
      <c r="B23" s="16" t="str">
        <f>+Base!B21</f>
        <v>202403250138A033</v>
      </c>
      <c r="C23" s="16" t="str">
        <f>+Base!F21</f>
        <v>Rivera</v>
      </c>
      <c r="D23" s="16" t="str">
        <f>+Base!G21</f>
        <v>De Carreño</v>
      </c>
      <c r="E23" s="16" t="str">
        <f>+Base!H21</f>
        <v>Rosmery Josefina</v>
      </c>
      <c r="F23" s="23" t="str">
        <f>+Base!D21</f>
        <v>27097423</v>
      </c>
      <c r="G23" s="23" t="str">
        <f>+Base!E21</f>
        <v>6</v>
      </c>
      <c r="H23" s="99">
        <f>+Base!Z21</f>
        <v>45376</v>
      </c>
      <c r="I23" s="44">
        <f>+Base!T21</f>
        <v>1860</v>
      </c>
      <c r="J23" s="84">
        <f>+Base!M21</f>
        <v>700</v>
      </c>
      <c r="K23" s="61">
        <f t="shared" si="3"/>
        <v>240</v>
      </c>
      <c r="L23" s="85">
        <f>+Base!L21</f>
        <v>2800</v>
      </c>
      <c r="M23" s="22">
        <v>19</v>
      </c>
      <c r="N23" s="18">
        <f>+Base!Q21</f>
        <v>360</v>
      </c>
      <c r="O23" s="24">
        <f>+Base!R21+1</f>
        <v>6</v>
      </c>
      <c r="P23" s="25">
        <f>+XIRR('Tabla desarrollo FX'!B22:MY22,'Tabla desarrollo FX'!$B$1:$MY$1)</f>
        <v>7.1001556515693662E-2</v>
      </c>
      <c r="Q23" s="33">
        <f>+Base!AA21</f>
        <v>45575</v>
      </c>
      <c r="R23" s="19">
        <f>+Base!AD21</f>
        <v>56349</v>
      </c>
      <c r="S23" s="19">
        <f t="shared" si="2"/>
        <v>45392</v>
      </c>
      <c r="T23" s="35">
        <f>+NPV(V23,'Tabla desarrollo FX'!D22:MY22)</f>
        <v>1933.573423663732</v>
      </c>
      <c r="U23" s="36">
        <f>+Base!AF21</f>
        <v>1928.6521048796014</v>
      </c>
      <c r="V23" s="103">
        <f>+Base!Y21</f>
        <v>5.7559072994648464E-3</v>
      </c>
      <c r="W23" s="61">
        <f>+Base!T21</f>
        <v>1860</v>
      </c>
      <c r="X23" s="20">
        <f>+Base!N21</f>
        <v>2800</v>
      </c>
      <c r="Y23" s="57">
        <f t="shared" si="4"/>
        <v>0.68880432317128626</v>
      </c>
      <c r="Z23" s="67">
        <f>+P23-Base!O21</f>
        <v>-4.298443484306344E-3</v>
      </c>
      <c r="AA23" s="73">
        <f>+Base!U21</f>
        <v>13.17</v>
      </c>
      <c r="AB23" s="68">
        <f>+Base!AL21*100</f>
        <v>17.733579809700817</v>
      </c>
      <c r="AC23" s="69">
        <f>+Base!AM21*100</f>
        <v>21.092959051927078</v>
      </c>
      <c r="AD23" s="70" t="str">
        <f>+Base!AG21</f>
        <v>Los Libertadores 4733, Edificio H</v>
      </c>
      <c r="AE23" s="71">
        <f>+VLOOKUP(AF23,Comuna!A:B,2,0)</f>
        <v>13101</v>
      </c>
      <c r="AF23" s="72" t="str">
        <f>+Base!AI21</f>
        <v>Santiago</v>
      </c>
    </row>
  </sheetData>
  <autoFilter ref="A3:BFW18" xr:uid="{00000000-0009-0000-0000-000000000000}"/>
  <mergeCells count="12">
    <mergeCell ref="X2:X3"/>
    <mergeCell ref="I2:I3"/>
    <mergeCell ref="P2:P3"/>
    <mergeCell ref="Q2:Q3"/>
    <mergeCell ref="R2:R3"/>
    <mergeCell ref="S2:S3"/>
    <mergeCell ref="V2:V3"/>
    <mergeCell ref="Z2:Z3"/>
    <mergeCell ref="AA2:AA3"/>
    <mergeCell ref="AB2:AB3"/>
    <mergeCell ref="AC2:AC3"/>
    <mergeCell ref="Y2:Y3"/>
  </mergeCells>
  <phoneticPr fontId="23" type="noConversion"/>
  <pageMargins left="0.31496062992125984" right="0.19685039370078741" top="0.74803149606299213" bottom="0.74803149606299213" header="0.31496062992125984" footer="0.31496062992125984"/>
  <pageSetup scale="45" orientation="landscape" horizontalDpi="300" verticalDpi="300"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582A0-AC58-4687-AA48-54828DABF785}">
  <dimension ref="A1:AF23"/>
  <sheetViews>
    <sheetView workbookViewId="0">
      <selection activeCell="N10" sqref="N10"/>
    </sheetView>
  </sheetViews>
  <sheetFormatPr defaultColWidth="11.42578125" defaultRowHeight="12.75" x14ac:dyDescent="0.2"/>
  <cols>
    <col min="1" max="1" width="8" style="78" bestFit="1" customWidth="1"/>
    <col min="2" max="2" width="17.28515625" style="78" bestFit="1" customWidth="1"/>
    <col min="3" max="3" width="19.7109375" style="78" bestFit="1" customWidth="1"/>
    <col min="4" max="4" width="20.28515625" style="78" bestFit="1" customWidth="1"/>
    <col min="5" max="5" width="19.42578125" style="78" bestFit="1" customWidth="1"/>
    <col min="6" max="6" width="13" style="78" customWidth="1"/>
    <col min="7" max="7" width="3.85546875" style="78" customWidth="1"/>
    <col min="8" max="8" width="14.85546875" style="78" bestFit="1" customWidth="1"/>
    <col min="9" max="13" width="12.7109375" style="78" customWidth="1"/>
    <col min="14" max="14" width="10" style="1" customWidth="1"/>
    <col min="15" max="15" width="27.140625" style="53" bestFit="1" customWidth="1"/>
    <col min="16" max="16" width="11.140625" style="78" customWidth="1"/>
    <col min="17" max="17" width="14.140625" style="34" bestFit="1" customWidth="1"/>
    <col min="18" max="18" width="11.42578125" style="78" customWidth="1"/>
    <col min="19" max="19" width="12.28515625" style="78" customWidth="1"/>
    <col min="20" max="20" width="17" style="78" customWidth="1"/>
    <col min="21" max="21" width="18.7109375" style="78" customWidth="1"/>
    <col min="22" max="22" width="11.140625" style="78" customWidth="1"/>
    <col min="23" max="23" width="11.140625" style="40" customWidth="1"/>
    <col min="24" max="24" width="11.42578125" style="6"/>
    <col min="25" max="25" width="13" style="6" customWidth="1"/>
    <col min="26" max="26" width="12.42578125" style="62" customWidth="1"/>
    <col min="27" max="27" width="15.140625" style="63" customWidth="1"/>
    <col min="28" max="28" width="15.5703125" style="63" bestFit="1" customWidth="1"/>
    <col min="29" max="29" width="9.42578125" style="63" customWidth="1"/>
    <col min="30" max="30" width="59.5703125" style="63" customWidth="1"/>
    <col min="31" max="31" width="26.5703125" style="64" bestFit="1" customWidth="1"/>
    <col min="32" max="32" width="19.5703125" style="63" customWidth="1"/>
    <col min="33" max="16384" width="11.42578125" style="78"/>
  </cols>
  <sheetData>
    <row r="1" spans="1:32" ht="15" x14ac:dyDescent="0.25">
      <c r="D1" s="1"/>
      <c r="E1" s="1"/>
      <c r="F1" s="1"/>
      <c r="G1" s="1"/>
      <c r="H1" s="1"/>
      <c r="I1" s="1"/>
      <c r="J1" s="1"/>
      <c r="K1" s="1"/>
      <c r="L1" s="1"/>
      <c r="M1" s="1"/>
      <c r="O1" s="51"/>
      <c r="P1" s="51"/>
      <c r="Q1" s="51"/>
      <c r="R1" s="51"/>
      <c r="S1" s="5"/>
      <c r="U1" s="87">
        <f>+SUM(U4:U23)</f>
        <v>28137.956679964009</v>
      </c>
      <c r="V1" s="88">
        <v>1</v>
      </c>
      <c r="W1" s="102"/>
      <c r="X1" s="88">
        <v>1</v>
      </c>
      <c r="Y1" s="88"/>
      <c r="Z1" s="88"/>
      <c r="AA1" s="88"/>
      <c r="AB1" s="88"/>
      <c r="AC1" s="88"/>
      <c r="AD1" s="88"/>
      <c r="AE1" s="88"/>
    </row>
    <row r="2" spans="1:32" x14ac:dyDescent="0.2">
      <c r="A2" s="9"/>
      <c r="B2" s="9"/>
      <c r="C2" s="9"/>
      <c r="D2" s="9"/>
      <c r="E2" s="9"/>
      <c r="F2" s="9"/>
      <c r="G2" s="9"/>
      <c r="H2" s="9"/>
      <c r="I2" s="108" t="s">
        <v>1</v>
      </c>
      <c r="J2" s="75"/>
      <c r="K2" s="75"/>
      <c r="L2" s="75"/>
      <c r="M2" s="75"/>
      <c r="N2" s="17"/>
      <c r="O2" s="52"/>
      <c r="P2" s="108" t="s">
        <v>151</v>
      </c>
      <c r="Q2" s="109" t="s">
        <v>46</v>
      </c>
      <c r="R2" s="108" t="s">
        <v>2</v>
      </c>
      <c r="S2" s="108" t="s">
        <v>3</v>
      </c>
      <c r="T2" s="2"/>
      <c r="U2" s="2" t="s">
        <v>12</v>
      </c>
      <c r="V2" s="108" t="s">
        <v>31</v>
      </c>
      <c r="W2" s="101"/>
      <c r="X2" s="108" t="s">
        <v>9</v>
      </c>
      <c r="Y2" s="108" t="s">
        <v>11</v>
      </c>
      <c r="Z2" s="105" t="s">
        <v>156</v>
      </c>
      <c r="AA2" s="106" t="s">
        <v>157</v>
      </c>
      <c r="AB2" s="106" t="s">
        <v>142</v>
      </c>
      <c r="AC2" s="107" t="s">
        <v>158</v>
      </c>
      <c r="AD2" s="65"/>
      <c r="AE2" s="66"/>
      <c r="AF2" s="65"/>
    </row>
    <row r="3" spans="1:32" ht="24" customHeight="1" x14ac:dyDescent="0.2">
      <c r="A3" s="11" t="s">
        <v>0</v>
      </c>
      <c r="B3" s="39" t="s">
        <v>138</v>
      </c>
      <c r="C3" s="12" t="s">
        <v>16</v>
      </c>
      <c r="D3" s="12" t="s">
        <v>5</v>
      </c>
      <c r="E3" s="12" t="s">
        <v>6</v>
      </c>
      <c r="F3" s="12" t="s">
        <v>7</v>
      </c>
      <c r="G3" s="12" t="s">
        <v>8</v>
      </c>
      <c r="H3" s="12" t="s">
        <v>13</v>
      </c>
      <c r="I3" s="108"/>
      <c r="J3" s="75" t="s">
        <v>10</v>
      </c>
      <c r="K3" s="75" t="s">
        <v>141</v>
      </c>
      <c r="L3" s="60" t="s">
        <v>153</v>
      </c>
      <c r="M3" s="75" t="s">
        <v>154</v>
      </c>
      <c r="N3" s="10" t="s">
        <v>4</v>
      </c>
      <c r="O3" s="52" t="s">
        <v>134</v>
      </c>
      <c r="P3" s="108"/>
      <c r="Q3" s="109"/>
      <c r="R3" s="108"/>
      <c r="S3" s="108"/>
      <c r="T3" s="4">
        <v>45392</v>
      </c>
      <c r="U3" s="4">
        <v>45379</v>
      </c>
      <c r="V3" s="108"/>
      <c r="W3" s="101" t="s">
        <v>155</v>
      </c>
      <c r="X3" s="108"/>
      <c r="Y3" s="108"/>
      <c r="Z3" s="105"/>
      <c r="AA3" s="106"/>
      <c r="AB3" s="106"/>
      <c r="AC3" s="107"/>
      <c r="AD3" s="65" t="s">
        <v>159</v>
      </c>
      <c r="AE3" s="66" t="s">
        <v>160</v>
      </c>
      <c r="AF3" s="65" t="s">
        <v>39</v>
      </c>
    </row>
    <row r="4" spans="1:32" ht="15" customHeight="1" x14ac:dyDescent="0.25">
      <c r="A4" s="16">
        <v>1</v>
      </c>
      <c r="B4" s="16" t="s">
        <v>515</v>
      </c>
      <c r="C4" s="16" t="s">
        <v>517</v>
      </c>
      <c r="D4" s="16" t="s">
        <v>518</v>
      </c>
      <c r="E4" s="16" t="s">
        <v>519</v>
      </c>
      <c r="F4" s="23" t="s">
        <v>641</v>
      </c>
      <c r="G4" s="23" t="s">
        <v>642</v>
      </c>
      <c r="H4" s="99">
        <v>45376</v>
      </c>
      <c r="I4" s="44">
        <v>1595</v>
      </c>
      <c r="J4" s="84">
        <v>525</v>
      </c>
      <c r="K4" s="61">
        <v>80</v>
      </c>
      <c r="L4" s="85">
        <v>2200</v>
      </c>
      <c r="M4" s="22">
        <v>0</v>
      </c>
      <c r="N4" s="18">
        <v>300</v>
      </c>
      <c r="O4" s="24">
        <v>6</v>
      </c>
      <c r="P4" s="25">
        <v>7.0972546935081482E-2</v>
      </c>
      <c r="Q4" s="33">
        <v>45575</v>
      </c>
      <c r="R4" s="19">
        <v>54523</v>
      </c>
      <c r="S4" s="19">
        <v>45392</v>
      </c>
      <c r="T4" s="35">
        <v>1651.5339709051957</v>
      </c>
      <c r="U4" s="36">
        <v>1647.6019123785247</v>
      </c>
      <c r="V4" s="103">
        <v>5.7559072994648464E-3</v>
      </c>
      <c r="W4" s="61">
        <v>1595</v>
      </c>
      <c r="X4" s="20">
        <v>2325</v>
      </c>
      <c r="Y4" s="57">
        <v>0.70864598381872035</v>
      </c>
      <c r="Z4" s="67">
        <v>-4.3274530649185239E-3</v>
      </c>
      <c r="AA4" s="73">
        <v>11.988020000000001</v>
      </c>
      <c r="AB4" s="68">
        <v>25.914524798335712</v>
      </c>
      <c r="AC4" s="69">
        <v>32.83137599667009</v>
      </c>
      <c r="AD4" s="70" t="s">
        <v>520</v>
      </c>
      <c r="AE4" s="71">
        <v>7401</v>
      </c>
      <c r="AF4" s="72" t="s">
        <v>521</v>
      </c>
    </row>
    <row r="5" spans="1:32" ht="15" customHeight="1" x14ac:dyDescent="0.25">
      <c r="A5" s="16">
        <v>2</v>
      </c>
      <c r="B5" s="16" t="s">
        <v>524</v>
      </c>
      <c r="C5" s="16" t="s">
        <v>526</v>
      </c>
      <c r="D5" s="16" t="s">
        <v>527</v>
      </c>
      <c r="E5" s="16" t="s">
        <v>528</v>
      </c>
      <c r="F5" s="23" t="s">
        <v>643</v>
      </c>
      <c r="G5" s="23" t="s">
        <v>642</v>
      </c>
      <c r="H5" s="99">
        <v>45377</v>
      </c>
      <c r="I5" s="44">
        <v>1480.48</v>
      </c>
      <c r="J5" s="84">
        <v>550</v>
      </c>
      <c r="K5" s="61">
        <v>169.51999999999998</v>
      </c>
      <c r="L5" s="85">
        <v>2200</v>
      </c>
      <c r="M5" s="22">
        <v>1</v>
      </c>
      <c r="N5" s="18">
        <v>360</v>
      </c>
      <c r="O5" s="24">
        <v>6</v>
      </c>
      <c r="P5" s="25">
        <v>7.1001556515693662E-2</v>
      </c>
      <c r="Q5" s="33">
        <v>45575</v>
      </c>
      <c r="R5" s="19">
        <v>56349</v>
      </c>
      <c r="S5" s="19">
        <v>45392</v>
      </c>
      <c r="T5" s="35">
        <v>1539.1183916971243</v>
      </c>
      <c r="U5" s="36">
        <v>1534.7210730811703</v>
      </c>
      <c r="V5" s="103">
        <v>5.7559072994648464E-3</v>
      </c>
      <c r="W5" s="61">
        <v>1480.48</v>
      </c>
      <c r="X5" s="20">
        <v>2560</v>
      </c>
      <c r="Y5" s="57">
        <v>0.5995004191723321</v>
      </c>
      <c r="Z5" s="67">
        <v>-4.298443484306344E-3</v>
      </c>
      <c r="AA5" s="73">
        <v>10.483279</v>
      </c>
      <c r="AB5" s="68">
        <v>17.374482766065714</v>
      </c>
      <c r="AC5" s="69">
        <v>46.168658049605668</v>
      </c>
      <c r="AD5" s="70" t="s">
        <v>529</v>
      </c>
      <c r="AE5" s="71">
        <v>7401</v>
      </c>
      <c r="AF5" s="72" t="s">
        <v>184</v>
      </c>
    </row>
    <row r="6" spans="1:32" ht="15" customHeight="1" x14ac:dyDescent="0.25">
      <c r="A6" s="16">
        <v>3</v>
      </c>
      <c r="B6" s="16" t="s">
        <v>530</v>
      </c>
      <c r="C6" s="16" t="s">
        <v>532</v>
      </c>
      <c r="D6" s="16" t="s">
        <v>533</v>
      </c>
      <c r="E6" s="16" t="s">
        <v>534</v>
      </c>
      <c r="F6" s="23" t="s">
        <v>644</v>
      </c>
      <c r="G6" s="23" t="s">
        <v>645</v>
      </c>
      <c r="H6" s="99">
        <v>45376</v>
      </c>
      <c r="I6" s="44">
        <v>863.96</v>
      </c>
      <c r="J6" s="84">
        <v>450</v>
      </c>
      <c r="K6" s="61">
        <v>86.039999999999964</v>
      </c>
      <c r="L6" s="85">
        <v>1400</v>
      </c>
      <c r="M6" s="22">
        <v>2</v>
      </c>
      <c r="N6" s="18">
        <v>312</v>
      </c>
      <c r="O6" s="24">
        <v>6</v>
      </c>
      <c r="P6" s="25">
        <v>7.0979335904121407E-2</v>
      </c>
      <c r="Q6" s="33">
        <v>45575</v>
      </c>
      <c r="R6" s="19">
        <v>54888</v>
      </c>
      <c r="S6" s="19">
        <v>45392</v>
      </c>
      <c r="T6" s="35">
        <v>895.35700311260075</v>
      </c>
      <c r="U6" s="36">
        <v>892.68740115450908</v>
      </c>
      <c r="V6" s="103">
        <v>5.7559072994648464E-3</v>
      </c>
      <c r="W6" s="61">
        <v>863.96</v>
      </c>
      <c r="X6" s="20">
        <v>1400</v>
      </c>
      <c r="Y6" s="57">
        <v>0.63763385796750649</v>
      </c>
      <c r="Z6" s="67">
        <v>-4.3206640958785986E-3</v>
      </c>
      <c r="AA6" s="73">
        <v>6.4028080000000003</v>
      </c>
      <c r="AB6" s="68">
        <v>34.565538981950127</v>
      </c>
      <c r="AC6" s="69">
        <v>54.730716295674611</v>
      </c>
      <c r="AD6" s="70" t="s">
        <v>535</v>
      </c>
      <c r="AE6" s="71">
        <v>7401</v>
      </c>
      <c r="AF6" s="72" t="s">
        <v>135</v>
      </c>
    </row>
    <row r="7" spans="1:32" ht="15" customHeight="1" x14ac:dyDescent="0.25">
      <c r="A7" s="16">
        <v>4</v>
      </c>
      <c r="B7" s="16" t="s">
        <v>536</v>
      </c>
      <c r="C7" s="16" t="s">
        <v>538</v>
      </c>
      <c r="D7" s="16" t="s">
        <v>539</v>
      </c>
      <c r="E7" s="16" t="s">
        <v>540</v>
      </c>
      <c r="F7" s="23" t="s">
        <v>646</v>
      </c>
      <c r="G7" s="23" t="s">
        <v>173</v>
      </c>
      <c r="H7" s="99">
        <v>45377</v>
      </c>
      <c r="I7" s="44">
        <v>1717</v>
      </c>
      <c r="J7" s="84">
        <v>475</v>
      </c>
      <c r="K7" s="61">
        <v>108</v>
      </c>
      <c r="L7" s="85">
        <v>2300</v>
      </c>
      <c r="M7" s="22">
        <v>3</v>
      </c>
      <c r="N7" s="18">
        <v>264</v>
      </c>
      <c r="O7" s="24">
        <v>6</v>
      </c>
      <c r="P7" s="25">
        <v>7.0948073267936715E-2</v>
      </c>
      <c r="Q7" s="33">
        <v>45575</v>
      </c>
      <c r="R7" s="19">
        <v>53427</v>
      </c>
      <c r="S7" s="19">
        <v>45392</v>
      </c>
      <c r="T7" s="35">
        <v>1772.9011835115232</v>
      </c>
      <c r="U7" s="36">
        <v>1768.2353146193509</v>
      </c>
      <c r="V7" s="103">
        <v>5.7559072994648464E-3</v>
      </c>
      <c r="W7" s="61">
        <v>1717</v>
      </c>
      <c r="X7" s="20">
        <v>2300</v>
      </c>
      <c r="Y7" s="57">
        <v>0.76879796287797864</v>
      </c>
      <c r="Z7" s="67">
        <v>-4.3519267320632909E-3</v>
      </c>
      <c r="AA7" s="73">
        <v>13.571168</v>
      </c>
      <c r="AB7" s="68">
        <v>36.411948690392379</v>
      </c>
      <c r="AC7" s="69">
        <v>41.283350696716681</v>
      </c>
      <c r="AD7" s="70" t="s">
        <v>541</v>
      </c>
      <c r="AE7" s="71">
        <v>7401</v>
      </c>
      <c r="AF7" s="72" t="s">
        <v>55</v>
      </c>
    </row>
    <row r="8" spans="1:32" ht="15" customHeight="1" x14ac:dyDescent="0.25">
      <c r="A8" s="16">
        <v>5</v>
      </c>
      <c r="B8" s="16" t="s">
        <v>542</v>
      </c>
      <c r="C8" s="16" t="s">
        <v>544</v>
      </c>
      <c r="D8" s="16" t="s">
        <v>545</v>
      </c>
      <c r="E8" s="16" t="s">
        <v>546</v>
      </c>
      <c r="F8" s="23" t="s">
        <v>647</v>
      </c>
      <c r="G8" s="23" t="s">
        <v>173</v>
      </c>
      <c r="H8" s="99">
        <v>45376</v>
      </c>
      <c r="I8" s="44">
        <v>1551.6</v>
      </c>
      <c r="J8" s="84">
        <v>375</v>
      </c>
      <c r="K8" s="61">
        <v>143.40000000000009</v>
      </c>
      <c r="L8" s="85">
        <v>2070</v>
      </c>
      <c r="M8" s="22">
        <v>4</v>
      </c>
      <c r="N8" s="18">
        <v>360</v>
      </c>
      <c r="O8" s="24">
        <v>6</v>
      </c>
      <c r="P8" s="25">
        <v>7.1001556515693662E-2</v>
      </c>
      <c r="Q8" s="33">
        <v>45575</v>
      </c>
      <c r="R8" s="19">
        <v>56349</v>
      </c>
      <c r="S8" s="19">
        <v>45392</v>
      </c>
      <c r="T8" s="35">
        <v>1613.0553307444463</v>
      </c>
      <c r="U8" s="36">
        <v>1609.4064692661752</v>
      </c>
      <c r="V8" s="103">
        <v>5.7559072994648464E-3</v>
      </c>
      <c r="W8" s="61">
        <v>1551.6</v>
      </c>
      <c r="X8" s="20">
        <v>2400</v>
      </c>
      <c r="Y8" s="57">
        <v>0.67058602886090635</v>
      </c>
      <c r="Z8" s="67">
        <v>-4.298443484306344E-3</v>
      </c>
      <c r="AA8" s="73">
        <v>10.986879999999999</v>
      </c>
      <c r="AB8" s="68">
        <v>40.025142858546026</v>
      </c>
      <c r="AC8" s="69">
        <v>42.269567710593698</v>
      </c>
      <c r="AD8" s="70" t="s">
        <v>547</v>
      </c>
      <c r="AE8" s="71">
        <v>7401</v>
      </c>
      <c r="AF8" s="72" t="s">
        <v>135</v>
      </c>
    </row>
    <row r="9" spans="1:32" ht="15" customHeight="1" x14ac:dyDescent="0.25">
      <c r="A9" s="16">
        <v>6</v>
      </c>
      <c r="B9" s="16" t="s">
        <v>548</v>
      </c>
      <c r="C9" s="16" t="s">
        <v>550</v>
      </c>
      <c r="D9" s="16" t="s">
        <v>182</v>
      </c>
      <c r="E9" s="16" t="s">
        <v>551</v>
      </c>
      <c r="F9" s="23" t="s">
        <v>648</v>
      </c>
      <c r="G9" s="23" t="s">
        <v>170</v>
      </c>
      <c r="H9" s="99">
        <v>45377</v>
      </c>
      <c r="I9" s="44">
        <v>1664.23</v>
      </c>
      <c r="J9" s="84">
        <v>700</v>
      </c>
      <c r="K9" s="61">
        <v>335.77</v>
      </c>
      <c r="L9" s="85">
        <v>2700</v>
      </c>
      <c r="M9" s="22">
        <v>5</v>
      </c>
      <c r="N9" s="18">
        <v>300</v>
      </c>
      <c r="O9" s="24">
        <v>6</v>
      </c>
      <c r="P9" s="25">
        <v>7.0972546935081482E-2</v>
      </c>
      <c r="Q9" s="33">
        <v>45575</v>
      </c>
      <c r="R9" s="19">
        <v>54523</v>
      </c>
      <c r="S9" s="19">
        <v>45392</v>
      </c>
      <c r="T9" s="35">
        <v>1723.2178374195353</v>
      </c>
      <c r="U9" s="36">
        <v>1719.0580822949839</v>
      </c>
      <c r="V9" s="103">
        <v>5.7559072994648464E-3</v>
      </c>
      <c r="W9" s="61">
        <v>1664.23</v>
      </c>
      <c r="X9" s="20">
        <v>2700</v>
      </c>
      <c r="Y9" s="57">
        <v>0.63668817862777183</v>
      </c>
      <c r="Z9" s="67">
        <v>-4.3274530649185239E-3</v>
      </c>
      <c r="AA9" s="73">
        <v>12.508353</v>
      </c>
      <c r="AB9" s="68">
        <v>16.448388849219846</v>
      </c>
      <c r="AC9" s="69">
        <v>37.966624676468186</v>
      </c>
      <c r="AD9" s="70" t="s">
        <v>552</v>
      </c>
      <c r="AE9" s="71">
        <v>13101</v>
      </c>
      <c r="AF9" s="72" t="s">
        <v>50</v>
      </c>
    </row>
    <row r="10" spans="1:32" ht="15" customHeight="1" x14ac:dyDescent="0.25">
      <c r="A10" s="16">
        <v>7</v>
      </c>
      <c r="B10" s="16" t="s">
        <v>553</v>
      </c>
      <c r="C10" s="16" t="s">
        <v>555</v>
      </c>
      <c r="D10" s="16" t="s">
        <v>556</v>
      </c>
      <c r="E10" s="16" t="s">
        <v>557</v>
      </c>
      <c r="F10" s="23" t="s">
        <v>649</v>
      </c>
      <c r="G10" s="23" t="s">
        <v>171</v>
      </c>
      <c r="H10" s="99">
        <v>45377</v>
      </c>
      <c r="I10" s="44">
        <v>1630.9749999999999</v>
      </c>
      <c r="J10" s="84">
        <v>550</v>
      </c>
      <c r="K10" s="61">
        <v>69.025000000000091</v>
      </c>
      <c r="L10" s="85">
        <v>2250</v>
      </c>
      <c r="M10" s="22">
        <v>6</v>
      </c>
      <c r="N10" s="18">
        <v>360</v>
      </c>
      <c r="O10" s="24">
        <v>6</v>
      </c>
      <c r="P10" s="25">
        <v>7.1001556515693662E-2</v>
      </c>
      <c r="Q10" s="33">
        <v>45575</v>
      </c>
      <c r="R10" s="19">
        <v>56349</v>
      </c>
      <c r="S10" s="19">
        <v>45392</v>
      </c>
      <c r="T10" s="35">
        <v>1695.5741351396553</v>
      </c>
      <c r="U10" s="36">
        <v>1691.4151013084154</v>
      </c>
      <c r="V10" s="103">
        <v>5.7559072994648464E-3</v>
      </c>
      <c r="W10" s="61">
        <v>1630.9749999999999</v>
      </c>
      <c r="X10" s="20">
        <v>2460</v>
      </c>
      <c r="Y10" s="57">
        <v>0.68756711435301443</v>
      </c>
      <c r="Z10" s="67">
        <v>-4.298443484306344E-3</v>
      </c>
      <c r="AA10" s="73">
        <v>11.548933999999999</v>
      </c>
      <c r="AB10" s="68">
        <v>33.391403236517711</v>
      </c>
      <c r="AC10" s="69">
        <v>49.056280508740144</v>
      </c>
      <c r="AD10" s="70" t="s">
        <v>558</v>
      </c>
      <c r="AE10" s="71">
        <v>7401</v>
      </c>
      <c r="AF10" s="72" t="s">
        <v>184</v>
      </c>
    </row>
    <row r="11" spans="1:32" ht="15" customHeight="1" x14ac:dyDescent="0.25">
      <c r="A11" s="16">
        <v>8</v>
      </c>
      <c r="B11" s="16" t="s">
        <v>559</v>
      </c>
      <c r="C11" s="16" t="s">
        <v>561</v>
      </c>
      <c r="D11" s="16" t="s">
        <v>562</v>
      </c>
      <c r="E11" s="16" t="s">
        <v>563</v>
      </c>
      <c r="F11" s="23" t="s">
        <v>650</v>
      </c>
      <c r="G11" s="23" t="s">
        <v>169</v>
      </c>
      <c r="H11" s="99">
        <v>45373</v>
      </c>
      <c r="I11" s="44">
        <v>781.37</v>
      </c>
      <c r="J11" s="84">
        <v>400</v>
      </c>
      <c r="K11" s="61">
        <v>218.63</v>
      </c>
      <c r="L11" s="85">
        <v>1400</v>
      </c>
      <c r="M11" s="22">
        <v>7</v>
      </c>
      <c r="N11" s="18">
        <v>360</v>
      </c>
      <c r="O11" s="24">
        <v>6</v>
      </c>
      <c r="P11" s="25">
        <v>7.1001556515693662E-2</v>
      </c>
      <c r="Q11" s="33">
        <v>45575</v>
      </c>
      <c r="R11" s="19">
        <v>56349</v>
      </c>
      <c r="S11" s="19">
        <v>45392</v>
      </c>
      <c r="T11" s="35">
        <v>812.31825528302966</v>
      </c>
      <c r="U11" s="36">
        <v>809.82924735143922</v>
      </c>
      <c r="V11" s="103">
        <v>5.7559072994648464E-3</v>
      </c>
      <c r="W11" s="61">
        <v>781.37</v>
      </c>
      <c r="X11" s="20">
        <v>1410</v>
      </c>
      <c r="Y11" s="57">
        <v>0.57434698393719097</v>
      </c>
      <c r="Z11" s="67">
        <v>-4.298443484306344E-3</v>
      </c>
      <c r="AA11" s="73">
        <v>5.5328809999999997</v>
      </c>
      <c r="AB11" s="68">
        <v>38.354013936998335</v>
      </c>
      <c r="AC11" s="69">
        <v>50.324471065490719</v>
      </c>
      <c r="AD11" s="70" t="s">
        <v>564</v>
      </c>
      <c r="AE11" s="71">
        <v>7401</v>
      </c>
      <c r="AF11" s="72" t="s">
        <v>145</v>
      </c>
    </row>
    <row r="12" spans="1:32" ht="15" customHeight="1" x14ac:dyDescent="0.25">
      <c r="A12" s="16">
        <v>9</v>
      </c>
      <c r="B12" s="16" t="s">
        <v>565</v>
      </c>
      <c r="C12" s="16" t="s">
        <v>567</v>
      </c>
      <c r="D12" s="16" t="s">
        <v>568</v>
      </c>
      <c r="E12" s="16" t="s">
        <v>569</v>
      </c>
      <c r="F12" s="23" t="s">
        <v>651</v>
      </c>
      <c r="G12" s="23" t="s">
        <v>652</v>
      </c>
      <c r="H12" s="99">
        <v>45377</v>
      </c>
      <c r="I12" s="44">
        <v>760</v>
      </c>
      <c r="J12" s="84">
        <v>600</v>
      </c>
      <c r="K12" s="61">
        <v>40</v>
      </c>
      <c r="L12" s="85">
        <v>1400</v>
      </c>
      <c r="M12" s="22">
        <v>8</v>
      </c>
      <c r="N12" s="18">
        <v>216</v>
      </c>
      <c r="O12" s="24">
        <v>6</v>
      </c>
      <c r="P12" s="25">
        <v>7.090196907520295E-2</v>
      </c>
      <c r="Q12" s="33">
        <v>45575</v>
      </c>
      <c r="R12" s="19">
        <v>51966</v>
      </c>
      <c r="S12" s="19">
        <v>45392</v>
      </c>
      <c r="T12" s="35">
        <v>781.43863500200575</v>
      </c>
      <c r="U12" s="36">
        <v>779.09590351176541</v>
      </c>
      <c r="V12" s="103">
        <v>5.7559072994648464E-3</v>
      </c>
      <c r="W12" s="61">
        <v>760</v>
      </c>
      <c r="X12" s="20">
        <v>1600</v>
      </c>
      <c r="Y12" s="57">
        <v>0.48693493969485341</v>
      </c>
      <c r="Z12" s="67">
        <v>-4.3980309247970556E-3</v>
      </c>
      <c r="AA12" s="73">
        <v>6.593</v>
      </c>
      <c r="AB12" s="68">
        <v>15.834569754268921</v>
      </c>
      <c r="AC12" s="69">
        <v>40.708554051412072</v>
      </c>
      <c r="AD12" s="70" t="s">
        <v>570</v>
      </c>
      <c r="AE12" s="71">
        <v>7401</v>
      </c>
      <c r="AF12" s="72" t="s">
        <v>521</v>
      </c>
    </row>
    <row r="13" spans="1:32" ht="15" customHeight="1" x14ac:dyDescent="0.25">
      <c r="A13" s="16">
        <v>10</v>
      </c>
      <c r="B13" s="16" t="s">
        <v>572</v>
      </c>
      <c r="C13" s="16" t="s">
        <v>574</v>
      </c>
      <c r="D13" s="16" t="s">
        <v>575</v>
      </c>
      <c r="E13" s="16" t="s">
        <v>576</v>
      </c>
      <c r="F13" s="23" t="s">
        <v>653</v>
      </c>
      <c r="G13" s="23" t="s">
        <v>172</v>
      </c>
      <c r="H13" s="99">
        <v>45376</v>
      </c>
      <c r="I13" s="44">
        <v>1672</v>
      </c>
      <c r="J13" s="84">
        <v>325</v>
      </c>
      <c r="K13" s="61">
        <v>93</v>
      </c>
      <c r="L13" s="85">
        <v>2090</v>
      </c>
      <c r="M13" s="22">
        <v>9</v>
      </c>
      <c r="N13" s="18">
        <v>360</v>
      </c>
      <c r="O13" s="24">
        <v>6</v>
      </c>
      <c r="P13" s="25">
        <v>7.1001556515693662E-2</v>
      </c>
      <c r="Q13" s="33">
        <v>45575</v>
      </c>
      <c r="R13" s="19">
        <v>56349</v>
      </c>
      <c r="S13" s="19">
        <v>45392</v>
      </c>
      <c r="T13" s="35">
        <v>1738.224036469139</v>
      </c>
      <c r="U13" s="36">
        <v>1733.8825502107045</v>
      </c>
      <c r="V13" s="103">
        <v>5.7559072994648464E-3</v>
      </c>
      <c r="W13" s="61">
        <v>1672</v>
      </c>
      <c r="X13" s="20">
        <v>2200</v>
      </c>
      <c r="Y13" s="57">
        <v>0.78812843191395654</v>
      </c>
      <c r="Z13" s="67">
        <v>-4.298443484306344E-3</v>
      </c>
      <c r="AA13" s="73">
        <v>11.839432</v>
      </c>
      <c r="AB13" s="68">
        <v>24.855130650535823</v>
      </c>
      <c r="AC13" s="69">
        <v>39.68338444470325</v>
      </c>
      <c r="AD13" s="70" t="s">
        <v>577</v>
      </c>
      <c r="AE13" s="71">
        <v>7401</v>
      </c>
      <c r="AF13" s="72" t="s">
        <v>145</v>
      </c>
    </row>
    <row r="14" spans="1:32" ht="15" customHeight="1" x14ac:dyDescent="0.25">
      <c r="A14" s="16">
        <v>11</v>
      </c>
      <c r="B14" s="16" t="s">
        <v>578</v>
      </c>
      <c r="C14" s="16" t="s">
        <v>580</v>
      </c>
      <c r="D14" s="16" t="s">
        <v>166</v>
      </c>
      <c r="E14" s="16" t="s">
        <v>581</v>
      </c>
      <c r="F14" s="23" t="s">
        <v>654</v>
      </c>
      <c r="G14" s="23" t="s">
        <v>171</v>
      </c>
      <c r="H14" s="99">
        <v>45376</v>
      </c>
      <c r="I14" s="44">
        <v>877.78</v>
      </c>
      <c r="J14" s="84">
        <v>450</v>
      </c>
      <c r="K14" s="61">
        <v>72.220000000000027</v>
      </c>
      <c r="L14" s="85">
        <v>1400</v>
      </c>
      <c r="M14" s="22">
        <v>10</v>
      </c>
      <c r="N14" s="18">
        <v>240</v>
      </c>
      <c r="O14" s="24">
        <v>6</v>
      </c>
      <c r="P14" s="25">
        <v>7.092765867710113E-2</v>
      </c>
      <c r="Q14" s="33">
        <v>45575</v>
      </c>
      <c r="R14" s="19">
        <v>52697</v>
      </c>
      <c r="S14" s="19">
        <v>45392</v>
      </c>
      <c r="T14" s="35">
        <v>904.51417612031389</v>
      </c>
      <c r="U14" s="36">
        <v>902.65750548038943</v>
      </c>
      <c r="V14" s="103">
        <v>5.7559072994648464E-3</v>
      </c>
      <c r="W14" s="61">
        <v>877.78</v>
      </c>
      <c r="X14" s="20">
        <v>1400</v>
      </c>
      <c r="Y14" s="57">
        <v>0.64475536105742104</v>
      </c>
      <c r="Z14" s="67">
        <v>-4.3723413228988761E-3</v>
      </c>
      <c r="AA14" s="73">
        <v>7.2364179999999996</v>
      </c>
      <c r="AB14" s="68">
        <v>27.580802189222208</v>
      </c>
      <c r="AC14" s="69">
        <v>28.908033806916393</v>
      </c>
      <c r="AD14" s="70" t="s">
        <v>582</v>
      </c>
      <c r="AE14" s="71">
        <v>7401</v>
      </c>
      <c r="AF14" s="72" t="s">
        <v>145</v>
      </c>
    </row>
    <row r="15" spans="1:32" ht="15" customHeight="1" x14ac:dyDescent="0.25">
      <c r="A15" s="16">
        <v>12</v>
      </c>
      <c r="B15" s="16" t="s">
        <v>585</v>
      </c>
      <c r="C15" s="16" t="s">
        <v>587</v>
      </c>
      <c r="D15" s="16" t="s">
        <v>588</v>
      </c>
      <c r="E15" s="16" t="s">
        <v>589</v>
      </c>
      <c r="F15" s="23" t="s">
        <v>655</v>
      </c>
      <c r="G15" s="23" t="s">
        <v>170</v>
      </c>
      <c r="H15" s="99">
        <v>45376</v>
      </c>
      <c r="I15" s="44">
        <v>766.75</v>
      </c>
      <c r="J15" s="84">
        <v>737.5</v>
      </c>
      <c r="K15" s="61">
        <v>195.75</v>
      </c>
      <c r="L15" s="85">
        <v>1700</v>
      </c>
      <c r="M15" s="22">
        <v>11</v>
      </c>
      <c r="N15" s="18">
        <v>204</v>
      </c>
      <c r="O15" s="24">
        <v>6</v>
      </c>
      <c r="P15" s="25">
        <v>7.0887038111686715E-2</v>
      </c>
      <c r="Q15" s="33">
        <v>45575</v>
      </c>
      <c r="R15" s="19">
        <v>51601</v>
      </c>
      <c r="S15" s="19">
        <v>45392</v>
      </c>
      <c r="T15" s="35">
        <v>787.48093687706933</v>
      </c>
      <c r="U15" s="36">
        <v>785.3707352231653</v>
      </c>
      <c r="V15" s="103">
        <v>5.7559072994648464E-3</v>
      </c>
      <c r="W15" s="61">
        <v>766.75</v>
      </c>
      <c r="X15" s="20">
        <v>1700</v>
      </c>
      <c r="Y15" s="57">
        <v>0.46198278542539134</v>
      </c>
      <c r="Z15" s="67">
        <v>-4.4129618883132909E-3</v>
      </c>
      <c r="AA15" s="73">
        <v>6.850911</v>
      </c>
      <c r="AB15" s="68">
        <v>41.766991621651506</v>
      </c>
      <c r="AC15" s="69">
        <v>44.378192071293192</v>
      </c>
      <c r="AD15" s="70" t="s">
        <v>590</v>
      </c>
      <c r="AE15" s="71">
        <v>13101</v>
      </c>
      <c r="AF15" s="72" t="s">
        <v>50</v>
      </c>
    </row>
    <row r="16" spans="1:32" ht="15" customHeight="1" x14ac:dyDescent="0.25">
      <c r="A16" s="16">
        <v>13</v>
      </c>
      <c r="B16" s="16" t="s">
        <v>591</v>
      </c>
      <c r="C16" s="16" t="s">
        <v>593</v>
      </c>
      <c r="D16" s="16" t="s">
        <v>594</v>
      </c>
      <c r="E16" s="16" t="s">
        <v>595</v>
      </c>
      <c r="F16" s="23" t="s">
        <v>656</v>
      </c>
      <c r="G16" s="23" t="s">
        <v>645</v>
      </c>
      <c r="H16" s="99">
        <v>45378</v>
      </c>
      <c r="I16" s="44">
        <v>717.96</v>
      </c>
      <c r="J16" s="84">
        <v>675</v>
      </c>
      <c r="K16" s="61">
        <v>207.03999999999996</v>
      </c>
      <c r="L16" s="85">
        <v>1600</v>
      </c>
      <c r="M16" s="22">
        <v>12</v>
      </c>
      <c r="N16" s="18">
        <v>240</v>
      </c>
      <c r="O16" s="24">
        <v>6</v>
      </c>
      <c r="P16" s="25">
        <v>7.092765867710113E-2</v>
      </c>
      <c r="Q16" s="33">
        <v>45575</v>
      </c>
      <c r="R16" s="19">
        <v>52697</v>
      </c>
      <c r="S16" s="19">
        <v>45392</v>
      </c>
      <c r="T16" s="35">
        <v>739.82660843910162</v>
      </c>
      <c r="U16" s="36">
        <v>738.08434014145394</v>
      </c>
      <c r="V16" s="103">
        <v>5.7559072994648464E-3</v>
      </c>
      <c r="W16" s="61">
        <v>717.96</v>
      </c>
      <c r="X16" s="20">
        <v>1600</v>
      </c>
      <c r="Y16" s="57">
        <v>0.46130271258840871</v>
      </c>
      <c r="Z16" s="67">
        <v>-4.3723413228988761E-3</v>
      </c>
      <c r="AA16" s="73">
        <v>5.9188619999999998</v>
      </c>
      <c r="AB16" s="68">
        <v>24.192368279380922</v>
      </c>
      <c r="AC16" s="69">
        <v>28.928929245913288</v>
      </c>
      <c r="AD16" s="70" t="s">
        <v>596</v>
      </c>
      <c r="AE16" s="71">
        <v>7401</v>
      </c>
      <c r="AF16" s="72" t="s">
        <v>597</v>
      </c>
    </row>
    <row r="17" spans="1:32" ht="15" customHeight="1" x14ac:dyDescent="0.25">
      <c r="A17" s="16">
        <v>14</v>
      </c>
      <c r="B17" s="16" t="s">
        <v>599</v>
      </c>
      <c r="C17" s="16" t="s">
        <v>601</v>
      </c>
      <c r="D17" s="16" t="s">
        <v>602</v>
      </c>
      <c r="E17" s="16" t="s">
        <v>603</v>
      </c>
      <c r="F17" s="23" t="s">
        <v>657</v>
      </c>
      <c r="G17" s="23" t="s">
        <v>173</v>
      </c>
      <c r="H17" s="99">
        <v>45376</v>
      </c>
      <c r="I17" s="44">
        <v>1645</v>
      </c>
      <c r="J17" s="84">
        <v>425</v>
      </c>
      <c r="K17" s="61">
        <v>80</v>
      </c>
      <c r="L17" s="85">
        <v>2150</v>
      </c>
      <c r="M17" s="22">
        <v>13</v>
      </c>
      <c r="N17" s="18">
        <v>360</v>
      </c>
      <c r="O17" s="24">
        <v>6</v>
      </c>
      <c r="P17" s="25">
        <v>7.1001556515693662E-2</v>
      </c>
      <c r="Q17" s="33">
        <v>45575</v>
      </c>
      <c r="R17" s="19">
        <v>56349</v>
      </c>
      <c r="S17" s="19">
        <v>45392</v>
      </c>
      <c r="T17" s="35">
        <v>1710.1546291816587</v>
      </c>
      <c r="U17" s="36">
        <v>1706.0590492057568</v>
      </c>
      <c r="V17" s="103">
        <v>5.7559072994648464E-3</v>
      </c>
      <c r="W17" s="61">
        <v>1645</v>
      </c>
      <c r="X17" s="20">
        <v>2150</v>
      </c>
      <c r="Y17" s="57">
        <v>0.79351583683988691</v>
      </c>
      <c r="Z17" s="67">
        <v>-4.298443484306344E-3</v>
      </c>
      <c r="AA17" s="73">
        <v>11.648244999999999</v>
      </c>
      <c r="AB17" s="68">
        <v>28.845392094673755</v>
      </c>
      <c r="AC17" s="69">
        <v>43.027696122104956</v>
      </c>
      <c r="AD17" s="70" t="s">
        <v>604</v>
      </c>
      <c r="AE17" s="71">
        <v>7401</v>
      </c>
      <c r="AF17" s="72" t="s">
        <v>147</v>
      </c>
    </row>
    <row r="18" spans="1:32" ht="15" customHeight="1" x14ac:dyDescent="0.25">
      <c r="A18" s="16">
        <v>15</v>
      </c>
      <c r="B18" s="16" t="s">
        <v>606</v>
      </c>
      <c r="C18" s="16" t="s">
        <v>166</v>
      </c>
      <c r="D18" s="16" t="s">
        <v>608</v>
      </c>
      <c r="E18" s="16" t="s">
        <v>609</v>
      </c>
      <c r="F18" s="23" t="s">
        <v>658</v>
      </c>
      <c r="G18" s="23" t="s">
        <v>652</v>
      </c>
      <c r="H18" s="99">
        <v>45377</v>
      </c>
      <c r="I18" s="44">
        <v>1850</v>
      </c>
      <c r="J18" s="84">
        <v>600</v>
      </c>
      <c r="K18" s="61">
        <v>150</v>
      </c>
      <c r="L18" s="85">
        <v>2600</v>
      </c>
      <c r="M18" s="22">
        <v>14</v>
      </c>
      <c r="N18" s="18">
        <v>360</v>
      </c>
      <c r="O18" s="24">
        <v>6</v>
      </c>
      <c r="P18" s="25">
        <v>7.1001556515693662E-2</v>
      </c>
      <c r="Q18" s="33">
        <v>45575</v>
      </c>
      <c r="R18" s="19">
        <v>56349</v>
      </c>
      <c r="S18" s="19">
        <v>45392</v>
      </c>
      <c r="T18" s="35">
        <v>1923.2742030310446</v>
      </c>
      <c r="U18" s="36">
        <v>1918.4013413514626</v>
      </c>
      <c r="V18" s="103">
        <v>5.7559072994648464E-3</v>
      </c>
      <c r="W18" s="61">
        <v>1850</v>
      </c>
      <c r="X18" s="20">
        <v>2600</v>
      </c>
      <c r="Y18" s="57">
        <v>0.73784666975056257</v>
      </c>
      <c r="Z18" s="67">
        <v>-4.298443484306344E-3</v>
      </c>
      <c r="AA18" s="73">
        <v>13.09985</v>
      </c>
      <c r="AB18" s="68">
        <v>37.495020966478329</v>
      </c>
      <c r="AC18" s="69">
        <v>43.965437972128463</v>
      </c>
      <c r="AD18" s="70" t="s">
        <v>610</v>
      </c>
      <c r="AE18" s="71">
        <v>7401</v>
      </c>
      <c r="AF18" s="72" t="s">
        <v>597</v>
      </c>
    </row>
    <row r="19" spans="1:32" ht="15" customHeight="1" x14ac:dyDescent="0.25">
      <c r="A19" s="16">
        <v>16</v>
      </c>
      <c r="B19" s="16" t="s">
        <v>611</v>
      </c>
      <c r="C19" s="16" t="s">
        <v>613</v>
      </c>
      <c r="D19" s="16" t="s">
        <v>614</v>
      </c>
      <c r="E19" s="16" t="s">
        <v>615</v>
      </c>
      <c r="F19" s="23" t="s">
        <v>659</v>
      </c>
      <c r="G19" s="23" t="s">
        <v>170</v>
      </c>
      <c r="H19" s="99">
        <v>45376</v>
      </c>
      <c r="I19" s="44">
        <v>1645</v>
      </c>
      <c r="J19" s="84">
        <v>425</v>
      </c>
      <c r="K19" s="61">
        <v>80</v>
      </c>
      <c r="L19" s="85">
        <v>2150</v>
      </c>
      <c r="M19" s="22">
        <v>15</v>
      </c>
      <c r="N19" s="18">
        <v>360</v>
      </c>
      <c r="O19" s="24">
        <v>6</v>
      </c>
      <c r="P19" s="25">
        <v>7.1001556515693662E-2</v>
      </c>
      <c r="Q19" s="33">
        <v>45575</v>
      </c>
      <c r="R19" s="19">
        <v>56349</v>
      </c>
      <c r="S19" s="19">
        <v>45392</v>
      </c>
      <c r="T19" s="35">
        <v>1710.1546291816587</v>
      </c>
      <c r="U19" s="36">
        <v>1706.0590492057568</v>
      </c>
      <c r="V19" s="103">
        <v>5.7559072994648464E-3</v>
      </c>
      <c r="W19" s="61">
        <v>1645</v>
      </c>
      <c r="X19" s="20">
        <v>2150</v>
      </c>
      <c r="Y19" s="57">
        <v>0.79351583683988691</v>
      </c>
      <c r="Z19" s="67">
        <v>-4.298443484306344E-3</v>
      </c>
      <c r="AA19" s="73">
        <v>11.648244999999999</v>
      </c>
      <c r="AB19" s="68">
        <v>24.543004296744144</v>
      </c>
      <c r="AC19" s="69">
        <v>30.375180634737564</v>
      </c>
      <c r="AD19" s="70" t="s">
        <v>616</v>
      </c>
      <c r="AE19" s="71">
        <v>7401</v>
      </c>
      <c r="AF19" s="72" t="s">
        <v>147</v>
      </c>
    </row>
    <row r="20" spans="1:32" ht="15" customHeight="1" x14ac:dyDescent="0.25">
      <c r="A20" s="16">
        <v>17</v>
      </c>
      <c r="B20" s="16" t="s">
        <v>617</v>
      </c>
      <c r="C20" s="16" t="s">
        <v>163</v>
      </c>
      <c r="D20" s="16" t="s">
        <v>187</v>
      </c>
      <c r="E20" s="16" t="s">
        <v>619</v>
      </c>
      <c r="F20" s="23" t="s">
        <v>660</v>
      </c>
      <c r="G20" s="23" t="s">
        <v>645</v>
      </c>
      <c r="H20" s="99">
        <v>45377</v>
      </c>
      <c r="I20" s="44">
        <v>1550.9749999999999</v>
      </c>
      <c r="J20" s="84">
        <v>550</v>
      </c>
      <c r="K20" s="61">
        <v>149.02500000000009</v>
      </c>
      <c r="L20" s="85">
        <v>2250</v>
      </c>
      <c r="M20" s="22">
        <v>16</v>
      </c>
      <c r="N20" s="18">
        <v>360</v>
      </c>
      <c r="O20" s="24">
        <v>6</v>
      </c>
      <c r="P20" s="25">
        <v>7.1001556515693662E-2</v>
      </c>
      <c r="Q20" s="33">
        <v>45575</v>
      </c>
      <c r="R20" s="19">
        <v>56349</v>
      </c>
      <c r="S20" s="19">
        <v>45392</v>
      </c>
      <c r="T20" s="35">
        <v>1612.4055209545306</v>
      </c>
      <c r="U20" s="36">
        <v>1607.9420744764407</v>
      </c>
      <c r="V20" s="103">
        <v>5.7559072994648464E-3</v>
      </c>
      <c r="W20" s="61">
        <v>1550.9749999999999</v>
      </c>
      <c r="X20" s="20">
        <v>2540</v>
      </c>
      <c r="Y20" s="57">
        <v>0.63304806081749632</v>
      </c>
      <c r="Z20" s="67">
        <v>-4.298443484306344E-3</v>
      </c>
      <c r="AA20" s="73">
        <v>10.982454000000001</v>
      </c>
      <c r="AB20" s="68">
        <v>23.529819312454507</v>
      </c>
      <c r="AC20" s="69">
        <v>40.352778220729455</v>
      </c>
      <c r="AD20" s="70" t="s">
        <v>620</v>
      </c>
      <c r="AE20" s="71">
        <v>7401</v>
      </c>
      <c r="AF20" s="72" t="s">
        <v>184</v>
      </c>
    </row>
    <row r="21" spans="1:32" ht="15" customHeight="1" x14ac:dyDescent="0.25">
      <c r="A21" s="16">
        <v>18</v>
      </c>
      <c r="B21" s="16" t="s">
        <v>621</v>
      </c>
      <c r="C21" s="16" t="s">
        <v>623</v>
      </c>
      <c r="D21" s="16" t="s">
        <v>624</v>
      </c>
      <c r="E21" s="16" t="s">
        <v>625</v>
      </c>
      <c r="F21" s="23" t="s">
        <v>661</v>
      </c>
      <c r="G21" s="23" t="s">
        <v>173</v>
      </c>
      <c r="H21" s="99">
        <v>45376</v>
      </c>
      <c r="I21" s="44">
        <v>912.4</v>
      </c>
      <c r="J21" s="84">
        <v>400</v>
      </c>
      <c r="K21" s="61">
        <v>87.600000000000023</v>
      </c>
      <c r="L21" s="85">
        <v>1400</v>
      </c>
      <c r="M21" s="22">
        <v>17</v>
      </c>
      <c r="N21" s="18">
        <v>288</v>
      </c>
      <c r="O21" s="24">
        <v>6</v>
      </c>
      <c r="P21" s="25">
        <v>7.0965245366096524E-2</v>
      </c>
      <c r="Q21" s="33">
        <v>45575</v>
      </c>
      <c r="R21" s="19">
        <v>54158</v>
      </c>
      <c r="S21" s="19">
        <v>45392</v>
      </c>
      <c r="T21" s="35">
        <v>943.88952857264826</v>
      </c>
      <c r="U21" s="36">
        <v>941.02321729931782</v>
      </c>
      <c r="V21" s="103">
        <v>5.7559072994648464E-3</v>
      </c>
      <c r="W21" s="61">
        <v>912.4</v>
      </c>
      <c r="X21" s="20">
        <v>1410</v>
      </c>
      <c r="Y21" s="57">
        <v>0.66739235269455166</v>
      </c>
      <c r="Z21" s="67">
        <v>-4.3347546339034815E-3</v>
      </c>
      <c r="AA21" s="73">
        <v>6.9634369999999999</v>
      </c>
      <c r="AB21" s="68">
        <v>26.594348476290676</v>
      </c>
      <c r="AC21" s="69">
        <v>38.932644949335454</v>
      </c>
      <c r="AD21" s="70" t="s">
        <v>626</v>
      </c>
      <c r="AE21" s="71">
        <v>7401</v>
      </c>
      <c r="AF21" s="72" t="s">
        <v>145</v>
      </c>
    </row>
    <row r="22" spans="1:32" ht="15" customHeight="1" x14ac:dyDescent="0.25">
      <c r="A22" s="16">
        <v>19</v>
      </c>
      <c r="B22" s="16" t="s">
        <v>627</v>
      </c>
      <c r="C22" s="16" t="s">
        <v>629</v>
      </c>
      <c r="D22" s="16" t="s">
        <v>630</v>
      </c>
      <c r="E22" s="16" t="s">
        <v>631</v>
      </c>
      <c r="F22" s="23" t="s">
        <v>662</v>
      </c>
      <c r="G22" s="23" t="s">
        <v>173</v>
      </c>
      <c r="H22" s="99">
        <v>45376</v>
      </c>
      <c r="I22" s="44">
        <v>1656</v>
      </c>
      <c r="J22" s="84">
        <v>325</v>
      </c>
      <c r="K22" s="61">
        <v>89</v>
      </c>
      <c r="L22" s="85">
        <v>2070</v>
      </c>
      <c r="M22" s="22">
        <v>18</v>
      </c>
      <c r="N22" s="18">
        <v>360</v>
      </c>
      <c r="O22" s="24">
        <v>6</v>
      </c>
      <c r="P22" s="25">
        <v>7.1001556515693662E-2</v>
      </c>
      <c r="Q22" s="33">
        <v>45575</v>
      </c>
      <c r="R22" s="19">
        <v>56349</v>
      </c>
      <c r="S22" s="19">
        <v>45392</v>
      </c>
      <c r="T22" s="35">
        <v>1721.5903136321158</v>
      </c>
      <c r="U22" s="36">
        <v>1717.7742075236295</v>
      </c>
      <c r="V22" s="103">
        <v>5.7559072994648464E-3</v>
      </c>
      <c r="W22" s="61">
        <v>1656</v>
      </c>
      <c r="X22" s="20">
        <v>2200</v>
      </c>
      <c r="Y22" s="57">
        <v>0.78080645796528614</v>
      </c>
      <c r="Z22" s="67">
        <v>-4.298443484306344E-3</v>
      </c>
      <c r="AA22" s="73">
        <v>11.726136</v>
      </c>
      <c r="AB22" s="68">
        <v>18.073503976315294</v>
      </c>
      <c r="AC22" s="69">
        <v>27.390951809260507</v>
      </c>
      <c r="AD22" s="70" t="s">
        <v>632</v>
      </c>
      <c r="AE22" s="71">
        <v>7401</v>
      </c>
      <c r="AF22" s="72" t="s">
        <v>145</v>
      </c>
    </row>
    <row r="23" spans="1:32" ht="15" customHeight="1" x14ac:dyDescent="0.25">
      <c r="A23" s="16">
        <v>20</v>
      </c>
      <c r="B23" s="16" t="s">
        <v>633</v>
      </c>
      <c r="C23" s="16" t="s">
        <v>635</v>
      </c>
      <c r="D23" s="16" t="s">
        <v>636</v>
      </c>
      <c r="E23" s="16" t="s">
        <v>637</v>
      </c>
      <c r="F23" s="23" t="s">
        <v>663</v>
      </c>
      <c r="G23" s="23" t="s">
        <v>168</v>
      </c>
      <c r="H23" s="99">
        <v>45376</v>
      </c>
      <c r="I23" s="44">
        <v>1860</v>
      </c>
      <c r="J23" s="84">
        <v>700</v>
      </c>
      <c r="K23" s="61">
        <v>240</v>
      </c>
      <c r="L23" s="85">
        <v>2800</v>
      </c>
      <c r="M23" s="22">
        <v>19</v>
      </c>
      <c r="N23" s="18">
        <v>360</v>
      </c>
      <c r="O23" s="24">
        <v>6</v>
      </c>
      <c r="P23" s="25">
        <v>7.1001556515693662E-2</v>
      </c>
      <c r="Q23" s="33">
        <v>45575</v>
      </c>
      <c r="R23" s="19">
        <v>56349</v>
      </c>
      <c r="S23" s="19">
        <v>45392</v>
      </c>
      <c r="T23" s="35">
        <v>1933.573423663732</v>
      </c>
      <c r="U23" s="36">
        <v>1928.6521048796014</v>
      </c>
      <c r="V23" s="103">
        <v>5.7559072994648464E-3</v>
      </c>
      <c r="W23" s="61">
        <v>1860</v>
      </c>
      <c r="X23" s="20">
        <v>2800</v>
      </c>
      <c r="Y23" s="57">
        <v>0.68880432317128626</v>
      </c>
      <c r="Z23" s="67">
        <v>-4.298443484306344E-3</v>
      </c>
      <c r="AA23" s="73">
        <v>13.17</v>
      </c>
      <c r="AB23" s="68">
        <v>17.733579809700817</v>
      </c>
      <c r="AC23" s="69">
        <v>21.092959051927078</v>
      </c>
      <c r="AD23" s="70" t="s">
        <v>638</v>
      </c>
      <c r="AE23" s="71">
        <v>13101</v>
      </c>
      <c r="AF23" s="72" t="s">
        <v>50</v>
      </c>
    </row>
  </sheetData>
  <mergeCells count="12">
    <mergeCell ref="AC2:AC3"/>
    <mergeCell ref="X2:X3"/>
    <mergeCell ref="Y2:Y3"/>
    <mergeCell ref="Z2:Z3"/>
    <mergeCell ref="AA2:AA3"/>
    <mergeCell ref="AB2:AB3"/>
    <mergeCell ref="V2:V3"/>
    <mergeCell ref="I2:I3"/>
    <mergeCell ref="P2:P3"/>
    <mergeCell ref="Q2:Q3"/>
    <mergeCell ref="R2:R3"/>
    <mergeCell ref="S2:S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MY22"/>
  <sheetViews>
    <sheetView showGridLines="0" workbookViewId="0">
      <pane xSplit="1" ySplit="2" topLeftCell="MH3" activePane="bottomRight" state="frozen"/>
      <selection pane="topRight" activeCell="C1" sqref="C1"/>
      <selection pane="bottomLeft" activeCell="A3" sqref="A3"/>
      <selection pane="bottomRight" activeCell="C3" sqref="C3:MY22"/>
    </sheetView>
  </sheetViews>
  <sheetFormatPr defaultColWidth="11.42578125" defaultRowHeight="12.75" x14ac:dyDescent="0.2"/>
  <cols>
    <col min="1" max="1" width="11.28515625" style="1" bestFit="1" customWidth="1"/>
    <col min="2" max="2" width="14.7109375" style="1" bestFit="1" customWidth="1"/>
  </cols>
  <sheetData>
    <row r="1" spans="1:363" x14ac:dyDescent="0.2">
      <c r="B1" s="14">
        <f>+'Valo FX'!U3</f>
        <v>45379</v>
      </c>
      <c r="C1" s="15">
        <f>'Valo FX'!T3</f>
        <v>45392</v>
      </c>
      <c r="D1" s="15">
        <f>EDATE(C1,1)</f>
        <v>45422</v>
      </c>
      <c r="E1" s="15">
        <f>EDATE(D1,1)</f>
        <v>45453</v>
      </c>
      <c r="F1" s="15">
        <f t="shared" ref="F1:BQ1" si="0">EDATE(E1,1)</f>
        <v>45483</v>
      </c>
      <c r="G1" s="15">
        <f t="shared" si="0"/>
        <v>45514</v>
      </c>
      <c r="H1" s="15">
        <f t="shared" si="0"/>
        <v>45545</v>
      </c>
      <c r="I1" s="15">
        <f t="shared" si="0"/>
        <v>45575</v>
      </c>
      <c r="J1" s="15">
        <f t="shared" si="0"/>
        <v>45606</v>
      </c>
      <c r="K1" s="15">
        <f t="shared" si="0"/>
        <v>45636</v>
      </c>
      <c r="L1" s="15">
        <f t="shared" si="0"/>
        <v>45667</v>
      </c>
      <c r="M1" s="15">
        <f t="shared" si="0"/>
        <v>45698</v>
      </c>
      <c r="N1" s="15">
        <f t="shared" si="0"/>
        <v>45726</v>
      </c>
      <c r="O1" s="15">
        <f t="shared" si="0"/>
        <v>45757</v>
      </c>
      <c r="P1" s="15">
        <f t="shared" si="0"/>
        <v>45787</v>
      </c>
      <c r="Q1" s="15">
        <f t="shared" si="0"/>
        <v>45818</v>
      </c>
      <c r="R1" s="15">
        <f t="shared" si="0"/>
        <v>45848</v>
      </c>
      <c r="S1" s="15">
        <f t="shared" si="0"/>
        <v>45879</v>
      </c>
      <c r="T1" s="15">
        <f t="shared" si="0"/>
        <v>45910</v>
      </c>
      <c r="U1" s="15">
        <f t="shared" si="0"/>
        <v>45940</v>
      </c>
      <c r="V1" s="15">
        <f t="shared" si="0"/>
        <v>45971</v>
      </c>
      <c r="W1" s="15">
        <f t="shared" si="0"/>
        <v>46001</v>
      </c>
      <c r="X1" s="15">
        <f t="shared" si="0"/>
        <v>46032</v>
      </c>
      <c r="Y1" s="15">
        <f t="shared" si="0"/>
        <v>46063</v>
      </c>
      <c r="Z1" s="15">
        <f t="shared" si="0"/>
        <v>46091</v>
      </c>
      <c r="AA1" s="15">
        <f t="shared" si="0"/>
        <v>46122</v>
      </c>
      <c r="AB1" s="15">
        <f t="shared" si="0"/>
        <v>46152</v>
      </c>
      <c r="AC1" s="15">
        <f t="shared" si="0"/>
        <v>46183</v>
      </c>
      <c r="AD1" s="15">
        <f t="shared" si="0"/>
        <v>46213</v>
      </c>
      <c r="AE1" s="15">
        <f t="shared" si="0"/>
        <v>46244</v>
      </c>
      <c r="AF1" s="15">
        <f t="shared" si="0"/>
        <v>46275</v>
      </c>
      <c r="AG1" s="15">
        <f t="shared" si="0"/>
        <v>46305</v>
      </c>
      <c r="AH1" s="15">
        <f t="shared" si="0"/>
        <v>46336</v>
      </c>
      <c r="AI1" s="15">
        <f t="shared" si="0"/>
        <v>46366</v>
      </c>
      <c r="AJ1" s="15">
        <f t="shared" si="0"/>
        <v>46397</v>
      </c>
      <c r="AK1" s="15">
        <f t="shared" si="0"/>
        <v>46428</v>
      </c>
      <c r="AL1" s="15">
        <f t="shared" si="0"/>
        <v>46456</v>
      </c>
      <c r="AM1" s="15">
        <f t="shared" si="0"/>
        <v>46487</v>
      </c>
      <c r="AN1" s="15">
        <f t="shared" si="0"/>
        <v>46517</v>
      </c>
      <c r="AO1" s="15">
        <f t="shared" si="0"/>
        <v>46548</v>
      </c>
      <c r="AP1" s="15">
        <f t="shared" si="0"/>
        <v>46578</v>
      </c>
      <c r="AQ1" s="15">
        <f t="shared" si="0"/>
        <v>46609</v>
      </c>
      <c r="AR1" s="15">
        <f t="shared" si="0"/>
        <v>46640</v>
      </c>
      <c r="AS1" s="15">
        <f t="shared" si="0"/>
        <v>46670</v>
      </c>
      <c r="AT1" s="15">
        <f t="shared" si="0"/>
        <v>46701</v>
      </c>
      <c r="AU1" s="15">
        <f t="shared" si="0"/>
        <v>46731</v>
      </c>
      <c r="AV1" s="15">
        <f t="shared" si="0"/>
        <v>46762</v>
      </c>
      <c r="AW1" s="15">
        <f t="shared" si="0"/>
        <v>46793</v>
      </c>
      <c r="AX1" s="15">
        <f t="shared" si="0"/>
        <v>46822</v>
      </c>
      <c r="AY1" s="15">
        <f t="shared" si="0"/>
        <v>46853</v>
      </c>
      <c r="AZ1" s="15">
        <f t="shared" si="0"/>
        <v>46883</v>
      </c>
      <c r="BA1" s="15">
        <f t="shared" si="0"/>
        <v>46914</v>
      </c>
      <c r="BB1" s="15">
        <f t="shared" si="0"/>
        <v>46944</v>
      </c>
      <c r="BC1" s="15">
        <f t="shared" si="0"/>
        <v>46975</v>
      </c>
      <c r="BD1" s="15">
        <f t="shared" si="0"/>
        <v>47006</v>
      </c>
      <c r="BE1" s="15">
        <f t="shared" si="0"/>
        <v>47036</v>
      </c>
      <c r="BF1" s="15">
        <f t="shared" si="0"/>
        <v>47067</v>
      </c>
      <c r="BG1" s="15">
        <f t="shared" si="0"/>
        <v>47097</v>
      </c>
      <c r="BH1" s="15">
        <f t="shared" si="0"/>
        <v>47128</v>
      </c>
      <c r="BI1" s="15">
        <f t="shared" si="0"/>
        <v>47159</v>
      </c>
      <c r="BJ1" s="15">
        <f t="shared" si="0"/>
        <v>47187</v>
      </c>
      <c r="BK1" s="15">
        <f t="shared" si="0"/>
        <v>47218</v>
      </c>
      <c r="BL1" s="15">
        <f t="shared" si="0"/>
        <v>47248</v>
      </c>
      <c r="BM1" s="15">
        <f t="shared" si="0"/>
        <v>47279</v>
      </c>
      <c r="BN1" s="15">
        <f t="shared" si="0"/>
        <v>47309</v>
      </c>
      <c r="BO1" s="15">
        <f t="shared" si="0"/>
        <v>47340</v>
      </c>
      <c r="BP1" s="15">
        <f t="shared" si="0"/>
        <v>47371</v>
      </c>
      <c r="BQ1" s="15">
        <f t="shared" si="0"/>
        <v>47401</v>
      </c>
      <c r="BR1" s="15">
        <f t="shared" ref="BR1:EC1" si="1">EDATE(BQ1,1)</f>
        <v>47432</v>
      </c>
      <c r="BS1" s="15">
        <f t="shared" si="1"/>
        <v>47462</v>
      </c>
      <c r="BT1" s="15">
        <f t="shared" si="1"/>
        <v>47493</v>
      </c>
      <c r="BU1" s="15">
        <f t="shared" si="1"/>
        <v>47524</v>
      </c>
      <c r="BV1" s="15">
        <f t="shared" si="1"/>
        <v>47552</v>
      </c>
      <c r="BW1" s="15">
        <f t="shared" si="1"/>
        <v>47583</v>
      </c>
      <c r="BX1" s="15">
        <f t="shared" si="1"/>
        <v>47613</v>
      </c>
      <c r="BY1" s="15">
        <f t="shared" si="1"/>
        <v>47644</v>
      </c>
      <c r="BZ1" s="15">
        <f t="shared" si="1"/>
        <v>47674</v>
      </c>
      <c r="CA1" s="15">
        <f t="shared" si="1"/>
        <v>47705</v>
      </c>
      <c r="CB1" s="15">
        <f t="shared" si="1"/>
        <v>47736</v>
      </c>
      <c r="CC1" s="15">
        <f t="shared" si="1"/>
        <v>47766</v>
      </c>
      <c r="CD1" s="15">
        <f t="shared" si="1"/>
        <v>47797</v>
      </c>
      <c r="CE1" s="15">
        <f t="shared" si="1"/>
        <v>47827</v>
      </c>
      <c r="CF1" s="15">
        <f t="shared" si="1"/>
        <v>47858</v>
      </c>
      <c r="CG1" s="15">
        <f t="shared" si="1"/>
        <v>47889</v>
      </c>
      <c r="CH1" s="15">
        <f t="shared" si="1"/>
        <v>47917</v>
      </c>
      <c r="CI1" s="15">
        <f t="shared" si="1"/>
        <v>47948</v>
      </c>
      <c r="CJ1" s="15">
        <f t="shared" si="1"/>
        <v>47978</v>
      </c>
      <c r="CK1" s="15">
        <f t="shared" si="1"/>
        <v>48009</v>
      </c>
      <c r="CL1" s="15">
        <f t="shared" si="1"/>
        <v>48039</v>
      </c>
      <c r="CM1" s="15">
        <f t="shared" si="1"/>
        <v>48070</v>
      </c>
      <c r="CN1" s="15">
        <f t="shared" si="1"/>
        <v>48101</v>
      </c>
      <c r="CO1" s="15">
        <f t="shared" si="1"/>
        <v>48131</v>
      </c>
      <c r="CP1" s="15">
        <f t="shared" si="1"/>
        <v>48162</v>
      </c>
      <c r="CQ1" s="15">
        <f t="shared" si="1"/>
        <v>48192</v>
      </c>
      <c r="CR1" s="15">
        <f t="shared" si="1"/>
        <v>48223</v>
      </c>
      <c r="CS1" s="15">
        <f t="shared" si="1"/>
        <v>48254</v>
      </c>
      <c r="CT1" s="15">
        <f t="shared" si="1"/>
        <v>48283</v>
      </c>
      <c r="CU1" s="15">
        <f t="shared" si="1"/>
        <v>48314</v>
      </c>
      <c r="CV1" s="15">
        <f t="shared" si="1"/>
        <v>48344</v>
      </c>
      <c r="CW1" s="15">
        <f t="shared" si="1"/>
        <v>48375</v>
      </c>
      <c r="CX1" s="15">
        <f t="shared" si="1"/>
        <v>48405</v>
      </c>
      <c r="CY1" s="15">
        <f t="shared" si="1"/>
        <v>48436</v>
      </c>
      <c r="CZ1" s="15">
        <f t="shared" si="1"/>
        <v>48467</v>
      </c>
      <c r="DA1" s="15">
        <f t="shared" si="1"/>
        <v>48497</v>
      </c>
      <c r="DB1" s="15">
        <f t="shared" si="1"/>
        <v>48528</v>
      </c>
      <c r="DC1" s="15">
        <f t="shared" si="1"/>
        <v>48558</v>
      </c>
      <c r="DD1" s="15">
        <f t="shared" si="1"/>
        <v>48589</v>
      </c>
      <c r="DE1" s="15">
        <f t="shared" si="1"/>
        <v>48620</v>
      </c>
      <c r="DF1" s="15">
        <f t="shared" si="1"/>
        <v>48648</v>
      </c>
      <c r="DG1" s="15">
        <f t="shared" si="1"/>
        <v>48679</v>
      </c>
      <c r="DH1" s="15">
        <f t="shared" si="1"/>
        <v>48709</v>
      </c>
      <c r="DI1" s="15">
        <f t="shared" si="1"/>
        <v>48740</v>
      </c>
      <c r="DJ1" s="15">
        <f t="shared" si="1"/>
        <v>48770</v>
      </c>
      <c r="DK1" s="15">
        <f t="shared" si="1"/>
        <v>48801</v>
      </c>
      <c r="DL1" s="15">
        <f t="shared" si="1"/>
        <v>48832</v>
      </c>
      <c r="DM1" s="15">
        <f t="shared" si="1"/>
        <v>48862</v>
      </c>
      <c r="DN1" s="15">
        <f t="shared" si="1"/>
        <v>48893</v>
      </c>
      <c r="DO1" s="15">
        <f t="shared" si="1"/>
        <v>48923</v>
      </c>
      <c r="DP1" s="15">
        <f t="shared" si="1"/>
        <v>48954</v>
      </c>
      <c r="DQ1" s="15">
        <f t="shared" si="1"/>
        <v>48985</v>
      </c>
      <c r="DR1" s="15">
        <f t="shared" si="1"/>
        <v>49013</v>
      </c>
      <c r="DS1" s="15">
        <f t="shared" si="1"/>
        <v>49044</v>
      </c>
      <c r="DT1" s="15">
        <f t="shared" si="1"/>
        <v>49074</v>
      </c>
      <c r="DU1" s="15">
        <f t="shared" si="1"/>
        <v>49105</v>
      </c>
      <c r="DV1" s="15">
        <f t="shared" si="1"/>
        <v>49135</v>
      </c>
      <c r="DW1" s="15">
        <f t="shared" si="1"/>
        <v>49166</v>
      </c>
      <c r="DX1" s="15">
        <f t="shared" si="1"/>
        <v>49197</v>
      </c>
      <c r="DY1" s="15">
        <f t="shared" si="1"/>
        <v>49227</v>
      </c>
      <c r="DZ1" s="15">
        <f t="shared" si="1"/>
        <v>49258</v>
      </c>
      <c r="EA1" s="15">
        <f t="shared" si="1"/>
        <v>49288</v>
      </c>
      <c r="EB1" s="15">
        <f t="shared" si="1"/>
        <v>49319</v>
      </c>
      <c r="EC1" s="15">
        <f t="shared" si="1"/>
        <v>49350</v>
      </c>
      <c r="ED1" s="15">
        <f t="shared" ref="ED1:GO1" si="2">EDATE(EC1,1)</f>
        <v>49378</v>
      </c>
      <c r="EE1" s="15">
        <f t="shared" si="2"/>
        <v>49409</v>
      </c>
      <c r="EF1" s="15">
        <f t="shared" si="2"/>
        <v>49439</v>
      </c>
      <c r="EG1" s="15">
        <f t="shared" si="2"/>
        <v>49470</v>
      </c>
      <c r="EH1" s="15">
        <f t="shared" si="2"/>
        <v>49500</v>
      </c>
      <c r="EI1" s="15">
        <f t="shared" si="2"/>
        <v>49531</v>
      </c>
      <c r="EJ1" s="15">
        <f t="shared" si="2"/>
        <v>49562</v>
      </c>
      <c r="EK1" s="15">
        <f t="shared" si="2"/>
        <v>49592</v>
      </c>
      <c r="EL1" s="15">
        <f t="shared" si="2"/>
        <v>49623</v>
      </c>
      <c r="EM1" s="15">
        <f t="shared" si="2"/>
        <v>49653</v>
      </c>
      <c r="EN1" s="15">
        <f t="shared" si="2"/>
        <v>49684</v>
      </c>
      <c r="EO1" s="15">
        <f t="shared" si="2"/>
        <v>49715</v>
      </c>
      <c r="EP1" s="15">
        <f t="shared" si="2"/>
        <v>49744</v>
      </c>
      <c r="EQ1" s="15">
        <f t="shared" si="2"/>
        <v>49775</v>
      </c>
      <c r="ER1" s="15">
        <f t="shared" si="2"/>
        <v>49805</v>
      </c>
      <c r="ES1" s="15">
        <f t="shared" si="2"/>
        <v>49836</v>
      </c>
      <c r="ET1" s="15">
        <f t="shared" si="2"/>
        <v>49866</v>
      </c>
      <c r="EU1" s="15">
        <f t="shared" si="2"/>
        <v>49897</v>
      </c>
      <c r="EV1" s="15">
        <f t="shared" si="2"/>
        <v>49928</v>
      </c>
      <c r="EW1" s="15">
        <f t="shared" si="2"/>
        <v>49958</v>
      </c>
      <c r="EX1" s="15">
        <f t="shared" si="2"/>
        <v>49989</v>
      </c>
      <c r="EY1" s="15">
        <f t="shared" si="2"/>
        <v>50019</v>
      </c>
      <c r="EZ1" s="15">
        <f t="shared" si="2"/>
        <v>50050</v>
      </c>
      <c r="FA1" s="15">
        <f t="shared" si="2"/>
        <v>50081</v>
      </c>
      <c r="FB1" s="15">
        <f t="shared" si="2"/>
        <v>50109</v>
      </c>
      <c r="FC1" s="15">
        <f t="shared" si="2"/>
        <v>50140</v>
      </c>
      <c r="FD1" s="15">
        <f t="shared" si="2"/>
        <v>50170</v>
      </c>
      <c r="FE1" s="15">
        <f t="shared" si="2"/>
        <v>50201</v>
      </c>
      <c r="FF1" s="15">
        <f t="shared" si="2"/>
        <v>50231</v>
      </c>
      <c r="FG1" s="15">
        <f t="shared" si="2"/>
        <v>50262</v>
      </c>
      <c r="FH1" s="15">
        <f t="shared" si="2"/>
        <v>50293</v>
      </c>
      <c r="FI1" s="15">
        <f t="shared" si="2"/>
        <v>50323</v>
      </c>
      <c r="FJ1" s="15">
        <f t="shared" si="2"/>
        <v>50354</v>
      </c>
      <c r="FK1" s="15">
        <f t="shared" si="2"/>
        <v>50384</v>
      </c>
      <c r="FL1" s="15">
        <f t="shared" si="2"/>
        <v>50415</v>
      </c>
      <c r="FM1" s="15">
        <f t="shared" si="2"/>
        <v>50446</v>
      </c>
      <c r="FN1" s="15">
        <f t="shared" si="2"/>
        <v>50474</v>
      </c>
      <c r="FO1" s="15">
        <f t="shared" si="2"/>
        <v>50505</v>
      </c>
      <c r="FP1" s="15">
        <f t="shared" si="2"/>
        <v>50535</v>
      </c>
      <c r="FQ1" s="15">
        <f t="shared" si="2"/>
        <v>50566</v>
      </c>
      <c r="FR1" s="15">
        <f t="shared" si="2"/>
        <v>50596</v>
      </c>
      <c r="FS1" s="15">
        <f t="shared" si="2"/>
        <v>50627</v>
      </c>
      <c r="FT1" s="15">
        <f t="shared" si="2"/>
        <v>50658</v>
      </c>
      <c r="FU1" s="15">
        <f t="shared" si="2"/>
        <v>50688</v>
      </c>
      <c r="FV1" s="15">
        <f t="shared" si="2"/>
        <v>50719</v>
      </c>
      <c r="FW1" s="15">
        <f t="shared" si="2"/>
        <v>50749</v>
      </c>
      <c r="FX1" s="15">
        <f t="shared" si="2"/>
        <v>50780</v>
      </c>
      <c r="FY1" s="15">
        <f t="shared" si="2"/>
        <v>50811</v>
      </c>
      <c r="FZ1" s="15">
        <f t="shared" si="2"/>
        <v>50839</v>
      </c>
      <c r="GA1" s="15">
        <f t="shared" si="2"/>
        <v>50870</v>
      </c>
      <c r="GB1" s="15">
        <f t="shared" si="2"/>
        <v>50900</v>
      </c>
      <c r="GC1" s="15">
        <f t="shared" si="2"/>
        <v>50931</v>
      </c>
      <c r="GD1" s="15">
        <f t="shared" si="2"/>
        <v>50961</v>
      </c>
      <c r="GE1" s="15">
        <f t="shared" si="2"/>
        <v>50992</v>
      </c>
      <c r="GF1" s="15">
        <f t="shared" si="2"/>
        <v>51023</v>
      </c>
      <c r="GG1" s="15">
        <f t="shared" si="2"/>
        <v>51053</v>
      </c>
      <c r="GH1" s="15">
        <f t="shared" si="2"/>
        <v>51084</v>
      </c>
      <c r="GI1" s="15">
        <f t="shared" si="2"/>
        <v>51114</v>
      </c>
      <c r="GJ1" s="15">
        <f t="shared" si="2"/>
        <v>51145</v>
      </c>
      <c r="GK1" s="15">
        <f t="shared" si="2"/>
        <v>51176</v>
      </c>
      <c r="GL1" s="15">
        <f t="shared" si="2"/>
        <v>51205</v>
      </c>
      <c r="GM1" s="15">
        <f t="shared" si="2"/>
        <v>51236</v>
      </c>
      <c r="GN1" s="15">
        <f t="shared" si="2"/>
        <v>51266</v>
      </c>
      <c r="GO1" s="15">
        <f t="shared" si="2"/>
        <v>51297</v>
      </c>
      <c r="GP1" s="15">
        <f t="shared" ref="GP1:JA1" si="3">EDATE(GO1,1)</f>
        <v>51327</v>
      </c>
      <c r="GQ1" s="15">
        <f t="shared" si="3"/>
        <v>51358</v>
      </c>
      <c r="GR1" s="15">
        <f t="shared" si="3"/>
        <v>51389</v>
      </c>
      <c r="GS1" s="15">
        <f t="shared" si="3"/>
        <v>51419</v>
      </c>
      <c r="GT1" s="15">
        <f t="shared" si="3"/>
        <v>51450</v>
      </c>
      <c r="GU1" s="15">
        <f t="shared" si="3"/>
        <v>51480</v>
      </c>
      <c r="GV1" s="15">
        <f t="shared" si="3"/>
        <v>51511</v>
      </c>
      <c r="GW1" s="15">
        <f t="shared" si="3"/>
        <v>51542</v>
      </c>
      <c r="GX1" s="15">
        <f t="shared" si="3"/>
        <v>51570</v>
      </c>
      <c r="GY1" s="15">
        <f t="shared" si="3"/>
        <v>51601</v>
      </c>
      <c r="GZ1" s="15">
        <f t="shared" si="3"/>
        <v>51631</v>
      </c>
      <c r="HA1" s="15">
        <f t="shared" si="3"/>
        <v>51662</v>
      </c>
      <c r="HB1" s="15">
        <f t="shared" si="3"/>
        <v>51692</v>
      </c>
      <c r="HC1" s="15">
        <f t="shared" si="3"/>
        <v>51723</v>
      </c>
      <c r="HD1" s="15">
        <f t="shared" si="3"/>
        <v>51754</v>
      </c>
      <c r="HE1" s="15">
        <f t="shared" si="3"/>
        <v>51784</v>
      </c>
      <c r="HF1" s="15">
        <f t="shared" si="3"/>
        <v>51815</v>
      </c>
      <c r="HG1" s="15">
        <f t="shared" si="3"/>
        <v>51845</v>
      </c>
      <c r="HH1" s="15">
        <f t="shared" si="3"/>
        <v>51876</v>
      </c>
      <c r="HI1" s="15">
        <f t="shared" si="3"/>
        <v>51907</v>
      </c>
      <c r="HJ1" s="15">
        <f t="shared" si="3"/>
        <v>51935</v>
      </c>
      <c r="HK1" s="15">
        <f t="shared" si="3"/>
        <v>51966</v>
      </c>
      <c r="HL1" s="15">
        <f t="shared" si="3"/>
        <v>51996</v>
      </c>
      <c r="HM1" s="15">
        <f t="shared" si="3"/>
        <v>52027</v>
      </c>
      <c r="HN1" s="15">
        <f t="shared" si="3"/>
        <v>52057</v>
      </c>
      <c r="HO1" s="15">
        <f t="shared" si="3"/>
        <v>52088</v>
      </c>
      <c r="HP1" s="15">
        <f t="shared" si="3"/>
        <v>52119</v>
      </c>
      <c r="HQ1" s="15">
        <f t="shared" si="3"/>
        <v>52149</v>
      </c>
      <c r="HR1" s="15">
        <f t="shared" si="3"/>
        <v>52180</v>
      </c>
      <c r="HS1" s="15">
        <f t="shared" si="3"/>
        <v>52210</v>
      </c>
      <c r="HT1" s="15">
        <f t="shared" si="3"/>
        <v>52241</v>
      </c>
      <c r="HU1" s="15">
        <f t="shared" si="3"/>
        <v>52272</v>
      </c>
      <c r="HV1" s="15">
        <f t="shared" si="3"/>
        <v>52300</v>
      </c>
      <c r="HW1" s="15">
        <f t="shared" si="3"/>
        <v>52331</v>
      </c>
      <c r="HX1" s="15">
        <f t="shared" si="3"/>
        <v>52361</v>
      </c>
      <c r="HY1" s="15">
        <f t="shared" si="3"/>
        <v>52392</v>
      </c>
      <c r="HZ1" s="15">
        <f t="shared" si="3"/>
        <v>52422</v>
      </c>
      <c r="IA1" s="15">
        <f t="shared" si="3"/>
        <v>52453</v>
      </c>
      <c r="IB1" s="15">
        <f t="shared" si="3"/>
        <v>52484</v>
      </c>
      <c r="IC1" s="15">
        <f t="shared" si="3"/>
        <v>52514</v>
      </c>
      <c r="ID1" s="15">
        <f t="shared" si="3"/>
        <v>52545</v>
      </c>
      <c r="IE1" s="15">
        <f t="shared" si="3"/>
        <v>52575</v>
      </c>
      <c r="IF1" s="15">
        <f t="shared" si="3"/>
        <v>52606</v>
      </c>
      <c r="IG1" s="15">
        <f t="shared" si="3"/>
        <v>52637</v>
      </c>
      <c r="IH1" s="15">
        <f t="shared" si="3"/>
        <v>52666</v>
      </c>
      <c r="II1" s="15">
        <f t="shared" si="3"/>
        <v>52697</v>
      </c>
      <c r="IJ1" s="15">
        <f t="shared" si="3"/>
        <v>52727</v>
      </c>
      <c r="IK1" s="15">
        <f t="shared" si="3"/>
        <v>52758</v>
      </c>
      <c r="IL1" s="15">
        <f t="shared" si="3"/>
        <v>52788</v>
      </c>
      <c r="IM1" s="15">
        <f t="shared" si="3"/>
        <v>52819</v>
      </c>
      <c r="IN1" s="15">
        <f t="shared" si="3"/>
        <v>52850</v>
      </c>
      <c r="IO1" s="15">
        <f t="shared" si="3"/>
        <v>52880</v>
      </c>
      <c r="IP1" s="15">
        <f t="shared" si="3"/>
        <v>52911</v>
      </c>
      <c r="IQ1" s="15">
        <f t="shared" si="3"/>
        <v>52941</v>
      </c>
      <c r="IR1" s="15">
        <f t="shared" si="3"/>
        <v>52972</v>
      </c>
      <c r="IS1" s="15">
        <f t="shared" si="3"/>
        <v>53003</v>
      </c>
      <c r="IT1" s="15">
        <f t="shared" si="3"/>
        <v>53031</v>
      </c>
      <c r="IU1" s="15">
        <f t="shared" si="3"/>
        <v>53062</v>
      </c>
      <c r="IV1" s="15">
        <f t="shared" si="3"/>
        <v>53092</v>
      </c>
      <c r="IW1" s="15">
        <f t="shared" si="3"/>
        <v>53123</v>
      </c>
      <c r="IX1" s="15">
        <f t="shared" si="3"/>
        <v>53153</v>
      </c>
      <c r="IY1" s="15">
        <f t="shared" si="3"/>
        <v>53184</v>
      </c>
      <c r="IZ1" s="15">
        <f t="shared" si="3"/>
        <v>53215</v>
      </c>
      <c r="JA1" s="15">
        <f t="shared" si="3"/>
        <v>53245</v>
      </c>
      <c r="JB1" s="15">
        <f t="shared" ref="JB1:LM1" si="4">EDATE(JA1,1)</f>
        <v>53276</v>
      </c>
      <c r="JC1" s="15">
        <f t="shared" si="4"/>
        <v>53306</v>
      </c>
      <c r="JD1" s="15">
        <f t="shared" si="4"/>
        <v>53337</v>
      </c>
      <c r="JE1" s="15">
        <f t="shared" si="4"/>
        <v>53368</v>
      </c>
      <c r="JF1" s="15">
        <f t="shared" si="4"/>
        <v>53396</v>
      </c>
      <c r="JG1" s="15">
        <f t="shared" si="4"/>
        <v>53427</v>
      </c>
      <c r="JH1" s="15">
        <f t="shared" si="4"/>
        <v>53457</v>
      </c>
      <c r="JI1" s="15">
        <f t="shared" si="4"/>
        <v>53488</v>
      </c>
      <c r="JJ1" s="15">
        <f t="shared" si="4"/>
        <v>53518</v>
      </c>
      <c r="JK1" s="15">
        <f t="shared" si="4"/>
        <v>53549</v>
      </c>
      <c r="JL1" s="15">
        <f t="shared" si="4"/>
        <v>53580</v>
      </c>
      <c r="JM1" s="15">
        <f t="shared" si="4"/>
        <v>53610</v>
      </c>
      <c r="JN1" s="15">
        <f t="shared" si="4"/>
        <v>53641</v>
      </c>
      <c r="JO1" s="15">
        <f t="shared" si="4"/>
        <v>53671</v>
      </c>
      <c r="JP1" s="15">
        <f t="shared" si="4"/>
        <v>53702</v>
      </c>
      <c r="JQ1" s="15">
        <f t="shared" si="4"/>
        <v>53733</v>
      </c>
      <c r="JR1" s="15">
        <f t="shared" si="4"/>
        <v>53761</v>
      </c>
      <c r="JS1" s="15">
        <f t="shared" si="4"/>
        <v>53792</v>
      </c>
      <c r="JT1" s="15">
        <f t="shared" si="4"/>
        <v>53822</v>
      </c>
      <c r="JU1" s="15">
        <f t="shared" si="4"/>
        <v>53853</v>
      </c>
      <c r="JV1" s="15">
        <f t="shared" si="4"/>
        <v>53883</v>
      </c>
      <c r="JW1" s="15">
        <f t="shared" si="4"/>
        <v>53914</v>
      </c>
      <c r="JX1" s="15">
        <f t="shared" si="4"/>
        <v>53945</v>
      </c>
      <c r="JY1" s="15">
        <f t="shared" si="4"/>
        <v>53975</v>
      </c>
      <c r="JZ1" s="15">
        <f t="shared" si="4"/>
        <v>54006</v>
      </c>
      <c r="KA1" s="15">
        <f t="shared" si="4"/>
        <v>54036</v>
      </c>
      <c r="KB1" s="15">
        <f t="shared" si="4"/>
        <v>54067</v>
      </c>
      <c r="KC1" s="15">
        <f t="shared" si="4"/>
        <v>54098</v>
      </c>
      <c r="KD1" s="15">
        <f t="shared" si="4"/>
        <v>54127</v>
      </c>
      <c r="KE1" s="15">
        <f t="shared" si="4"/>
        <v>54158</v>
      </c>
      <c r="KF1" s="15">
        <f t="shared" si="4"/>
        <v>54188</v>
      </c>
      <c r="KG1" s="15">
        <f t="shared" si="4"/>
        <v>54219</v>
      </c>
      <c r="KH1" s="15">
        <f t="shared" si="4"/>
        <v>54249</v>
      </c>
      <c r="KI1" s="15">
        <f t="shared" si="4"/>
        <v>54280</v>
      </c>
      <c r="KJ1" s="15">
        <f t="shared" si="4"/>
        <v>54311</v>
      </c>
      <c r="KK1" s="15">
        <f t="shared" si="4"/>
        <v>54341</v>
      </c>
      <c r="KL1" s="15">
        <f t="shared" si="4"/>
        <v>54372</v>
      </c>
      <c r="KM1" s="15">
        <f t="shared" si="4"/>
        <v>54402</v>
      </c>
      <c r="KN1" s="15">
        <f t="shared" si="4"/>
        <v>54433</v>
      </c>
      <c r="KO1" s="15">
        <f t="shared" si="4"/>
        <v>54464</v>
      </c>
      <c r="KP1" s="15">
        <f t="shared" si="4"/>
        <v>54492</v>
      </c>
      <c r="KQ1" s="15">
        <f t="shared" si="4"/>
        <v>54523</v>
      </c>
      <c r="KR1" s="15">
        <f t="shared" si="4"/>
        <v>54553</v>
      </c>
      <c r="KS1" s="15">
        <f t="shared" si="4"/>
        <v>54584</v>
      </c>
      <c r="KT1" s="15">
        <f t="shared" si="4"/>
        <v>54614</v>
      </c>
      <c r="KU1" s="15">
        <f t="shared" si="4"/>
        <v>54645</v>
      </c>
      <c r="KV1" s="15">
        <f t="shared" si="4"/>
        <v>54676</v>
      </c>
      <c r="KW1" s="15">
        <f t="shared" si="4"/>
        <v>54706</v>
      </c>
      <c r="KX1" s="15">
        <f t="shared" si="4"/>
        <v>54737</v>
      </c>
      <c r="KY1" s="15">
        <f t="shared" si="4"/>
        <v>54767</v>
      </c>
      <c r="KZ1" s="15">
        <f t="shared" si="4"/>
        <v>54798</v>
      </c>
      <c r="LA1" s="15">
        <f t="shared" si="4"/>
        <v>54829</v>
      </c>
      <c r="LB1" s="15">
        <f t="shared" si="4"/>
        <v>54857</v>
      </c>
      <c r="LC1" s="15">
        <f t="shared" si="4"/>
        <v>54888</v>
      </c>
      <c r="LD1" s="15">
        <f t="shared" si="4"/>
        <v>54918</v>
      </c>
      <c r="LE1" s="15">
        <f t="shared" si="4"/>
        <v>54949</v>
      </c>
      <c r="LF1" s="15">
        <f t="shared" si="4"/>
        <v>54979</v>
      </c>
      <c r="LG1" s="15">
        <f t="shared" si="4"/>
        <v>55010</v>
      </c>
      <c r="LH1" s="15">
        <f t="shared" si="4"/>
        <v>55041</v>
      </c>
      <c r="LI1" s="15">
        <f t="shared" si="4"/>
        <v>55071</v>
      </c>
      <c r="LJ1" s="15">
        <f t="shared" si="4"/>
        <v>55102</v>
      </c>
      <c r="LK1" s="15">
        <f t="shared" si="4"/>
        <v>55132</v>
      </c>
      <c r="LL1" s="15">
        <f t="shared" si="4"/>
        <v>55163</v>
      </c>
      <c r="LM1" s="15">
        <f t="shared" si="4"/>
        <v>55194</v>
      </c>
      <c r="LN1" s="15">
        <f t="shared" ref="LN1:MY1" si="5">EDATE(LM1,1)</f>
        <v>55222</v>
      </c>
      <c r="LO1" s="15">
        <f t="shared" si="5"/>
        <v>55253</v>
      </c>
      <c r="LP1" s="15">
        <f t="shared" si="5"/>
        <v>55283</v>
      </c>
      <c r="LQ1" s="15">
        <f t="shared" si="5"/>
        <v>55314</v>
      </c>
      <c r="LR1" s="15">
        <f t="shared" si="5"/>
        <v>55344</v>
      </c>
      <c r="LS1" s="15">
        <f t="shared" si="5"/>
        <v>55375</v>
      </c>
      <c r="LT1" s="15">
        <f t="shared" si="5"/>
        <v>55406</v>
      </c>
      <c r="LU1" s="15">
        <f t="shared" si="5"/>
        <v>55436</v>
      </c>
      <c r="LV1" s="15">
        <f t="shared" si="5"/>
        <v>55467</v>
      </c>
      <c r="LW1" s="15">
        <f t="shared" si="5"/>
        <v>55497</v>
      </c>
      <c r="LX1" s="15">
        <f t="shared" si="5"/>
        <v>55528</v>
      </c>
      <c r="LY1" s="15">
        <f t="shared" si="5"/>
        <v>55559</v>
      </c>
      <c r="LZ1" s="15">
        <f t="shared" si="5"/>
        <v>55588</v>
      </c>
      <c r="MA1" s="15">
        <f t="shared" si="5"/>
        <v>55619</v>
      </c>
      <c r="MB1" s="15">
        <f t="shared" si="5"/>
        <v>55649</v>
      </c>
      <c r="MC1" s="15">
        <f t="shared" si="5"/>
        <v>55680</v>
      </c>
      <c r="MD1" s="15">
        <f t="shared" si="5"/>
        <v>55710</v>
      </c>
      <c r="ME1" s="15">
        <f t="shared" si="5"/>
        <v>55741</v>
      </c>
      <c r="MF1" s="15">
        <f t="shared" si="5"/>
        <v>55772</v>
      </c>
      <c r="MG1" s="15">
        <f t="shared" si="5"/>
        <v>55802</v>
      </c>
      <c r="MH1" s="15">
        <f t="shared" si="5"/>
        <v>55833</v>
      </c>
      <c r="MI1" s="15">
        <f t="shared" si="5"/>
        <v>55863</v>
      </c>
      <c r="MJ1" s="15">
        <f t="shared" si="5"/>
        <v>55894</v>
      </c>
      <c r="MK1" s="15">
        <f t="shared" si="5"/>
        <v>55925</v>
      </c>
      <c r="ML1" s="15">
        <f t="shared" si="5"/>
        <v>55953</v>
      </c>
      <c r="MM1" s="15">
        <f t="shared" si="5"/>
        <v>55984</v>
      </c>
      <c r="MN1" s="15">
        <f t="shared" si="5"/>
        <v>56014</v>
      </c>
      <c r="MO1" s="15">
        <f t="shared" si="5"/>
        <v>56045</v>
      </c>
      <c r="MP1" s="15">
        <f t="shared" si="5"/>
        <v>56075</v>
      </c>
      <c r="MQ1" s="15">
        <f t="shared" si="5"/>
        <v>56106</v>
      </c>
      <c r="MR1" s="15">
        <f t="shared" si="5"/>
        <v>56137</v>
      </c>
      <c r="MS1" s="15">
        <f t="shared" si="5"/>
        <v>56167</v>
      </c>
      <c r="MT1" s="15">
        <f t="shared" si="5"/>
        <v>56198</v>
      </c>
      <c r="MU1" s="15">
        <f t="shared" si="5"/>
        <v>56228</v>
      </c>
      <c r="MV1" s="15">
        <f t="shared" si="5"/>
        <v>56259</v>
      </c>
      <c r="MW1" s="15">
        <f t="shared" si="5"/>
        <v>56290</v>
      </c>
      <c r="MX1" s="15">
        <f t="shared" si="5"/>
        <v>56318</v>
      </c>
      <c r="MY1" s="15">
        <f t="shared" si="5"/>
        <v>56349</v>
      </c>
    </row>
    <row r="2" spans="1:363" ht="24.75" customHeight="1" x14ac:dyDescent="0.2">
      <c r="A2" s="2" t="s">
        <v>0</v>
      </c>
      <c r="B2" s="43" t="s">
        <v>134</v>
      </c>
      <c r="C2" s="3">
        <v>1</v>
      </c>
      <c r="D2" s="3">
        <f>C2+1</f>
        <v>2</v>
      </c>
      <c r="E2" s="3">
        <f t="shared" ref="E2:BP2" si="6">D2+1</f>
        <v>3</v>
      </c>
      <c r="F2" s="3">
        <f t="shared" si="6"/>
        <v>4</v>
      </c>
      <c r="G2" s="3">
        <f t="shared" si="6"/>
        <v>5</v>
      </c>
      <c r="H2" s="3">
        <f t="shared" si="6"/>
        <v>6</v>
      </c>
      <c r="I2" s="3">
        <f t="shared" si="6"/>
        <v>7</v>
      </c>
      <c r="J2" s="3">
        <f t="shared" si="6"/>
        <v>8</v>
      </c>
      <c r="K2" s="3">
        <f t="shared" si="6"/>
        <v>9</v>
      </c>
      <c r="L2" s="3">
        <f t="shared" si="6"/>
        <v>10</v>
      </c>
      <c r="M2" s="3">
        <f t="shared" si="6"/>
        <v>11</v>
      </c>
      <c r="N2" s="3">
        <f t="shared" si="6"/>
        <v>12</v>
      </c>
      <c r="O2" s="3">
        <f t="shared" si="6"/>
        <v>13</v>
      </c>
      <c r="P2" s="3">
        <f t="shared" si="6"/>
        <v>14</v>
      </c>
      <c r="Q2" s="3">
        <f t="shared" si="6"/>
        <v>15</v>
      </c>
      <c r="R2" s="3">
        <f t="shared" si="6"/>
        <v>16</v>
      </c>
      <c r="S2" s="3">
        <f t="shared" si="6"/>
        <v>17</v>
      </c>
      <c r="T2" s="3">
        <f t="shared" si="6"/>
        <v>18</v>
      </c>
      <c r="U2" s="3">
        <f t="shared" si="6"/>
        <v>19</v>
      </c>
      <c r="V2" s="3">
        <f t="shared" si="6"/>
        <v>20</v>
      </c>
      <c r="W2" s="3">
        <f t="shared" si="6"/>
        <v>21</v>
      </c>
      <c r="X2" s="3">
        <f t="shared" si="6"/>
        <v>22</v>
      </c>
      <c r="Y2" s="3">
        <f t="shared" si="6"/>
        <v>23</v>
      </c>
      <c r="Z2" s="3">
        <f t="shared" si="6"/>
        <v>24</v>
      </c>
      <c r="AA2" s="3">
        <f t="shared" si="6"/>
        <v>25</v>
      </c>
      <c r="AB2" s="3">
        <f t="shared" si="6"/>
        <v>26</v>
      </c>
      <c r="AC2" s="3">
        <f t="shared" si="6"/>
        <v>27</v>
      </c>
      <c r="AD2" s="3">
        <f t="shared" si="6"/>
        <v>28</v>
      </c>
      <c r="AE2" s="3">
        <f t="shared" si="6"/>
        <v>29</v>
      </c>
      <c r="AF2" s="3">
        <f t="shared" si="6"/>
        <v>30</v>
      </c>
      <c r="AG2" s="3">
        <f t="shared" si="6"/>
        <v>31</v>
      </c>
      <c r="AH2" s="3">
        <f t="shared" si="6"/>
        <v>32</v>
      </c>
      <c r="AI2" s="3">
        <f t="shared" si="6"/>
        <v>33</v>
      </c>
      <c r="AJ2" s="3">
        <f t="shared" si="6"/>
        <v>34</v>
      </c>
      <c r="AK2" s="3">
        <f t="shared" si="6"/>
        <v>35</v>
      </c>
      <c r="AL2" s="3">
        <f t="shared" si="6"/>
        <v>36</v>
      </c>
      <c r="AM2" s="3">
        <f t="shared" si="6"/>
        <v>37</v>
      </c>
      <c r="AN2" s="3">
        <f t="shared" si="6"/>
        <v>38</v>
      </c>
      <c r="AO2" s="3">
        <f t="shared" si="6"/>
        <v>39</v>
      </c>
      <c r="AP2" s="3">
        <f t="shared" si="6"/>
        <v>40</v>
      </c>
      <c r="AQ2" s="3">
        <f t="shared" si="6"/>
        <v>41</v>
      </c>
      <c r="AR2" s="3">
        <f t="shared" si="6"/>
        <v>42</v>
      </c>
      <c r="AS2" s="3">
        <f t="shared" si="6"/>
        <v>43</v>
      </c>
      <c r="AT2" s="3">
        <f t="shared" si="6"/>
        <v>44</v>
      </c>
      <c r="AU2" s="3">
        <f t="shared" si="6"/>
        <v>45</v>
      </c>
      <c r="AV2" s="3">
        <f t="shared" si="6"/>
        <v>46</v>
      </c>
      <c r="AW2" s="3">
        <f t="shared" si="6"/>
        <v>47</v>
      </c>
      <c r="AX2" s="3">
        <f t="shared" si="6"/>
        <v>48</v>
      </c>
      <c r="AY2" s="3">
        <f t="shared" si="6"/>
        <v>49</v>
      </c>
      <c r="AZ2" s="3">
        <f t="shared" si="6"/>
        <v>50</v>
      </c>
      <c r="BA2" s="3">
        <f t="shared" si="6"/>
        <v>51</v>
      </c>
      <c r="BB2" s="3">
        <f t="shared" si="6"/>
        <v>52</v>
      </c>
      <c r="BC2" s="3">
        <f t="shared" si="6"/>
        <v>53</v>
      </c>
      <c r="BD2" s="3">
        <f t="shared" si="6"/>
        <v>54</v>
      </c>
      <c r="BE2" s="3">
        <f t="shared" si="6"/>
        <v>55</v>
      </c>
      <c r="BF2" s="3">
        <f t="shared" si="6"/>
        <v>56</v>
      </c>
      <c r="BG2" s="3">
        <f t="shared" si="6"/>
        <v>57</v>
      </c>
      <c r="BH2" s="3">
        <f t="shared" si="6"/>
        <v>58</v>
      </c>
      <c r="BI2" s="3">
        <f t="shared" si="6"/>
        <v>59</v>
      </c>
      <c r="BJ2" s="3">
        <f t="shared" si="6"/>
        <v>60</v>
      </c>
      <c r="BK2" s="3">
        <f t="shared" si="6"/>
        <v>61</v>
      </c>
      <c r="BL2" s="3">
        <f t="shared" si="6"/>
        <v>62</v>
      </c>
      <c r="BM2" s="3">
        <f t="shared" si="6"/>
        <v>63</v>
      </c>
      <c r="BN2" s="3">
        <f t="shared" si="6"/>
        <v>64</v>
      </c>
      <c r="BO2" s="3">
        <f t="shared" si="6"/>
        <v>65</v>
      </c>
      <c r="BP2" s="3">
        <f t="shared" si="6"/>
        <v>66</v>
      </c>
      <c r="BQ2" s="3">
        <f t="shared" ref="BQ2:EB2" si="7">BP2+1</f>
        <v>67</v>
      </c>
      <c r="BR2" s="3">
        <f t="shared" si="7"/>
        <v>68</v>
      </c>
      <c r="BS2" s="3">
        <f t="shared" si="7"/>
        <v>69</v>
      </c>
      <c r="BT2" s="3">
        <f t="shared" si="7"/>
        <v>70</v>
      </c>
      <c r="BU2" s="3">
        <f t="shared" si="7"/>
        <v>71</v>
      </c>
      <c r="BV2" s="3">
        <f t="shared" si="7"/>
        <v>72</v>
      </c>
      <c r="BW2" s="3">
        <f t="shared" si="7"/>
        <v>73</v>
      </c>
      <c r="BX2" s="3">
        <f t="shared" si="7"/>
        <v>74</v>
      </c>
      <c r="BY2" s="3">
        <f t="shared" si="7"/>
        <v>75</v>
      </c>
      <c r="BZ2" s="3">
        <f t="shared" si="7"/>
        <v>76</v>
      </c>
      <c r="CA2" s="3">
        <f t="shared" si="7"/>
        <v>77</v>
      </c>
      <c r="CB2" s="3">
        <f t="shared" si="7"/>
        <v>78</v>
      </c>
      <c r="CC2" s="3">
        <f t="shared" si="7"/>
        <v>79</v>
      </c>
      <c r="CD2" s="3">
        <f t="shared" si="7"/>
        <v>80</v>
      </c>
      <c r="CE2" s="3">
        <f t="shared" si="7"/>
        <v>81</v>
      </c>
      <c r="CF2" s="3">
        <f t="shared" si="7"/>
        <v>82</v>
      </c>
      <c r="CG2" s="3">
        <f t="shared" si="7"/>
        <v>83</v>
      </c>
      <c r="CH2" s="3">
        <f t="shared" si="7"/>
        <v>84</v>
      </c>
      <c r="CI2" s="3">
        <f t="shared" si="7"/>
        <v>85</v>
      </c>
      <c r="CJ2" s="3">
        <f t="shared" si="7"/>
        <v>86</v>
      </c>
      <c r="CK2" s="3">
        <f t="shared" si="7"/>
        <v>87</v>
      </c>
      <c r="CL2" s="3">
        <f t="shared" si="7"/>
        <v>88</v>
      </c>
      <c r="CM2" s="3">
        <f t="shared" si="7"/>
        <v>89</v>
      </c>
      <c r="CN2" s="3">
        <f t="shared" si="7"/>
        <v>90</v>
      </c>
      <c r="CO2" s="3">
        <f t="shared" si="7"/>
        <v>91</v>
      </c>
      <c r="CP2" s="3">
        <f t="shared" si="7"/>
        <v>92</v>
      </c>
      <c r="CQ2" s="3">
        <f t="shared" si="7"/>
        <v>93</v>
      </c>
      <c r="CR2" s="3">
        <f t="shared" si="7"/>
        <v>94</v>
      </c>
      <c r="CS2" s="3">
        <f t="shared" si="7"/>
        <v>95</v>
      </c>
      <c r="CT2" s="3">
        <f t="shared" si="7"/>
        <v>96</v>
      </c>
      <c r="CU2" s="3">
        <f t="shared" si="7"/>
        <v>97</v>
      </c>
      <c r="CV2" s="3">
        <f t="shared" si="7"/>
        <v>98</v>
      </c>
      <c r="CW2" s="3">
        <f t="shared" si="7"/>
        <v>99</v>
      </c>
      <c r="CX2" s="3">
        <f t="shared" si="7"/>
        <v>100</v>
      </c>
      <c r="CY2" s="3">
        <f t="shared" si="7"/>
        <v>101</v>
      </c>
      <c r="CZ2" s="3">
        <f t="shared" si="7"/>
        <v>102</v>
      </c>
      <c r="DA2" s="3">
        <f t="shared" si="7"/>
        <v>103</v>
      </c>
      <c r="DB2" s="3">
        <f t="shared" si="7"/>
        <v>104</v>
      </c>
      <c r="DC2" s="3">
        <f t="shared" si="7"/>
        <v>105</v>
      </c>
      <c r="DD2" s="3">
        <f t="shared" si="7"/>
        <v>106</v>
      </c>
      <c r="DE2" s="3">
        <f t="shared" si="7"/>
        <v>107</v>
      </c>
      <c r="DF2" s="3">
        <f t="shared" si="7"/>
        <v>108</v>
      </c>
      <c r="DG2" s="3">
        <f t="shared" si="7"/>
        <v>109</v>
      </c>
      <c r="DH2" s="3">
        <f t="shared" si="7"/>
        <v>110</v>
      </c>
      <c r="DI2" s="3">
        <f t="shared" si="7"/>
        <v>111</v>
      </c>
      <c r="DJ2" s="3">
        <f t="shared" si="7"/>
        <v>112</v>
      </c>
      <c r="DK2" s="3">
        <f t="shared" si="7"/>
        <v>113</v>
      </c>
      <c r="DL2" s="3">
        <f t="shared" si="7"/>
        <v>114</v>
      </c>
      <c r="DM2" s="3">
        <f t="shared" si="7"/>
        <v>115</v>
      </c>
      <c r="DN2" s="3">
        <f t="shared" si="7"/>
        <v>116</v>
      </c>
      <c r="DO2" s="3">
        <f t="shared" si="7"/>
        <v>117</v>
      </c>
      <c r="DP2" s="3">
        <f t="shared" si="7"/>
        <v>118</v>
      </c>
      <c r="DQ2" s="3">
        <f t="shared" si="7"/>
        <v>119</v>
      </c>
      <c r="DR2" s="3">
        <f t="shared" si="7"/>
        <v>120</v>
      </c>
      <c r="DS2" s="3">
        <f t="shared" si="7"/>
        <v>121</v>
      </c>
      <c r="DT2" s="3">
        <f t="shared" si="7"/>
        <v>122</v>
      </c>
      <c r="DU2" s="3">
        <f t="shared" si="7"/>
        <v>123</v>
      </c>
      <c r="DV2" s="3">
        <f t="shared" si="7"/>
        <v>124</v>
      </c>
      <c r="DW2" s="3">
        <f t="shared" si="7"/>
        <v>125</v>
      </c>
      <c r="DX2" s="3">
        <f t="shared" si="7"/>
        <v>126</v>
      </c>
      <c r="DY2" s="3">
        <f t="shared" si="7"/>
        <v>127</v>
      </c>
      <c r="DZ2" s="3">
        <f t="shared" si="7"/>
        <v>128</v>
      </c>
      <c r="EA2" s="3">
        <f t="shared" si="7"/>
        <v>129</v>
      </c>
      <c r="EB2" s="3">
        <f t="shared" si="7"/>
        <v>130</v>
      </c>
      <c r="EC2" s="3">
        <f t="shared" ref="EC2:GN2" si="8">EB2+1</f>
        <v>131</v>
      </c>
      <c r="ED2" s="3">
        <f t="shared" si="8"/>
        <v>132</v>
      </c>
      <c r="EE2" s="3">
        <f t="shared" si="8"/>
        <v>133</v>
      </c>
      <c r="EF2" s="3">
        <f t="shared" si="8"/>
        <v>134</v>
      </c>
      <c r="EG2" s="3">
        <f t="shared" si="8"/>
        <v>135</v>
      </c>
      <c r="EH2" s="3">
        <f t="shared" si="8"/>
        <v>136</v>
      </c>
      <c r="EI2" s="3">
        <f t="shared" si="8"/>
        <v>137</v>
      </c>
      <c r="EJ2" s="3">
        <f t="shared" si="8"/>
        <v>138</v>
      </c>
      <c r="EK2" s="3">
        <f t="shared" si="8"/>
        <v>139</v>
      </c>
      <c r="EL2" s="3">
        <f t="shared" si="8"/>
        <v>140</v>
      </c>
      <c r="EM2" s="3">
        <f t="shared" si="8"/>
        <v>141</v>
      </c>
      <c r="EN2" s="3">
        <f t="shared" si="8"/>
        <v>142</v>
      </c>
      <c r="EO2" s="3">
        <f t="shared" si="8"/>
        <v>143</v>
      </c>
      <c r="EP2" s="3">
        <f t="shared" si="8"/>
        <v>144</v>
      </c>
      <c r="EQ2" s="3">
        <f t="shared" si="8"/>
        <v>145</v>
      </c>
      <c r="ER2" s="3">
        <f t="shared" si="8"/>
        <v>146</v>
      </c>
      <c r="ES2" s="3">
        <f t="shared" si="8"/>
        <v>147</v>
      </c>
      <c r="ET2" s="3">
        <f t="shared" si="8"/>
        <v>148</v>
      </c>
      <c r="EU2" s="3">
        <f t="shared" si="8"/>
        <v>149</v>
      </c>
      <c r="EV2" s="3">
        <f t="shared" si="8"/>
        <v>150</v>
      </c>
      <c r="EW2" s="3">
        <f t="shared" si="8"/>
        <v>151</v>
      </c>
      <c r="EX2" s="3">
        <f t="shared" si="8"/>
        <v>152</v>
      </c>
      <c r="EY2" s="3">
        <f t="shared" si="8"/>
        <v>153</v>
      </c>
      <c r="EZ2" s="3">
        <f t="shared" si="8"/>
        <v>154</v>
      </c>
      <c r="FA2" s="3">
        <f t="shared" si="8"/>
        <v>155</v>
      </c>
      <c r="FB2" s="3">
        <f t="shared" si="8"/>
        <v>156</v>
      </c>
      <c r="FC2" s="3">
        <f t="shared" si="8"/>
        <v>157</v>
      </c>
      <c r="FD2" s="3">
        <f t="shared" si="8"/>
        <v>158</v>
      </c>
      <c r="FE2" s="3">
        <f t="shared" si="8"/>
        <v>159</v>
      </c>
      <c r="FF2" s="3">
        <f t="shared" si="8"/>
        <v>160</v>
      </c>
      <c r="FG2" s="3">
        <f t="shared" si="8"/>
        <v>161</v>
      </c>
      <c r="FH2" s="3">
        <f t="shared" si="8"/>
        <v>162</v>
      </c>
      <c r="FI2" s="3">
        <f t="shared" si="8"/>
        <v>163</v>
      </c>
      <c r="FJ2" s="3">
        <f t="shared" si="8"/>
        <v>164</v>
      </c>
      <c r="FK2" s="3">
        <f t="shared" si="8"/>
        <v>165</v>
      </c>
      <c r="FL2" s="3">
        <f t="shared" si="8"/>
        <v>166</v>
      </c>
      <c r="FM2" s="3">
        <f t="shared" si="8"/>
        <v>167</v>
      </c>
      <c r="FN2" s="3">
        <f t="shared" si="8"/>
        <v>168</v>
      </c>
      <c r="FO2" s="3">
        <f t="shared" si="8"/>
        <v>169</v>
      </c>
      <c r="FP2" s="3">
        <f t="shared" si="8"/>
        <v>170</v>
      </c>
      <c r="FQ2" s="3">
        <f t="shared" si="8"/>
        <v>171</v>
      </c>
      <c r="FR2" s="3">
        <f t="shared" si="8"/>
        <v>172</v>
      </c>
      <c r="FS2" s="3">
        <f t="shared" si="8"/>
        <v>173</v>
      </c>
      <c r="FT2" s="3">
        <f t="shared" si="8"/>
        <v>174</v>
      </c>
      <c r="FU2" s="3">
        <f t="shared" si="8"/>
        <v>175</v>
      </c>
      <c r="FV2" s="3">
        <f t="shared" si="8"/>
        <v>176</v>
      </c>
      <c r="FW2" s="3">
        <f t="shared" si="8"/>
        <v>177</v>
      </c>
      <c r="FX2" s="3">
        <f t="shared" si="8"/>
        <v>178</v>
      </c>
      <c r="FY2" s="3">
        <f t="shared" si="8"/>
        <v>179</v>
      </c>
      <c r="FZ2" s="3">
        <f t="shared" si="8"/>
        <v>180</v>
      </c>
      <c r="GA2" s="3">
        <f t="shared" si="8"/>
        <v>181</v>
      </c>
      <c r="GB2" s="3">
        <f t="shared" si="8"/>
        <v>182</v>
      </c>
      <c r="GC2" s="3">
        <f t="shared" si="8"/>
        <v>183</v>
      </c>
      <c r="GD2" s="3">
        <f t="shared" si="8"/>
        <v>184</v>
      </c>
      <c r="GE2" s="3">
        <f t="shared" si="8"/>
        <v>185</v>
      </c>
      <c r="GF2" s="3">
        <f t="shared" si="8"/>
        <v>186</v>
      </c>
      <c r="GG2" s="3">
        <f t="shared" si="8"/>
        <v>187</v>
      </c>
      <c r="GH2" s="3">
        <f t="shared" si="8"/>
        <v>188</v>
      </c>
      <c r="GI2" s="3">
        <f t="shared" si="8"/>
        <v>189</v>
      </c>
      <c r="GJ2" s="3">
        <f t="shared" si="8"/>
        <v>190</v>
      </c>
      <c r="GK2" s="3">
        <f t="shared" si="8"/>
        <v>191</v>
      </c>
      <c r="GL2" s="3">
        <f t="shared" si="8"/>
        <v>192</v>
      </c>
      <c r="GM2" s="3">
        <f t="shared" si="8"/>
        <v>193</v>
      </c>
      <c r="GN2" s="3">
        <f t="shared" si="8"/>
        <v>194</v>
      </c>
      <c r="GO2" s="3">
        <f t="shared" ref="GO2:IZ2" si="9">GN2+1</f>
        <v>195</v>
      </c>
      <c r="GP2" s="3">
        <f t="shared" si="9"/>
        <v>196</v>
      </c>
      <c r="GQ2" s="3">
        <f t="shared" si="9"/>
        <v>197</v>
      </c>
      <c r="GR2" s="3">
        <f t="shared" si="9"/>
        <v>198</v>
      </c>
      <c r="GS2" s="3">
        <f t="shared" si="9"/>
        <v>199</v>
      </c>
      <c r="GT2" s="3">
        <f t="shared" si="9"/>
        <v>200</v>
      </c>
      <c r="GU2" s="3">
        <f t="shared" si="9"/>
        <v>201</v>
      </c>
      <c r="GV2" s="3">
        <f t="shared" si="9"/>
        <v>202</v>
      </c>
      <c r="GW2" s="3">
        <f t="shared" si="9"/>
        <v>203</v>
      </c>
      <c r="GX2" s="3">
        <f t="shared" si="9"/>
        <v>204</v>
      </c>
      <c r="GY2" s="3">
        <f t="shared" si="9"/>
        <v>205</v>
      </c>
      <c r="GZ2" s="3">
        <f t="shared" si="9"/>
        <v>206</v>
      </c>
      <c r="HA2" s="3">
        <f t="shared" si="9"/>
        <v>207</v>
      </c>
      <c r="HB2" s="3">
        <f t="shared" si="9"/>
        <v>208</v>
      </c>
      <c r="HC2" s="3">
        <f t="shared" si="9"/>
        <v>209</v>
      </c>
      <c r="HD2" s="3">
        <f t="shared" si="9"/>
        <v>210</v>
      </c>
      <c r="HE2" s="3">
        <f t="shared" si="9"/>
        <v>211</v>
      </c>
      <c r="HF2" s="3">
        <f t="shared" si="9"/>
        <v>212</v>
      </c>
      <c r="HG2" s="3">
        <f t="shared" si="9"/>
        <v>213</v>
      </c>
      <c r="HH2" s="3">
        <f t="shared" si="9"/>
        <v>214</v>
      </c>
      <c r="HI2" s="3">
        <f t="shared" si="9"/>
        <v>215</v>
      </c>
      <c r="HJ2" s="3">
        <f t="shared" si="9"/>
        <v>216</v>
      </c>
      <c r="HK2" s="3">
        <f t="shared" si="9"/>
        <v>217</v>
      </c>
      <c r="HL2" s="3">
        <f t="shared" si="9"/>
        <v>218</v>
      </c>
      <c r="HM2" s="3">
        <f t="shared" si="9"/>
        <v>219</v>
      </c>
      <c r="HN2" s="3">
        <f t="shared" si="9"/>
        <v>220</v>
      </c>
      <c r="HO2" s="3">
        <f t="shared" si="9"/>
        <v>221</v>
      </c>
      <c r="HP2" s="3">
        <f t="shared" si="9"/>
        <v>222</v>
      </c>
      <c r="HQ2" s="3">
        <f t="shared" si="9"/>
        <v>223</v>
      </c>
      <c r="HR2" s="3">
        <f t="shared" si="9"/>
        <v>224</v>
      </c>
      <c r="HS2" s="3">
        <f t="shared" si="9"/>
        <v>225</v>
      </c>
      <c r="HT2" s="3">
        <f t="shared" si="9"/>
        <v>226</v>
      </c>
      <c r="HU2" s="3">
        <f t="shared" si="9"/>
        <v>227</v>
      </c>
      <c r="HV2" s="3">
        <f t="shared" si="9"/>
        <v>228</v>
      </c>
      <c r="HW2" s="3">
        <f t="shared" si="9"/>
        <v>229</v>
      </c>
      <c r="HX2" s="3">
        <f t="shared" si="9"/>
        <v>230</v>
      </c>
      <c r="HY2" s="3">
        <f t="shared" si="9"/>
        <v>231</v>
      </c>
      <c r="HZ2" s="3">
        <f t="shared" si="9"/>
        <v>232</v>
      </c>
      <c r="IA2" s="3">
        <f t="shared" si="9"/>
        <v>233</v>
      </c>
      <c r="IB2" s="3">
        <f t="shared" si="9"/>
        <v>234</v>
      </c>
      <c r="IC2" s="3">
        <f t="shared" si="9"/>
        <v>235</v>
      </c>
      <c r="ID2" s="3">
        <f t="shared" si="9"/>
        <v>236</v>
      </c>
      <c r="IE2" s="3">
        <f t="shared" si="9"/>
        <v>237</v>
      </c>
      <c r="IF2" s="3">
        <f t="shared" si="9"/>
        <v>238</v>
      </c>
      <c r="IG2" s="3">
        <f t="shared" si="9"/>
        <v>239</v>
      </c>
      <c r="IH2" s="3">
        <f t="shared" si="9"/>
        <v>240</v>
      </c>
      <c r="II2" s="3">
        <f t="shared" si="9"/>
        <v>241</v>
      </c>
      <c r="IJ2" s="3">
        <f t="shared" si="9"/>
        <v>242</v>
      </c>
      <c r="IK2" s="3">
        <f t="shared" si="9"/>
        <v>243</v>
      </c>
      <c r="IL2" s="3">
        <f t="shared" si="9"/>
        <v>244</v>
      </c>
      <c r="IM2" s="3">
        <f t="shared" si="9"/>
        <v>245</v>
      </c>
      <c r="IN2" s="3">
        <f t="shared" si="9"/>
        <v>246</v>
      </c>
      <c r="IO2" s="3">
        <f t="shared" si="9"/>
        <v>247</v>
      </c>
      <c r="IP2" s="3">
        <f t="shared" si="9"/>
        <v>248</v>
      </c>
      <c r="IQ2" s="3">
        <f t="shared" si="9"/>
        <v>249</v>
      </c>
      <c r="IR2" s="3">
        <f t="shared" si="9"/>
        <v>250</v>
      </c>
      <c r="IS2" s="3">
        <f t="shared" si="9"/>
        <v>251</v>
      </c>
      <c r="IT2" s="3">
        <f t="shared" si="9"/>
        <v>252</v>
      </c>
      <c r="IU2" s="3">
        <f t="shared" si="9"/>
        <v>253</v>
      </c>
      <c r="IV2" s="3">
        <f t="shared" si="9"/>
        <v>254</v>
      </c>
      <c r="IW2" s="3">
        <f t="shared" si="9"/>
        <v>255</v>
      </c>
      <c r="IX2" s="3">
        <f t="shared" si="9"/>
        <v>256</v>
      </c>
      <c r="IY2" s="3">
        <f t="shared" si="9"/>
        <v>257</v>
      </c>
      <c r="IZ2" s="3">
        <f t="shared" si="9"/>
        <v>258</v>
      </c>
      <c r="JA2" s="3">
        <f t="shared" ref="JA2:LL2" si="10">IZ2+1</f>
        <v>259</v>
      </c>
      <c r="JB2" s="3">
        <f t="shared" si="10"/>
        <v>260</v>
      </c>
      <c r="JC2" s="3">
        <f t="shared" si="10"/>
        <v>261</v>
      </c>
      <c r="JD2" s="3">
        <f t="shared" si="10"/>
        <v>262</v>
      </c>
      <c r="JE2" s="3">
        <f t="shared" si="10"/>
        <v>263</v>
      </c>
      <c r="JF2" s="3">
        <f t="shared" si="10"/>
        <v>264</v>
      </c>
      <c r="JG2" s="3">
        <f t="shared" si="10"/>
        <v>265</v>
      </c>
      <c r="JH2" s="3">
        <f t="shared" si="10"/>
        <v>266</v>
      </c>
      <c r="JI2" s="3">
        <f t="shared" si="10"/>
        <v>267</v>
      </c>
      <c r="JJ2" s="3">
        <f t="shared" si="10"/>
        <v>268</v>
      </c>
      <c r="JK2" s="3">
        <f t="shared" si="10"/>
        <v>269</v>
      </c>
      <c r="JL2" s="3">
        <f t="shared" si="10"/>
        <v>270</v>
      </c>
      <c r="JM2" s="3">
        <f t="shared" si="10"/>
        <v>271</v>
      </c>
      <c r="JN2" s="3">
        <f t="shared" si="10"/>
        <v>272</v>
      </c>
      <c r="JO2" s="3">
        <f t="shared" si="10"/>
        <v>273</v>
      </c>
      <c r="JP2" s="3">
        <f t="shared" si="10"/>
        <v>274</v>
      </c>
      <c r="JQ2" s="3">
        <f t="shared" si="10"/>
        <v>275</v>
      </c>
      <c r="JR2" s="3">
        <f t="shared" si="10"/>
        <v>276</v>
      </c>
      <c r="JS2" s="3">
        <f t="shared" si="10"/>
        <v>277</v>
      </c>
      <c r="JT2" s="3">
        <f t="shared" si="10"/>
        <v>278</v>
      </c>
      <c r="JU2" s="3">
        <f t="shared" si="10"/>
        <v>279</v>
      </c>
      <c r="JV2" s="3">
        <f t="shared" si="10"/>
        <v>280</v>
      </c>
      <c r="JW2" s="3">
        <f t="shared" si="10"/>
        <v>281</v>
      </c>
      <c r="JX2" s="3">
        <f t="shared" si="10"/>
        <v>282</v>
      </c>
      <c r="JY2" s="3">
        <f t="shared" si="10"/>
        <v>283</v>
      </c>
      <c r="JZ2" s="3">
        <f t="shared" si="10"/>
        <v>284</v>
      </c>
      <c r="KA2" s="3">
        <f t="shared" si="10"/>
        <v>285</v>
      </c>
      <c r="KB2" s="3">
        <f t="shared" si="10"/>
        <v>286</v>
      </c>
      <c r="KC2" s="3">
        <f t="shared" si="10"/>
        <v>287</v>
      </c>
      <c r="KD2" s="3">
        <f t="shared" si="10"/>
        <v>288</v>
      </c>
      <c r="KE2" s="3">
        <f t="shared" si="10"/>
        <v>289</v>
      </c>
      <c r="KF2" s="3">
        <f t="shared" si="10"/>
        <v>290</v>
      </c>
      <c r="KG2" s="3">
        <f t="shared" si="10"/>
        <v>291</v>
      </c>
      <c r="KH2" s="3">
        <f t="shared" si="10"/>
        <v>292</v>
      </c>
      <c r="KI2" s="3">
        <f t="shared" si="10"/>
        <v>293</v>
      </c>
      <c r="KJ2" s="3">
        <f t="shared" si="10"/>
        <v>294</v>
      </c>
      <c r="KK2" s="3">
        <f t="shared" si="10"/>
        <v>295</v>
      </c>
      <c r="KL2" s="3">
        <f t="shared" si="10"/>
        <v>296</v>
      </c>
      <c r="KM2" s="3">
        <f t="shared" si="10"/>
        <v>297</v>
      </c>
      <c r="KN2" s="3">
        <f t="shared" si="10"/>
        <v>298</v>
      </c>
      <c r="KO2" s="3">
        <f t="shared" si="10"/>
        <v>299</v>
      </c>
      <c r="KP2" s="3">
        <f t="shared" si="10"/>
        <v>300</v>
      </c>
      <c r="KQ2" s="3">
        <f t="shared" si="10"/>
        <v>301</v>
      </c>
      <c r="KR2" s="3">
        <f t="shared" si="10"/>
        <v>302</v>
      </c>
      <c r="KS2" s="3">
        <f t="shared" si="10"/>
        <v>303</v>
      </c>
      <c r="KT2" s="3">
        <f t="shared" si="10"/>
        <v>304</v>
      </c>
      <c r="KU2" s="3">
        <f t="shared" si="10"/>
        <v>305</v>
      </c>
      <c r="KV2" s="3">
        <f t="shared" si="10"/>
        <v>306</v>
      </c>
      <c r="KW2" s="3">
        <f t="shared" si="10"/>
        <v>307</v>
      </c>
      <c r="KX2" s="3">
        <f t="shared" si="10"/>
        <v>308</v>
      </c>
      <c r="KY2" s="3">
        <f t="shared" si="10"/>
        <v>309</v>
      </c>
      <c r="KZ2" s="3">
        <f t="shared" si="10"/>
        <v>310</v>
      </c>
      <c r="LA2" s="3">
        <f t="shared" si="10"/>
        <v>311</v>
      </c>
      <c r="LB2" s="3">
        <f t="shared" si="10"/>
        <v>312</v>
      </c>
      <c r="LC2" s="3">
        <f t="shared" si="10"/>
        <v>313</v>
      </c>
      <c r="LD2" s="3">
        <f t="shared" si="10"/>
        <v>314</v>
      </c>
      <c r="LE2" s="3">
        <f t="shared" si="10"/>
        <v>315</v>
      </c>
      <c r="LF2" s="3">
        <f t="shared" si="10"/>
        <v>316</v>
      </c>
      <c r="LG2" s="3">
        <f t="shared" si="10"/>
        <v>317</v>
      </c>
      <c r="LH2" s="3">
        <f t="shared" si="10"/>
        <v>318</v>
      </c>
      <c r="LI2" s="3">
        <f t="shared" si="10"/>
        <v>319</v>
      </c>
      <c r="LJ2" s="3">
        <f t="shared" si="10"/>
        <v>320</v>
      </c>
      <c r="LK2" s="3">
        <f t="shared" si="10"/>
        <v>321</v>
      </c>
      <c r="LL2" s="3">
        <f t="shared" si="10"/>
        <v>322</v>
      </c>
      <c r="LM2" s="3">
        <f t="shared" ref="LM2:MY2" si="11">LL2+1</f>
        <v>323</v>
      </c>
      <c r="LN2" s="3">
        <f t="shared" si="11"/>
        <v>324</v>
      </c>
      <c r="LO2" s="3">
        <f t="shared" si="11"/>
        <v>325</v>
      </c>
      <c r="LP2" s="3">
        <f t="shared" si="11"/>
        <v>326</v>
      </c>
      <c r="LQ2" s="3">
        <f t="shared" si="11"/>
        <v>327</v>
      </c>
      <c r="LR2" s="3">
        <f t="shared" si="11"/>
        <v>328</v>
      </c>
      <c r="LS2" s="3">
        <f t="shared" si="11"/>
        <v>329</v>
      </c>
      <c r="LT2" s="3">
        <f t="shared" si="11"/>
        <v>330</v>
      </c>
      <c r="LU2" s="3">
        <f t="shared" si="11"/>
        <v>331</v>
      </c>
      <c r="LV2" s="3">
        <f t="shared" si="11"/>
        <v>332</v>
      </c>
      <c r="LW2" s="3">
        <f t="shared" si="11"/>
        <v>333</v>
      </c>
      <c r="LX2" s="3">
        <f t="shared" si="11"/>
        <v>334</v>
      </c>
      <c r="LY2" s="3">
        <f t="shared" si="11"/>
        <v>335</v>
      </c>
      <c r="LZ2" s="3">
        <f t="shared" si="11"/>
        <v>336</v>
      </c>
      <c r="MA2" s="3">
        <f t="shared" si="11"/>
        <v>337</v>
      </c>
      <c r="MB2" s="3">
        <f t="shared" si="11"/>
        <v>338</v>
      </c>
      <c r="MC2" s="3">
        <f t="shared" si="11"/>
        <v>339</v>
      </c>
      <c r="MD2" s="3">
        <f t="shared" si="11"/>
        <v>340</v>
      </c>
      <c r="ME2" s="3">
        <f t="shared" si="11"/>
        <v>341</v>
      </c>
      <c r="MF2" s="3">
        <f t="shared" si="11"/>
        <v>342</v>
      </c>
      <c r="MG2" s="3">
        <f t="shared" si="11"/>
        <v>343</v>
      </c>
      <c r="MH2" s="3">
        <f t="shared" si="11"/>
        <v>344</v>
      </c>
      <c r="MI2" s="3">
        <f t="shared" si="11"/>
        <v>345</v>
      </c>
      <c r="MJ2" s="3">
        <f t="shared" si="11"/>
        <v>346</v>
      </c>
      <c r="MK2" s="3">
        <f t="shared" si="11"/>
        <v>347</v>
      </c>
      <c r="ML2" s="3">
        <f t="shared" si="11"/>
        <v>348</v>
      </c>
      <c r="MM2" s="3">
        <f t="shared" si="11"/>
        <v>349</v>
      </c>
      <c r="MN2" s="3">
        <f t="shared" si="11"/>
        <v>350</v>
      </c>
      <c r="MO2" s="3">
        <f t="shared" si="11"/>
        <v>351</v>
      </c>
      <c r="MP2" s="3">
        <f t="shared" si="11"/>
        <v>352</v>
      </c>
      <c r="MQ2" s="3">
        <f t="shared" si="11"/>
        <v>353</v>
      </c>
      <c r="MR2" s="3">
        <f t="shared" si="11"/>
        <v>354</v>
      </c>
      <c r="MS2" s="3">
        <f t="shared" si="11"/>
        <v>355</v>
      </c>
      <c r="MT2" s="3">
        <f t="shared" si="11"/>
        <v>356</v>
      </c>
      <c r="MU2" s="3">
        <f t="shared" si="11"/>
        <v>357</v>
      </c>
      <c r="MV2" s="3">
        <f t="shared" si="11"/>
        <v>358</v>
      </c>
      <c r="MW2" s="3">
        <f t="shared" si="11"/>
        <v>359</v>
      </c>
      <c r="MX2" s="3">
        <f t="shared" si="11"/>
        <v>360</v>
      </c>
      <c r="MY2" s="3">
        <f t="shared" si="11"/>
        <v>361</v>
      </c>
    </row>
    <row r="3" spans="1:363" x14ac:dyDescent="0.2">
      <c r="A3" s="7">
        <f>+'Valo FX'!A4</f>
        <v>1</v>
      </c>
      <c r="B3" s="58">
        <f>-'Valo FX'!T4</f>
        <v>-1651.5339709051957</v>
      </c>
      <c r="C3" s="21">
        <f>IF(C$1&lt;INDEX('Valo FX'!$Q:$Q,MATCH($A3,'Valo FX'!$A:$A,0)),0,IF(C$1&lt;INDEX('Valo FX'!$R:$R,MATCH($A3,'Valo FX'!$A:$A,0)),INDEX(Base!$U:$U,MATCH($A3,Base!$A:$A,0)),IF(C$1=INDEX('Valo FX'!$R:$R,MATCH($A3,'Valo FX'!$A:$A,0)),INDEX(Base!$V:$V,MATCH($A3,Base!$A:$A,0)),0)))</f>
        <v>0</v>
      </c>
      <c r="D3" s="21">
        <f>IF(D$1&lt;INDEX('Valo FX'!$Q:$Q,MATCH($A3,'Valo FX'!$A:$A,0)),0,IF(D$1&lt;INDEX('Valo FX'!$R:$R,MATCH($A3,'Valo FX'!$A:$A,0)),INDEX(Base!$U:$U,MATCH($A3,Base!$A:$A,0)),IF(D$1=INDEX('Valo FX'!$R:$R,MATCH($A3,'Valo FX'!$A:$A,0)),INDEX(Base!$V:$V,MATCH($A3,Base!$A:$A,0)),0)))</f>
        <v>0</v>
      </c>
      <c r="E3" s="21">
        <f>IF(E$1&lt;INDEX('Valo FX'!$Q:$Q,MATCH($A3,'Valo FX'!$A:$A,0)),0,IF(E$1&lt;INDEX('Valo FX'!$R:$R,MATCH($A3,'Valo FX'!$A:$A,0)),INDEX(Base!$U:$U,MATCH($A3,Base!$A:$A,0)),IF(E$1=INDEX('Valo FX'!$R:$R,MATCH($A3,'Valo FX'!$A:$A,0)),INDEX(Base!$V:$V,MATCH($A3,Base!$A:$A,0)),0)))</f>
        <v>0</v>
      </c>
      <c r="F3" s="21">
        <f>IF(F$1&lt;INDEX('Valo FX'!$Q:$Q,MATCH($A3,'Valo FX'!$A:$A,0)),0,IF(F$1&lt;INDEX('Valo FX'!$R:$R,MATCH($A3,'Valo FX'!$A:$A,0)),INDEX(Base!$U:$U,MATCH($A3,Base!$A:$A,0)),IF(F$1=INDEX('Valo FX'!$R:$R,MATCH($A3,'Valo FX'!$A:$A,0)),INDEX(Base!$V:$V,MATCH($A3,Base!$A:$A,0)),0)))</f>
        <v>0</v>
      </c>
      <c r="G3" s="21">
        <f>IF(G$1&lt;INDEX('Valo FX'!$Q:$Q,MATCH($A3,'Valo FX'!$A:$A,0)),0,IF(G$1&lt;INDEX('Valo FX'!$R:$R,MATCH($A3,'Valo FX'!$A:$A,0)),INDEX(Base!$U:$U,MATCH($A3,Base!$A:$A,0)),IF(G$1=INDEX('Valo FX'!$R:$R,MATCH($A3,'Valo FX'!$A:$A,0)),INDEX(Base!$V:$V,MATCH($A3,Base!$A:$A,0)),0)))</f>
        <v>0</v>
      </c>
      <c r="H3" s="21">
        <f>IF(H$1&lt;INDEX('Valo FX'!$Q:$Q,MATCH($A3,'Valo FX'!$A:$A,0)),0,IF(H$1&lt;INDEX('Valo FX'!$R:$R,MATCH($A3,'Valo FX'!$A:$A,0)),INDEX(Base!$U:$U,MATCH($A3,Base!$A:$A,0)),IF(H$1=INDEX('Valo FX'!$R:$R,MATCH($A3,'Valo FX'!$A:$A,0)),INDEX(Base!$V:$V,MATCH($A3,Base!$A:$A,0)),0)))</f>
        <v>0</v>
      </c>
      <c r="I3" s="21">
        <f>IF(I$1&lt;INDEX('Valo FX'!$Q:$Q,MATCH($A3,'Valo FX'!$A:$A,0)),0,IF(I$1&lt;INDEX('Valo FX'!$R:$R,MATCH($A3,'Valo FX'!$A:$A,0)),INDEX(Base!$U:$U,MATCH($A3,Base!$A:$A,0)),IF(I$1=INDEX('Valo FX'!$R:$R,MATCH($A3,'Valo FX'!$A:$A,0)),INDEX(Base!$V:$V,MATCH($A3,Base!$A:$A,0)),0)))</f>
        <v>11.988020000000001</v>
      </c>
      <c r="J3" s="21">
        <f>IF(J$1&lt;INDEX('Valo FX'!$Q:$Q,MATCH($A3,'Valo FX'!$A:$A,0)),0,IF(J$1&lt;INDEX('Valo FX'!$R:$R,MATCH($A3,'Valo FX'!$A:$A,0)),INDEX(Base!$U:$U,MATCH($A3,Base!$A:$A,0)),IF(J$1=INDEX('Valo FX'!$R:$R,MATCH($A3,'Valo FX'!$A:$A,0)),INDEX(Base!$V:$V,MATCH($A3,Base!$A:$A,0)),0)))</f>
        <v>11.988020000000001</v>
      </c>
      <c r="K3" s="21">
        <f>IF(K$1&lt;INDEX('Valo FX'!$Q:$Q,MATCH($A3,'Valo FX'!$A:$A,0)),0,IF(K$1&lt;INDEX('Valo FX'!$R:$R,MATCH($A3,'Valo FX'!$A:$A,0)),INDEX(Base!$U:$U,MATCH($A3,Base!$A:$A,0)),IF(K$1=INDEX('Valo FX'!$R:$R,MATCH($A3,'Valo FX'!$A:$A,0)),INDEX(Base!$V:$V,MATCH($A3,Base!$A:$A,0)),0)))</f>
        <v>11.988020000000001</v>
      </c>
      <c r="L3" s="21">
        <f>IF(L$1&lt;INDEX('Valo FX'!$Q:$Q,MATCH($A3,'Valo FX'!$A:$A,0)),0,IF(L$1&lt;INDEX('Valo FX'!$R:$R,MATCH($A3,'Valo FX'!$A:$A,0)),INDEX(Base!$U:$U,MATCH($A3,Base!$A:$A,0)),IF(L$1=INDEX('Valo FX'!$R:$R,MATCH($A3,'Valo FX'!$A:$A,0)),INDEX(Base!$V:$V,MATCH($A3,Base!$A:$A,0)),0)))</f>
        <v>11.988020000000001</v>
      </c>
      <c r="M3" s="21">
        <f>IF(M$1&lt;INDEX('Valo FX'!$Q:$Q,MATCH($A3,'Valo FX'!$A:$A,0)),0,IF(M$1&lt;INDEX('Valo FX'!$R:$R,MATCH($A3,'Valo FX'!$A:$A,0)),INDEX(Base!$U:$U,MATCH($A3,Base!$A:$A,0)),IF(M$1=INDEX('Valo FX'!$R:$R,MATCH($A3,'Valo FX'!$A:$A,0)),INDEX(Base!$V:$V,MATCH($A3,Base!$A:$A,0)),0)))</f>
        <v>11.988020000000001</v>
      </c>
      <c r="N3" s="21">
        <f>IF(N$1&lt;INDEX('Valo FX'!$Q:$Q,MATCH($A3,'Valo FX'!$A:$A,0)),0,IF(N$1&lt;INDEX('Valo FX'!$R:$R,MATCH($A3,'Valo FX'!$A:$A,0)),INDEX(Base!$U:$U,MATCH($A3,Base!$A:$A,0)),IF(N$1=INDEX('Valo FX'!$R:$R,MATCH($A3,'Valo FX'!$A:$A,0)),INDEX(Base!$V:$V,MATCH($A3,Base!$A:$A,0)),0)))</f>
        <v>11.988020000000001</v>
      </c>
      <c r="O3" s="21">
        <f>IF(O$1&lt;INDEX('Valo FX'!$Q:$Q,MATCH($A3,'Valo FX'!$A:$A,0)),0,IF(O$1&lt;INDEX('Valo FX'!$R:$R,MATCH($A3,'Valo FX'!$A:$A,0)),INDEX(Base!$U:$U,MATCH($A3,Base!$A:$A,0)),IF(O$1=INDEX('Valo FX'!$R:$R,MATCH($A3,'Valo FX'!$A:$A,0)),INDEX(Base!$V:$V,MATCH($A3,Base!$A:$A,0)),0)))</f>
        <v>11.988020000000001</v>
      </c>
      <c r="P3" s="21">
        <f>IF(P$1&lt;INDEX('Valo FX'!$Q:$Q,MATCH($A3,'Valo FX'!$A:$A,0)),0,IF(P$1&lt;INDEX('Valo FX'!$R:$R,MATCH($A3,'Valo FX'!$A:$A,0)),INDEX(Base!$U:$U,MATCH($A3,Base!$A:$A,0)),IF(P$1=INDEX('Valo FX'!$R:$R,MATCH($A3,'Valo FX'!$A:$A,0)),INDEX(Base!$V:$V,MATCH($A3,Base!$A:$A,0)),0)))</f>
        <v>11.988020000000001</v>
      </c>
      <c r="Q3" s="21">
        <f>IF(Q$1&lt;INDEX('Valo FX'!$Q:$Q,MATCH($A3,'Valo FX'!$A:$A,0)),0,IF(Q$1&lt;INDEX('Valo FX'!$R:$R,MATCH($A3,'Valo FX'!$A:$A,0)),INDEX(Base!$U:$U,MATCH($A3,Base!$A:$A,0)),IF(Q$1=INDEX('Valo FX'!$R:$R,MATCH($A3,'Valo FX'!$A:$A,0)),INDEX(Base!$V:$V,MATCH($A3,Base!$A:$A,0)),0)))</f>
        <v>11.988020000000001</v>
      </c>
      <c r="R3" s="21">
        <f>IF(R$1&lt;INDEX('Valo FX'!$Q:$Q,MATCH($A3,'Valo FX'!$A:$A,0)),0,IF(R$1&lt;INDEX('Valo FX'!$R:$R,MATCH($A3,'Valo FX'!$A:$A,0)),INDEX(Base!$U:$U,MATCH($A3,Base!$A:$A,0)),IF(R$1=INDEX('Valo FX'!$R:$R,MATCH($A3,'Valo FX'!$A:$A,0)),INDEX(Base!$V:$V,MATCH($A3,Base!$A:$A,0)),0)))</f>
        <v>11.988020000000001</v>
      </c>
      <c r="S3" s="21">
        <f>IF(S$1&lt;INDEX('Valo FX'!$Q:$Q,MATCH($A3,'Valo FX'!$A:$A,0)),0,IF(S$1&lt;INDEX('Valo FX'!$R:$R,MATCH($A3,'Valo FX'!$A:$A,0)),INDEX(Base!$U:$U,MATCH($A3,Base!$A:$A,0)),IF(S$1=INDEX('Valo FX'!$R:$R,MATCH($A3,'Valo FX'!$A:$A,0)),INDEX(Base!$V:$V,MATCH($A3,Base!$A:$A,0)),0)))</f>
        <v>11.988020000000001</v>
      </c>
      <c r="T3" s="21">
        <f>IF(T$1&lt;INDEX('Valo FX'!$Q:$Q,MATCH($A3,'Valo FX'!$A:$A,0)),0,IF(T$1&lt;INDEX('Valo FX'!$R:$R,MATCH($A3,'Valo FX'!$A:$A,0)),INDEX(Base!$U:$U,MATCH($A3,Base!$A:$A,0)),IF(T$1=INDEX('Valo FX'!$R:$R,MATCH($A3,'Valo FX'!$A:$A,0)),INDEX(Base!$V:$V,MATCH($A3,Base!$A:$A,0)),0)))</f>
        <v>11.988020000000001</v>
      </c>
      <c r="U3" s="21">
        <f>IF(U$1&lt;INDEX('Valo FX'!$Q:$Q,MATCH($A3,'Valo FX'!$A:$A,0)),0,IF(U$1&lt;INDEX('Valo FX'!$R:$R,MATCH($A3,'Valo FX'!$A:$A,0)),INDEX(Base!$U:$U,MATCH($A3,Base!$A:$A,0)),IF(U$1=INDEX('Valo FX'!$R:$R,MATCH($A3,'Valo FX'!$A:$A,0)),INDEX(Base!$V:$V,MATCH($A3,Base!$A:$A,0)),0)))</f>
        <v>11.988020000000001</v>
      </c>
      <c r="V3" s="21">
        <f>IF(V$1&lt;INDEX('Valo FX'!$Q:$Q,MATCH($A3,'Valo FX'!$A:$A,0)),0,IF(V$1&lt;INDEX('Valo FX'!$R:$R,MATCH($A3,'Valo FX'!$A:$A,0)),INDEX(Base!$U:$U,MATCH($A3,Base!$A:$A,0)),IF(V$1=INDEX('Valo FX'!$R:$R,MATCH($A3,'Valo FX'!$A:$A,0)),INDEX(Base!$V:$V,MATCH($A3,Base!$A:$A,0)),0)))</f>
        <v>11.988020000000001</v>
      </c>
      <c r="W3" s="21">
        <f>IF(W$1&lt;INDEX('Valo FX'!$Q:$Q,MATCH($A3,'Valo FX'!$A:$A,0)),0,IF(W$1&lt;INDEX('Valo FX'!$R:$R,MATCH($A3,'Valo FX'!$A:$A,0)),INDEX(Base!$U:$U,MATCH($A3,Base!$A:$A,0)),IF(W$1=INDEX('Valo FX'!$R:$R,MATCH($A3,'Valo FX'!$A:$A,0)),INDEX(Base!$V:$V,MATCH($A3,Base!$A:$A,0)),0)))</f>
        <v>11.988020000000001</v>
      </c>
      <c r="X3" s="21">
        <f>IF(X$1&lt;INDEX('Valo FX'!$Q:$Q,MATCH($A3,'Valo FX'!$A:$A,0)),0,IF(X$1&lt;INDEX('Valo FX'!$R:$R,MATCH($A3,'Valo FX'!$A:$A,0)),INDEX(Base!$U:$U,MATCH($A3,Base!$A:$A,0)),IF(X$1=INDEX('Valo FX'!$R:$R,MATCH($A3,'Valo FX'!$A:$A,0)),INDEX(Base!$V:$V,MATCH($A3,Base!$A:$A,0)),0)))</f>
        <v>11.988020000000001</v>
      </c>
      <c r="Y3" s="21">
        <f>IF(Y$1&lt;INDEX('Valo FX'!$Q:$Q,MATCH($A3,'Valo FX'!$A:$A,0)),0,IF(Y$1&lt;INDEX('Valo FX'!$R:$R,MATCH($A3,'Valo FX'!$A:$A,0)),INDEX(Base!$U:$U,MATCH($A3,Base!$A:$A,0)),IF(Y$1=INDEX('Valo FX'!$R:$R,MATCH($A3,'Valo FX'!$A:$A,0)),INDEX(Base!$V:$V,MATCH($A3,Base!$A:$A,0)),0)))</f>
        <v>11.988020000000001</v>
      </c>
      <c r="Z3" s="21">
        <f>IF(Z$1&lt;INDEX('Valo FX'!$Q:$Q,MATCH($A3,'Valo FX'!$A:$A,0)),0,IF(Z$1&lt;INDEX('Valo FX'!$R:$R,MATCH($A3,'Valo FX'!$A:$A,0)),INDEX(Base!$U:$U,MATCH($A3,Base!$A:$A,0)),IF(Z$1=INDEX('Valo FX'!$R:$R,MATCH($A3,'Valo FX'!$A:$A,0)),INDEX(Base!$V:$V,MATCH($A3,Base!$A:$A,0)),0)))</f>
        <v>11.988020000000001</v>
      </c>
      <c r="AA3" s="21">
        <f>IF(AA$1&lt;INDEX('Valo FX'!$Q:$Q,MATCH($A3,'Valo FX'!$A:$A,0)),0,IF(AA$1&lt;INDEX('Valo FX'!$R:$R,MATCH($A3,'Valo FX'!$A:$A,0)),INDEX(Base!$U:$U,MATCH($A3,Base!$A:$A,0)),IF(AA$1=INDEX('Valo FX'!$R:$R,MATCH($A3,'Valo FX'!$A:$A,0)),INDEX(Base!$V:$V,MATCH($A3,Base!$A:$A,0)),0)))</f>
        <v>11.988020000000001</v>
      </c>
      <c r="AB3" s="21">
        <f>IF(AB$1&lt;INDEX('Valo FX'!$Q:$Q,MATCH($A3,'Valo FX'!$A:$A,0)),0,IF(AB$1&lt;INDEX('Valo FX'!$R:$R,MATCH($A3,'Valo FX'!$A:$A,0)),INDEX(Base!$U:$U,MATCH($A3,Base!$A:$A,0)),IF(AB$1=INDEX('Valo FX'!$R:$R,MATCH($A3,'Valo FX'!$A:$A,0)),INDEX(Base!$V:$V,MATCH($A3,Base!$A:$A,0)),0)))</f>
        <v>11.988020000000001</v>
      </c>
      <c r="AC3" s="21">
        <f>IF(AC$1&lt;INDEX('Valo FX'!$Q:$Q,MATCH($A3,'Valo FX'!$A:$A,0)),0,IF(AC$1&lt;INDEX('Valo FX'!$R:$R,MATCH($A3,'Valo FX'!$A:$A,0)),INDEX(Base!$U:$U,MATCH($A3,Base!$A:$A,0)),IF(AC$1=INDEX('Valo FX'!$R:$R,MATCH($A3,'Valo FX'!$A:$A,0)),INDEX(Base!$V:$V,MATCH($A3,Base!$A:$A,0)),0)))</f>
        <v>11.988020000000001</v>
      </c>
      <c r="AD3" s="21">
        <f>IF(AD$1&lt;INDEX('Valo FX'!$Q:$Q,MATCH($A3,'Valo FX'!$A:$A,0)),0,IF(AD$1&lt;INDEX('Valo FX'!$R:$R,MATCH($A3,'Valo FX'!$A:$A,0)),INDEX(Base!$U:$U,MATCH($A3,Base!$A:$A,0)),IF(AD$1=INDEX('Valo FX'!$R:$R,MATCH($A3,'Valo FX'!$A:$A,0)),INDEX(Base!$V:$V,MATCH($A3,Base!$A:$A,0)),0)))</f>
        <v>11.988020000000001</v>
      </c>
      <c r="AE3" s="21">
        <f>IF(AE$1&lt;INDEX('Valo FX'!$Q:$Q,MATCH($A3,'Valo FX'!$A:$A,0)),0,IF(AE$1&lt;INDEX('Valo FX'!$R:$R,MATCH($A3,'Valo FX'!$A:$A,0)),INDEX(Base!$U:$U,MATCH($A3,Base!$A:$A,0)),IF(AE$1=INDEX('Valo FX'!$R:$R,MATCH($A3,'Valo FX'!$A:$A,0)),INDEX(Base!$V:$V,MATCH($A3,Base!$A:$A,0)),0)))</f>
        <v>11.988020000000001</v>
      </c>
      <c r="AF3" s="21">
        <f>IF(AF$1&lt;INDEX('Valo FX'!$Q:$Q,MATCH($A3,'Valo FX'!$A:$A,0)),0,IF(AF$1&lt;INDEX('Valo FX'!$R:$R,MATCH($A3,'Valo FX'!$A:$A,0)),INDEX(Base!$U:$U,MATCH($A3,Base!$A:$A,0)),IF(AF$1=INDEX('Valo FX'!$R:$R,MATCH($A3,'Valo FX'!$A:$A,0)),INDEX(Base!$V:$V,MATCH($A3,Base!$A:$A,0)),0)))</f>
        <v>11.988020000000001</v>
      </c>
      <c r="AG3" s="21">
        <f>IF(AG$1&lt;INDEX('Valo FX'!$Q:$Q,MATCH($A3,'Valo FX'!$A:$A,0)),0,IF(AG$1&lt;INDEX('Valo FX'!$R:$R,MATCH($A3,'Valo FX'!$A:$A,0)),INDEX(Base!$U:$U,MATCH($A3,Base!$A:$A,0)),IF(AG$1=INDEX('Valo FX'!$R:$R,MATCH($A3,'Valo FX'!$A:$A,0)),INDEX(Base!$V:$V,MATCH($A3,Base!$A:$A,0)),0)))</f>
        <v>11.988020000000001</v>
      </c>
      <c r="AH3" s="21">
        <f>IF(AH$1&lt;INDEX('Valo FX'!$Q:$Q,MATCH($A3,'Valo FX'!$A:$A,0)),0,IF(AH$1&lt;INDEX('Valo FX'!$R:$R,MATCH($A3,'Valo FX'!$A:$A,0)),INDEX(Base!$U:$U,MATCH($A3,Base!$A:$A,0)),IF(AH$1=INDEX('Valo FX'!$R:$R,MATCH($A3,'Valo FX'!$A:$A,0)),INDEX(Base!$V:$V,MATCH($A3,Base!$A:$A,0)),0)))</f>
        <v>11.988020000000001</v>
      </c>
      <c r="AI3" s="21">
        <f>IF(AI$1&lt;INDEX('Valo FX'!$Q:$Q,MATCH($A3,'Valo FX'!$A:$A,0)),0,IF(AI$1&lt;INDEX('Valo FX'!$R:$R,MATCH($A3,'Valo FX'!$A:$A,0)),INDEX(Base!$U:$U,MATCH($A3,Base!$A:$A,0)),IF(AI$1=INDEX('Valo FX'!$R:$R,MATCH($A3,'Valo FX'!$A:$A,0)),INDEX(Base!$V:$V,MATCH($A3,Base!$A:$A,0)),0)))</f>
        <v>11.988020000000001</v>
      </c>
      <c r="AJ3" s="21">
        <f>IF(AJ$1&lt;INDEX('Valo FX'!$Q:$Q,MATCH($A3,'Valo FX'!$A:$A,0)),0,IF(AJ$1&lt;INDEX('Valo FX'!$R:$R,MATCH($A3,'Valo FX'!$A:$A,0)),INDEX(Base!$U:$U,MATCH($A3,Base!$A:$A,0)),IF(AJ$1=INDEX('Valo FX'!$R:$R,MATCH($A3,'Valo FX'!$A:$A,0)),INDEX(Base!$V:$V,MATCH($A3,Base!$A:$A,0)),0)))</f>
        <v>11.988020000000001</v>
      </c>
      <c r="AK3" s="21">
        <f>IF(AK$1&lt;INDEX('Valo FX'!$Q:$Q,MATCH($A3,'Valo FX'!$A:$A,0)),0,IF(AK$1&lt;INDEX('Valo FX'!$R:$R,MATCH($A3,'Valo FX'!$A:$A,0)),INDEX(Base!$U:$U,MATCH($A3,Base!$A:$A,0)),IF(AK$1=INDEX('Valo FX'!$R:$R,MATCH($A3,'Valo FX'!$A:$A,0)),INDEX(Base!$V:$V,MATCH($A3,Base!$A:$A,0)),0)))</f>
        <v>11.988020000000001</v>
      </c>
      <c r="AL3" s="21">
        <f>IF(AL$1&lt;INDEX('Valo FX'!$Q:$Q,MATCH($A3,'Valo FX'!$A:$A,0)),0,IF(AL$1&lt;INDEX('Valo FX'!$R:$R,MATCH($A3,'Valo FX'!$A:$A,0)),INDEX(Base!$U:$U,MATCH($A3,Base!$A:$A,0)),IF(AL$1=INDEX('Valo FX'!$R:$R,MATCH($A3,'Valo FX'!$A:$A,0)),INDEX(Base!$V:$V,MATCH($A3,Base!$A:$A,0)),0)))</f>
        <v>11.988020000000001</v>
      </c>
      <c r="AM3" s="21">
        <f>IF(AM$1&lt;INDEX('Valo FX'!$Q:$Q,MATCH($A3,'Valo FX'!$A:$A,0)),0,IF(AM$1&lt;INDEX('Valo FX'!$R:$R,MATCH($A3,'Valo FX'!$A:$A,0)),INDEX(Base!$U:$U,MATCH($A3,Base!$A:$A,0)),IF(AM$1=INDEX('Valo FX'!$R:$R,MATCH($A3,'Valo FX'!$A:$A,0)),INDEX(Base!$V:$V,MATCH($A3,Base!$A:$A,0)),0)))</f>
        <v>11.988020000000001</v>
      </c>
      <c r="AN3" s="21">
        <f>IF(AN$1&lt;INDEX('Valo FX'!$Q:$Q,MATCH($A3,'Valo FX'!$A:$A,0)),0,IF(AN$1&lt;INDEX('Valo FX'!$R:$R,MATCH($A3,'Valo FX'!$A:$A,0)),INDEX(Base!$U:$U,MATCH($A3,Base!$A:$A,0)),IF(AN$1=INDEX('Valo FX'!$R:$R,MATCH($A3,'Valo FX'!$A:$A,0)),INDEX(Base!$V:$V,MATCH($A3,Base!$A:$A,0)),0)))</f>
        <v>11.988020000000001</v>
      </c>
      <c r="AO3" s="21">
        <f>IF(AO$1&lt;INDEX('Valo FX'!$Q:$Q,MATCH($A3,'Valo FX'!$A:$A,0)),0,IF(AO$1&lt;INDEX('Valo FX'!$R:$R,MATCH($A3,'Valo FX'!$A:$A,0)),INDEX(Base!$U:$U,MATCH($A3,Base!$A:$A,0)),IF(AO$1=INDEX('Valo FX'!$R:$R,MATCH($A3,'Valo FX'!$A:$A,0)),INDEX(Base!$V:$V,MATCH($A3,Base!$A:$A,0)),0)))</f>
        <v>11.988020000000001</v>
      </c>
      <c r="AP3" s="21">
        <f>IF(AP$1&lt;INDEX('Valo FX'!$Q:$Q,MATCH($A3,'Valo FX'!$A:$A,0)),0,IF(AP$1&lt;INDEX('Valo FX'!$R:$R,MATCH($A3,'Valo FX'!$A:$A,0)),INDEX(Base!$U:$U,MATCH($A3,Base!$A:$A,0)),IF(AP$1=INDEX('Valo FX'!$R:$R,MATCH($A3,'Valo FX'!$A:$A,0)),INDEX(Base!$V:$V,MATCH($A3,Base!$A:$A,0)),0)))</f>
        <v>11.988020000000001</v>
      </c>
      <c r="AQ3" s="21">
        <f>IF(AQ$1&lt;INDEX('Valo FX'!$Q:$Q,MATCH($A3,'Valo FX'!$A:$A,0)),0,IF(AQ$1&lt;INDEX('Valo FX'!$R:$R,MATCH($A3,'Valo FX'!$A:$A,0)),INDEX(Base!$U:$U,MATCH($A3,Base!$A:$A,0)),IF(AQ$1=INDEX('Valo FX'!$R:$R,MATCH($A3,'Valo FX'!$A:$A,0)),INDEX(Base!$V:$V,MATCH($A3,Base!$A:$A,0)),0)))</f>
        <v>11.988020000000001</v>
      </c>
      <c r="AR3" s="21">
        <f>IF(AR$1&lt;INDEX('Valo FX'!$Q:$Q,MATCH($A3,'Valo FX'!$A:$A,0)),0,IF(AR$1&lt;INDEX('Valo FX'!$R:$R,MATCH($A3,'Valo FX'!$A:$A,0)),INDEX(Base!$U:$U,MATCH($A3,Base!$A:$A,0)),IF(AR$1=INDEX('Valo FX'!$R:$R,MATCH($A3,'Valo FX'!$A:$A,0)),INDEX(Base!$V:$V,MATCH($A3,Base!$A:$A,0)),0)))</f>
        <v>11.988020000000001</v>
      </c>
      <c r="AS3" s="21">
        <f>IF(AS$1&lt;INDEX('Valo FX'!$Q:$Q,MATCH($A3,'Valo FX'!$A:$A,0)),0,IF(AS$1&lt;INDEX('Valo FX'!$R:$R,MATCH($A3,'Valo FX'!$A:$A,0)),INDEX(Base!$U:$U,MATCH($A3,Base!$A:$A,0)),IF(AS$1=INDEX('Valo FX'!$R:$R,MATCH($A3,'Valo FX'!$A:$A,0)),INDEX(Base!$V:$V,MATCH($A3,Base!$A:$A,0)),0)))</f>
        <v>11.988020000000001</v>
      </c>
      <c r="AT3" s="21">
        <f>IF(AT$1&lt;INDEX('Valo FX'!$Q:$Q,MATCH($A3,'Valo FX'!$A:$A,0)),0,IF(AT$1&lt;INDEX('Valo FX'!$R:$R,MATCH($A3,'Valo FX'!$A:$A,0)),INDEX(Base!$U:$U,MATCH($A3,Base!$A:$A,0)),IF(AT$1=INDEX('Valo FX'!$R:$R,MATCH($A3,'Valo FX'!$A:$A,0)),INDEX(Base!$V:$V,MATCH($A3,Base!$A:$A,0)),0)))</f>
        <v>11.988020000000001</v>
      </c>
      <c r="AU3" s="21">
        <f>IF(AU$1&lt;INDEX('Valo FX'!$Q:$Q,MATCH($A3,'Valo FX'!$A:$A,0)),0,IF(AU$1&lt;INDEX('Valo FX'!$R:$R,MATCH($A3,'Valo FX'!$A:$A,0)),INDEX(Base!$U:$U,MATCH($A3,Base!$A:$A,0)),IF(AU$1=INDEX('Valo FX'!$R:$R,MATCH($A3,'Valo FX'!$A:$A,0)),INDEX(Base!$V:$V,MATCH($A3,Base!$A:$A,0)),0)))</f>
        <v>11.988020000000001</v>
      </c>
      <c r="AV3" s="21">
        <f>IF(AV$1&lt;INDEX('Valo FX'!$Q:$Q,MATCH($A3,'Valo FX'!$A:$A,0)),0,IF(AV$1&lt;INDEX('Valo FX'!$R:$R,MATCH($A3,'Valo FX'!$A:$A,0)),INDEX(Base!$U:$U,MATCH($A3,Base!$A:$A,0)),IF(AV$1=INDEX('Valo FX'!$R:$R,MATCH($A3,'Valo FX'!$A:$A,0)),INDEX(Base!$V:$V,MATCH($A3,Base!$A:$A,0)),0)))</f>
        <v>11.988020000000001</v>
      </c>
      <c r="AW3" s="21">
        <f>IF(AW$1&lt;INDEX('Valo FX'!$Q:$Q,MATCH($A3,'Valo FX'!$A:$A,0)),0,IF(AW$1&lt;INDEX('Valo FX'!$R:$R,MATCH($A3,'Valo FX'!$A:$A,0)),INDEX(Base!$U:$U,MATCH($A3,Base!$A:$A,0)),IF(AW$1=INDEX('Valo FX'!$R:$R,MATCH($A3,'Valo FX'!$A:$A,0)),INDEX(Base!$V:$V,MATCH($A3,Base!$A:$A,0)),0)))</f>
        <v>11.988020000000001</v>
      </c>
      <c r="AX3" s="21">
        <f>IF(AX$1&lt;INDEX('Valo FX'!$Q:$Q,MATCH($A3,'Valo FX'!$A:$A,0)),0,IF(AX$1&lt;INDEX('Valo FX'!$R:$R,MATCH($A3,'Valo FX'!$A:$A,0)),INDEX(Base!$U:$U,MATCH($A3,Base!$A:$A,0)),IF(AX$1=INDEX('Valo FX'!$R:$R,MATCH($A3,'Valo FX'!$A:$A,0)),INDEX(Base!$V:$V,MATCH($A3,Base!$A:$A,0)),0)))</f>
        <v>11.988020000000001</v>
      </c>
      <c r="AY3" s="21">
        <f>IF(AY$1&lt;INDEX('Valo FX'!$Q:$Q,MATCH($A3,'Valo FX'!$A:$A,0)),0,IF(AY$1&lt;INDEX('Valo FX'!$R:$R,MATCH($A3,'Valo FX'!$A:$A,0)),INDEX(Base!$U:$U,MATCH($A3,Base!$A:$A,0)),IF(AY$1=INDEX('Valo FX'!$R:$R,MATCH($A3,'Valo FX'!$A:$A,0)),INDEX(Base!$V:$V,MATCH($A3,Base!$A:$A,0)),0)))</f>
        <v>11.988020000000001</v>
      </c>
      <c r="AZ3" s="21">
        <f>IF(AZ$1&lt;INDEX('Valo FX'!$Q:$Q,MATCH($A3,'Valo FX'!$A:$A,0)),0,IF(AZ$1&lt;INDEX('Valo FX'!$R:$R,MATCH($A3,'Valo FX'!$A:$A,0)),INDEX(Base!$U:$U,MATCH($A3,Base!$A:$A,0)),IF(AZ$1=INDEX('Valo FX'!$R:$R,MATCH($A3,'Valo FX'!$A:$A,0)),INDEX(Base!$V:$V,MATCH($A3,Base!$A:$A,0)),0)))</f>
        <v>11.988020000000001</v>
      </c>
      <c r="BA3" s="21">
        <f>IF(BA$1&lt;INDEX('Valo FX'!$Q:$Q,MATCH($A3,'Valo FX'!$A:$A,0)),0,IF(BA$1&lt;INDEX('Valo FX'!$R:$R,MATCH($A3,'Valo FX'!$A:$A,0)),INDEX(Base!$U:$U,MATCH($A3,Base!$A:$A,0)),IF(BA$1=INDEX('Valo FX'!$R:$R,MATCH($A3,'Valo FX'!$A:$A,0)),INDEX(Base!$V:$V,MATCH($A3,Base!$A:$A,0)),0)))</f>
        <v>11.988020000000001</v>
      </c>
      <c r="BB3" s="21">
        <f>IF(BB$1&lt;INDEX('Valo FX'!$Q:$Q,MATCH($A3,'Valo FX'!$A:$A,0)),0,IF(BB$1&lt;INDEX('Valo FX'!$R:$R,MATCH($A3,'Valo FX'!$A:$A,0)),INDEX(Base!$U:$U,MATCH($A3,Base!$A:$A,0)),IF(BB$1=INDEX('Valo FX'!$R:$R,MATCH($A3,'Valo FX'!$A:$A,0)),INDEX(Base!$V:$V,MATCH($A3,Base!$A:$A,0)),0)))</f>
        <v>11.988020000000001</v>
      </c>
      <c r="BC3" s="21">
        <f>IF(BC$1&lt;INDEX('Valo FX'!$Q:$Q,MATCH($A3,'Valo FX'!$A:$A,0)),0,IF(BC$1&lt;INDEX('Valo FX'!$R:$R,MATCH($A3,'Valo FX'!$A:$A,0)),INDEX(Base!$U:$U,MATCH($A3,Base!$A:$A,0)),IF(BC$1=INDEX('Valo FX'!$R:$R,MATCH($A3,'Valo FX'!$A:$A,0)),INDEX(Base!$V:$V,MATCH($A3,Base!$A:$A,0)),0)))</f>
        <v>11.988020000000001</v>
      </c>
      <c r="BD3" s="21">
        <f>IF(BD$1&lt;INDEX('Valo FX'!$Q:$Q,MATCH($A3,'Valo FX'!$A:$A,0)),0,IF(BD$1&lt;INDEX('Valo FX'!$R:$R,MATCH($A3,'Valo FX'!$A:$A,0)),INDEX(Base!$U:$U,MATCH($A3,Base!$A:$A,0)),IF(BD$1=INDEX('Valo FX'!$R:$R,MATCH($A3,'Valo FX'!$A:$A,0)),INDEX(Base!$V:$V,MATCH($A3,Base!$A:$A,0)),0)))</f>
        <v>11.988020000000001</v>
      </c>
      <c r="BE3" s="21">
        <f>IF(BE$1&lt;INDEX('Valo FX'!$Q:$Q,MATCH($A3,'Valo FX'!$A:$A,0)),0,IF(BE$1&lt;INDEX('Valo FX'!$R:$R,MATCH($A3,'Valo FX'!$A:$A,0)),INDEX(Base!$U:$U,MATCH($A3,Base!$A:$A,0)),IF(BE$1=INDEX('Valo FX'!$R:$R,MATCH($A3,'Valo FX'!$A:$A,0)),INDEX(Base!$V:$V,MATCH($A3,Base!$A:$A,0)),0)))</f>
        <v>11.988020000000001</v>
      </c>
      <c r="BF3" s="21">
        <f>IF(BF$1&lt;INDEX('Valo FX'!$Q:$Q,MATCH($A3,'Valo FX'!$A:$A,0)),0,IF(BF$1&lt;INDEX('Valo FX'!$R:$R,MATCH($A3,'Valo FX'!$A:$A,0)),INDEX(Base!$U:$U,MATCH($A3,Base!$A:$A,0)),IF(BF$1=INDEX('Valo FX'!$R:$R,MATCH($A3,'Valo FX'!$A:$A,0)),INDEX(Base!$V:$V,MATCH($A3,Base!$A:$A,0)),0)))</f>
        <v>11.988020000000001</v>
      </c>
      <c r="BG3" s="21">
        <f>IF(BG$1&lt;INDEX('Valo FX'!$Q:$Q,MATCH($A3,'Valo FX'!$A:$A,0)),0,IF(BG$1&lt;INDEX('Valo FX'!$R:$R,MATCH($A3,'Valo FX'!$A:$A,0)),INDEX(Base!$U:$U,MATCH($A3,Base!$A:$A,0)),IF(BG$1=INDEX('Valo FX'!$R:$R,MATCH($A3,'Valo FX'!$A:$A,0)),INDEX(Base!$V:$V,MATCH($A3,Base!$A:$A,0)),0)))</f>
        <v>11.988020000000001</v>
      </c>
      <c r="BH3" s="21">
        <f>IF(BH$1&lt;INDEX('Valo FX'!$Q:$Q,MATCH($A3,'Valo FX'!$A:$A,0)),0,IF(BH$1&lt;INDEX('Valo FX'!$R:$R,MATCH($A3,'Valo FX'!$A:$A,0)),INDEX(Base!$U:$U,MATCH($A3,Base!$A:$A,0)),IF(BH$1=INDEX('Valo FX'!$R:$R,MATCH($A3,'Valo FX'!$A:$A,0)),INDEX(Base!$V:$V,MATCH($A3,Base!$A:$A,0)),0)))</f>
        <v>11.988020000000001</v>
      </c>
      <c r="BI3" s="21">
        <f>IF(BI$1&lt;INDEX('Valo FX'!$Q:$Q,MATCH($A3,'Valo FX'!$A:$A,0)),0,IF(BI$1&lt;INDEX('Valo FX'!$R:$R,MATCH($A3,'Valo FX'!$A:$A,0)),INDEX(Base!$U:$U,MATCH($A3,Base!$A:$A,0)),IF(BI$1=INDEX('Valo FX'!$R:$R,MATCH($A3,'Valo FX'!$A:$A,0)),INDEX(Base!$V:$V,MATCH($A3,Base!$A:$A,0)),0)))</f>
        <v>11.988020000000001</v>
      </c>
      <c r="BJ3" s="21">
        <f>IF(BJ$1&lt;INDEX('Valo FX'!$Q:$Q,MATCH($A3,'Valo FX'!$A:$A,0)),0,IF(BJ$1&lt;INDEX('Valo FX'!$R:$R,MATCH($A3,'Valo FX'!$A:$A,0)),INDEX(Base!$U:$U,MATCH($A3,Base!$A:$A,0)),IF(BJ$1=INDEX('Valo FX'!$R:$R,MATCH($A3,'Valo FX'!$A:$A,0)),INDEX(Base!$V:$V,MATCH($A3,Base!$A:$A,0)),0)))</f>
        <v>11.988020000000001</v>
      </c>
      <c r="BK3" s="21">
        <f>IF(BK$1&lt;INDEX('Valo FX'!$Q:$Q,MATCH($A3,'Valo FX'!$A:$A,0)),0,IF(BK$1&lt;INDEX('Valo FX'!$R:$R,MATCH($A3,'Valo FX'!$A:$A,0)),INDEX(Base!$U:$U,MATCH($A3,Base!$A:$A,0)),IF(BK$1=INDEX('Valo FX'!$R:$R,MATCH($A3,'Valo FX'!$A:$A,0)),INDEX(Base!$V:$V,MATCH($A3,Base!$A:$A,0)),0)))</f>
        <v>11.988020000000001</v>
      </c>
      <c r="BL3" s="21">
        <f>IF(BL$1&lt;INDEX('Valo FX'!$Q:$Q,MATCH($A3,'Valo FX'!$A:$A,0)),0,IF(BL$1&lt;INDEX('Valo FX'!$R:$R,MATCH($A3,'Valo FX'!$A:$A,0)),INDEX(Base!$U:$U,MATCH($A3,Base!$A:$A,0)),IF(BL$1=INDEX('Valo FX'!$R:$R,MATCH($A3,'Valo FX'!$A:$A,0)),INDEX(Base!$V:$V,MATCH($A3,Base!$A:$A,0)),0)))</f>
        <v>11.988020000000001</v>
      </c>
      <c r="BM3" s="21">
        <f>IF(BM$1&lt;INDEX('Valo FX'!$Q:$Q,MATCH($A3,'Valo FX'!$A:$A,0)),0,IF(BM$1&lt;INDEX('Valo FX'!$R:$R,MATCH($A3,'Valo FX'!$A:$A,0)),INDEX(Base!$U:$U,MATCH($A3,Base!$A:$A,0)),IF(BM$1=INDEX('Valo FX'!$R:$R,MATCH($A3,'Valo FX'!$A:$A,0)),INDEX(Base!$V:$V,MATCH($A3,Base!$A:$A,0)),0)))</f>
        <v>11.988020000000001</v>
      </c>
      <c r="BN3" s="21">
        <f>IF(BN$1&lt;INDEX('Valo FX'!$Q:$Q,MATCH($A3,'Valo FX'!$A:$A,0)),0,IF(BN$1&lt;INDEX('Valo FX'!$R:$R,MATCH($A3,'Valo FX'!$A:$A,0)),INDEX(Base!$U:$U,MATCH($A3,Base!$A:$A,0)),IF(BN$1=INDEX('Valo FX'!$R:$R,MATCH($A3,'Valo FX'!$A:$A,0)),INDEX(Base!$V:$V,MATCH($A3,Base!$A:$A,0)),0)))</f>
        <v>11.988020000000001</v>
      </c>
      <c r="BO3" s="21">
        <f>IF(BO$1&lt;INDEX('Valo FX'!$Q:$Q,MATCH($A3,'Valo FX'!$A:$A,0)),0,IF(BO$1&lt;INDEX('Valo FX'!$R:$R,MATCH($A3,'Valo FX'!$A:$A,0)),INDEX(Base!$U:$U,MATCH($A3,Base!$A:$A,0)),IF(BO$1=INDEX('Valo FX'!$R:$R,MATCH($A3,'Valo FX'!$A:$A,0)),INDEX(Base!$V:$V,MATCH($A3,Base!$A:$A,0)),0)))</f>
        <v>11.988020000000001</v>
      </c>
      <c r="BP3" s="21">
        <f>IF(BP$1&lt;INDEX('Valo FX'!$Q:$Q,MATCH($A3,'Valo FX'!$A:$A,0)),0,IF(BP$1&lt;INDEX('Valo FX'!$R:$R,MATCH($A3,'Valo FX'!$A:$A,0)),INDEX(Base!$U:$U,MATCH($A3,Base!$A:$A,0)),IF(BP$1=INDEX('Valo FX'!$R:$R,MATCH($A3,'Valo FX'!$A:$A,0)),INDEX(Base!$V:$V,MATCH($A3,Base!$A:$A,0)),0)))</f>
        <v>11.988020000000001</v>
      </c>
      <c r="BQ3" s="21">
        <f>IF(BQ$1&lt;INDEX('Valo FX'!$Q:$Q,MATCH($A3,'Valo FX'!$A:$A,0)),0,IF(BQ$1&lt;INDEX('Valo FX'!$R:$R,MATCH($A3,'Valo FX'!$A:$A,0)),INDEX(Base!$U:$U,MATCH($A3,Base!$A:$A,0)),IF(BQ$1=INDEX('Valo FX'!$R:$R,MATCH($A3,'Valo FX'!$A:$A,0)),INDEX(Base!$V:$V,MATCH($A3,Base!$A:$A,0)),0)))</f>
        <v>11.988020000000001</v>
      </c>
      <c r="BR3" s="21">
        <f>IF(BR$1&lt;INDEX('Valo FX'!$Q:$Q,MATCH($A3,'Valo FX'!$A:$A,0)),0,IF(BR$1&lt;INDEX('Valo FX'!$R:$R,MATCH($A3,'Valo FX'!$A:$A,0)),INDEX(Base!$U:$U,MATCH($A3,Base!$A:$A,0)),IF(BR$1=INDEX('Valo FX'!$R:$R,MATCH($A3,'Valo FX'!$A:$A,0)),INDEX(Base!$V:$V,MATCH($A3,Base!$A:$A,0)),0)))</f>
        <v>11.988020000000001</v>
      </c>
      <c r="BS3" s="21">
        <f>IF(BS$1&lt;INDEX('Valo FX'!$Q:$Q,MATCH($A3,'Valo FX'!$A:$A,0)),0,IF(BS$1&lt;INDEX('Valo FX'!$R:$R,MATCH($A3,'Valo FX'!$A:$A,0)),INDEX(Base!$U:$U,MATCH($A3,Base!$A:$A,0)),IF(BS$1=INDEX('Valo FX'!$R:$R,MATCH($A3,'Valo FX'!$A:$A,0)),INDEX(Base!$V:$V,MATCH($A3,Base!$A:$A,0)),0)))</f>
        <v>11.988020000000001</v>
      </c>
      <c r="BT3" s="21">
        <f>IF(BT$1&lt;INDEX('Valo FX'!$Q:$Q,MATCH($A3,'Valo FX'!$A:$A,0)),0,IF(BT$1&lt;INDEX('Valo FX'!$R:$R,MATCH($A3,'Valo FX'!$A:$A,0)),INDEX(Base!$U:$U,MATCH($A3,Base!$A:$A,0)),IF(BT$1=INDEX('Valo FX'!$R:$R,MATCH($A3,'Valo FX'!$A:$A,0)),INDEX(Base!$V:$V,MATCH($A3,Base!$A:$A,0)),0)))</f>
        <v>11.988020000000001</v>
      </c>
      <c r="BU3" s="21">
        <f>IF(BU$1&lt;INDEX('Valo FX'!$Q:$Q,MATCH($A3,'Valo FX'!$A:$A,0)),0,IF(BU$1&lt;INDEX('Valo FX'!$R:$R,MATCH($A3,'Valo FX'!$A:$A,0)),INDEX(Base!$U:$U,MATCH($A3,Base!$A:$A,0)),IF(BU$1=INDEX('Valo FX'!$R:$R,MATCH($A3,'Valo FX'!$A:$A,0)),INDEX(Base!$V:$V,MATCH($A3,Base!$A:$A,0)),0)))</f>
        <v>11.988020000000001</v>
      </c>
      <c r="BV3" s="21">
        <f>IF(BV$1&lt;INDEX('Valo FX'!$Q:$Q,MATCH($A3,'Valo FX'!$A:$A,0)),0,IF(BV$1&lt;INDEX('Valo FX'!$R:$R,MATCH($A3,'Valo FX'!$A:$A,0)),INDEX(Base!$U:$U,MATCH($A3,Base!$A:$A,0)),IF(BV$1=INDEX('Valo FX'!$R:$R,MATCH($A3,'Valo FX'!$A:$A,0)),INDEX(Base!$V:$V,MATCH($A3,Base!$A:$A,0)),0)))</f>
        <v>11.988020000000001</v>
      </c>
      <c r="BW3" s="21">
        <f>IF(BW$1&lt;INDEX('Valo FX'!$Q:$Q,MATCH($A3,'Valo FX'!$A:$A,0)),0,IF(BW$1&lt;INDEX('Valo FX'!$R:$R,MATCH($A3,'Valo FX'!$A:$A,0)),INDEX(Base!$U:$U,MATCH($A3,Base!$A:$A,0)),IF(BW$1=INDEX('Valo FX'!$R:$R,MATCH($A3,'Valo FX'!$A:$A,0)),INDEX(Base!$V:$V,MATCH($A3,Base!$A:$A,0)),0)))</f>
        <v>11.988020000000001</v>
      </c>
      <c r="BX3" s="21">
        <f>IF(BX$1&lt;INDEX('Valo FX'!$Q:$Q,MATCH($A3,'Valo FX'!$A:$A,0)),0,IF(BX$1&lt;INDEX('Valo FX'!$R:$R,MATCH($A3,'Valo FX'!$A:$A,0)),INDEX(Base!$U:$U,MATCH($A3,Base!$A:$A,0)),IF(BX$1=INDEX('Valo FX'!$R:$R,MATCH($A3,'Valo FX'!$A:$A,0)),INDEX(Base!$V:$V,MATCH($A3,Base!$A:$A,0)),0)))</f>
        <v>11.988020000000001</v>
      </c>
      <c r="BY3" s="21">
        <f>IF(BY$1&lt;INDEX('Valo FX'!$Q:$Q,MATCH($A3,'Valo FX'!$A:$A,0)),0,IF(BY$1&lt;INDEX('Valo FX'!$R:$R,MATCH($A3,'Valo FX'!$A:$A,0)),INDEX(Base!$U:$U,MATCH($A3,Base!$A:$A,0)),IF(BY$1=INDEX('Valo FX'!$R:$R,MATCH($A3,'Valo FX'!$A:$A,0)),INDEX(Base!$V:$V,MATCH($A3,Base!$A:$A,0)),0)))</f>
        <v>11.988020000000001</v>
      </c>
      <c r="BZ3" s="21">
        <f>IF(BZ$1&lt;INDEX('Valo FX'!$Q:$Q,MATCH($A3,'Valo FX'!$A:$A,0)),0,IF(BZ$1&lt;INDEX('Valo FX'!$R:$R,MATCH($A3,'Valo FX'!$A:$A,0)),INDEX(Base!$U:$U,MATCH($A3,Base!$A:$A,0)),IF(BZ$1=INDEX('Valo FX'!$R:$R,MATCH($A3,'Valo FX'!$A:$A,0)),INDEX(Base!$V:$V,MATCH($A3,Base!$A:$A,0)),0)))</f>
        <v>11.988020000000001</v>
      </c>
      <c r="CA3" s="21">
        <f>IF(CA$1&lt;INDEX('Valo FX'!$Q:$Q,MATCH($A3,'Valo FX'!$A:$A,0)),0,IF(CA$1&lt;INDEX('Valo FX'!$R:$R,MATCH($A3,'Valo FX'!$A:$A,0)),INDEX(Base!$U:$U,MATCH($A3,Base!$A:$A,0)),IF(CA$1=INDEX('Valo FX'!$R:$R,MATCH($A3,'Valo FX'!$A:$A,0)),INDEX(Base!$V:$V,MATCH($A3,Base!$A:$A,0)),0)))</f>
        <v>11.988020000000001</v>
      </c>
      <c r="CB3" s="21">
        <f>IF(CB$1&lt;INDEX('Valo FX'!$Q:$Q,MATCH($A3,'Valo FX'!$A:$A,0)),0,IF(CB$1&lt;INDEX('Valo FX'!$R:$R,MATCH($A3,'Valo FX'!$A:$A,0)),INDEX(Base!$U:$U,MATCH($A3,Base!$A:$A,0)),IF(CB$1=INDEX('Valo FX'!$R:$R,MATCH($A3,'Valo FX'!$A:$A,0)),INDEX(Base!$V:$V,MATCH($A3,Base!$A:$A,0)),0)))</f>
        <v>11.988020000000001</v>
      </c>
      <c r="CC3" s="21">
        <f>IF(CC$1&lt;INDEX('Valo FX'!$Q:$Q,MATCH($A3,'Valo FX'!$A:$A,0)),0,IF(CC$1&lt;INDEX('Valo FX'!$R:$R,MATCH($A3,'Valo FX'!$A:$A,0)),INDEX(Base!$U:$U,MATCH($A3,Base!$A:$A,0)),IF(CC$1=INDEX('Valo FX'!$R:$R,MATCH($A3,'Valo FX'!$A:$A,0)),INDEX(Base!$V:$V,MATCH($A3,Base!$A:$A,0)),0)))</f>
        <v>11.988020000000001</v>
      </c>
      <c r="CD3" s="21">
        <f>IF(CD$1&lt;INDEX('Valo FX'!$Q:$Q,MATCH($A3,'Valo FX'!$A:$A,0)),0,IF(CD$1&lt;INDEX('Valo FX'!$R:$R,MATCH($A3,'Valo FX'!$A:$A,0)),INDEX(Base!$U:$U,MATCH($A3,Base!$A:$A,0)),IF(CD$1=INDEX('Valo FX'!$R:$R,MATCH($A3,'Valo FX'!$A:$A,0)),INDEX(Base!$V:$V,MATCH($A3,Base!$A:$A,0)),0)))</f>
        <v>11.988020000000001</v>
      </c>
      <c r="CE3" s="21">
        <f>IF(CE$1&lt;INDEX('Valo FX'!$Q:$Q,MATCH($A3,'Valo FX'!$A:$A,0)),0,IF(CE$1&lt;INDEX('Valo FX'!$R:$R,MATCH($A3,'Valo FX'!$A:$A,0)),INDEX(Base!$U:$U,MATCH($A3,Base!$A:$A,0)),IF(CE$1=INDEX('Valo FX'!$R:$R,MATCH($A3,'Valo FX'!$A:$A,0)),INDEX(Base!$V:$V,MATCH($A3,Base!$A:$A,0)),0)))</f>
        <v>11.988020000000001</v>
      </c>
      <c r="CF3" s="21">
        <f>IF(CF$1&lt;INDEX('Valo FX'!$Q:$Q,MATCH($A3,'Valo FX'!$A:$A,0)),0,IF(CF$1&lt;INDEX('Valo FX'!$R:$R,MATCH($A3,'Valo FX'!$A:$A,0)),INDEX(Base!$U:$U,MATCH($A3,Base!$A:$A,0)),IF(CF$1=INDEX('Valo FX'!$R:$R,MATCH($A3,'Valo FX'!$A:$A,0)),INDEX(Base!$V:$V,MATCH($A3,Base!$A:$A,0)),0)))</f>
        <v>11.988020000000001</v>
      </c>
      <c r="CG3" s="21">
        <f>IF(CG$1&lt;INDEX('Valo FX'!$Q:$Q,MATCH($A3,'Valo FX'!$A:$A,0)),0,IF(CG$1&lt;INDEX('Valo FX'!$R:$R,MATCH($A3,'Valo FX'!$A:$A,0)),INDEX(Base!$U:$U,MATCH($A3,Base!$A:$A,0)),IF(CG$1=INDEX('Valo FX'!$R:$R,MATCH($A3,'Valo FX'!$A:$A,0)),INDEX(Base!$V:$V,MATCH($A3,Base!$A:$A,0)),0)))</f>
        <v>11.988020000000001</v>
      </c>
      <c r="CH3" s="21">
        <f>IF(CH$1&lt;INDEX('Valo FX'!$Q:$Q,MATCH($A3,'Valo FX'!$A:$A,0)),0,IF(CH$1&lt;INDEX('Valo FX'!$R:$R,MATCH($A3,'Valo FX'!$A:$A,0)),INDEX(Base!$U:$U,MATCH($A3,Base!$A:$A,0)),IF(CH$1=INDEX('Valo FX'!$R:$R,MATCH($A3,'Valo FX'!$A:$A,0)),INDEX(Base!$V:$V,MATCH($A3,Base!$A:$A,0)),0)))</f>
        <v>11.988020000000001</v>
      </c>
      <c r="CI3" s="21">
        <f>IF(CI$1&lt;INDEX('Valo FX'!$Q:$Q,MATCH($A3,'Valo FX'!$A:$A,0)),0,IF(CI$1&lt;INDEX('Valo FX'!$R:$R,MATCH($A3,'Valo FX'!$A:$A,0)),INDEX(Base!$U:$U,MATCH($A3,Base!$A:$A,0)),IF(CI$1=INDEX('Valo FX'!$R:$R,MATCH($A3,'Valo FX'!$A:$A,0)),INDEX(Base!$V:$V,MATCH($A3,Base!$A:$A,0)),0)))</f>
        <v>11.988020000000001</v>
      </c>
      <c r="CJ3" s="21">
        <f>IF(CJ$1&lt;INDEX('Valo FX'!$Q:$Q,MATCH($A3,'Valo FX'!$A:$A,0)),0,IF(CJ$1&lt;INDEX('Valo FX'!$R:$R,MATCH($A3,'Valo FX'!$A:$A,0)),INDEX(Base!$U:$U,MATCH($A3,Base!$A:$A,0)),IF(CJ$1=INDEX('Valo FX'!$R:$R,MATCH($A3,'Valo FX'!$A:$A,0)),INDEX(Base!$V:$V,MATCH($A3,Base!$A:$A,0)),0)))</f>
        <v>11.988020000000001</v>
      </c>
      <c r="CK3" s="21">
        <f>IF(CK$1&lt;INDEX('Valo FX'!$Q:$Q,MATCH($A3,'Valo FX'!$A:$A,0)),0,IF(CK$1&lt;INDEX('Valo FX'!$R:$R,MATCH($A3,'Valo FX'!$A:$A,0)),INDEX(Base!$U:$U,MATCH($A3,Base!$A:$A,0)),IF(CK$1=INDEX('Valo FX'!$R:$R,MATCH($A3,'Valo FX'!$A:$A,0)),INDEX(Base!$V:$V,MATCH($A3,Base!$A:$A,0)),0)))</f>
        <v>11.988020000000001</v>
      </c>
      <c r="CL3" s="21">
        <f>IF(CL$1&lt;INDEX('Valo FX'!$Q:$Q,MATCH($A3,'Valo FX'!$A:$A,0)),0,IF(CL$1&lt;INDEX('Valo FX'!$R:$R,MATCH($A3,'Valo FX'!$A:$A,0)),INDEX(Base!$U:$U,MATCH($A3,Base!$A:$A,0)),IF(CL$1=INDEX('Valo FX'!$R:$R,MATCH($A3,'Valo FX'!$A:$A,0)),INDEX(Base!$V:$V,MATCH($A3,Base!$A:$A,0)),0)))</f>
        <v>11.988020000000001</v>
      </c>
      <c r="CM3" s="21">
        <f>IF(CM$1&lt;INDEX('Valo FX'!$Q:$Q,MATCH($A3,'Valo FX'!$A:$A,0)),0,IF(CM$1&lt;INDEX('Valo FX'!$R:$R,MATCH($A3,'Valo FX'!$A:$A,0)),INDEX(Base!$U:$U,MATCH($A3,Base!$A:$A,0)),IF(CM$1=INDEX('Valo FX'!$R:$R,MATCH($A3,'Valo FX'!$A:$A,0)),INDEX(Base!$V:$V,MATCH($A3,Base!$A:$A,0)),0)))</f>
        <v>11.988020000000001</v>
      </c>
      <c r="CN3" s="21">
        <f>IF(CN$1&lt;INDEX('Valo FX'!$Q:$Q,MATCH($A3,'Valo FX'!$A:$A,0)),0,IF(CN$1&lt;INDEX('Valo FX'!$R:$R,MATCH($A3,'Valo FX'!$A:$A,0)),INDEX(Base!$U:$U,MATCH($A3,Base!$A:$A,0)),IF(CN$1=INDEX('Valo FX'!$R:$R,MATCH($A3,'Valo FX'!$A:$A,0)),INDEX(Base!$V:$V,MATCH($A3,Base!$A:$A,0)),0)))</f>
        <v>11.988020000000001</v>
      </c>
      <c r="CO3" s="21">
        <f>IF(CO$1&lt;INDEX('Valo FX'!$Q:$Q,MATCH($A3,'Valo FX'!$A:$A,0)),0,IF(CO$1&lt;INDEX('Valo FX'!$R:$R,MATCH($A3,'Valo FX'!$A:$A,0)),INDEX(Base!$U:$U,MATCH($A3,Base!$A:$A,0)),IF(CO$1=INDEX('Valo FX'!$R:$R,MATCH($A3,'Valo FX'!$A:$A,0)),INDEX(Base!$V:$V,MATCH($A3,Base!$A:$A,0)),0)))</f>
        <v>11.988020000000001</v>
      </c>
      <c r="CP3" s="21">
        <f>IF(CP$1&lt;INDEX('Valo FX'!$Q:$Q,MATCH($A3,'Valo FX'!$A:$A,0)),0,IF(CP$1&lt;INDEX('Valo FX'!$R:$R,MATCH($A3,'Valo FX'!$A:$A,0)),INDEX(Base!$U:$U,MATCH($A3,Base!$A:$A,0)),IF(CP$1=INDEX('Valo FX'!$R:$R,MATCH($A3,'Valo FX'!$A:$A,0)),INDEX(Base!$V:$V,MATCH($A3,Base!$A:$A,0)),0)))</f>
        <v>11.988020000000001</v>
      </c>
      <c r="CQ3" s="21">
        <f>IF(CQ$1&lt;INDEX('Valo FX'!$Q:$Q,MATCH($A3,'Valo FX'!$A:$A,0)),0,IF(CQ$1&lt;INDEX('Valo FX'!$R:$R,MATCH($A3,'Valo FX'!$A:$A,0)),INDEX(Base!$U:$U,MATCH($A3,Base!$A:$A,0)),IF(CQ$1=INDEX('Valo FX'!$R:$R,MATCH($A3,'Valo FX'!$A:$A,0)),INDEX(Base!$V:$V,MATCH($A3,Base!$A:$A,0)),0)))</f>
        <v>11.988020000000001</v>
      </c>
      <c r="CR3" s="21">
        <f>IF(CR$1&lt;INDEX('Valo FX'!$Q:$Q,MATCH($A3,'Valo FX'!$A:$A,0)),0,IF(CR$1&lt;INDEX('Valo FX'!$R:$R,MATCH($A3,'Valo FX'!$A:$A,0)),INDEX(Base!$U:$U,MATCH($A3,Base!$A:$A,0)),IF(CR$1=INDEX('Valo FX'!$R:$R,MATCH($A3,'Valo FX'!$A:$A,0)),INDEX(Base!$V:$V,MATCH($A3,Base!$A:$A,0)),0)))</f>
        <v>11.988020000000001</v>
      </c>
      <c r="CS3" s="21">
        <f>IF(CS$1&lt;INDEX('Valo FX'!$Q:$Q,MATCH($A3,'Valo FX'!$A:$A,0)),0,IF(CS$1&lt;INDEX('Valo FX'!$R:$R,MATCH($A3,'Valo FX'!$A:$A,0)),INDEX(Base!$U:$U,MATCH($A3,Base!$A:$A,0)),IF(CS$1=INDEX('Valo FX'!$R:$R,MATCH($A3,'Valo FX'!$A:$A,0)),INDEX(Base!$V:$V,MATCH($A3,Base!$A:$A,0)),0)))</f>
        <v>11.988020000000001</v>
      </c>
      <c r="CT3" s="21">
        <f>IF(CT$1&lt;INDEX('Valo FX'!$Q:$Q,MATCH($A3,'Valo FX'!$A:$A,0)),0,IF(CT$1&lt;INDEX('Valo FX'!$R:$R,MATCH($A3,'Valo FX'!$A:$A,0)),INDEX(Base!$U:$U,MATCH($A3,Base!$A:$A,0)),IF(CT$1=INDEX('Valo FX'!$R:$R,MATCH($A3,'Valo FX'!$A:$A,0)),INDEX(Base!$V:$V,MATCH($A3,Base!$A:$A,0)),0)))</f>
        <v>11.988020000000001</v>
      </c>
      <c r="CU3" s="21">
        <f>IF(CU$1&lt;INDEX('Valo FX'!$Q:$Q,MATCH($A3,'Valo FX'!$A:$A,0)),0,IF(CU$1&lt;INDEX('Valo FX'!$R:$R,MATCH($A3,'Valo FX'!$A:$A,0)),INDEX(Base!$U:$U,MATCH($A3,Base!$A:$A,0)),IF(CU$1=INDEX('Valo FX'!$R:$R,MATCH($A3,'Valo FX'!$A:$A,0)),INDEX(Base!$V:$V,MATCH($A3,Base!$A:$A,0)),0)))</f>
        <v>11.988020000000001</v>
      </c>
      <c r="CV3" s="21">
        <f>IF(CV$1&lt;INDEX('Valo FX'!$Q:$Q,MATCH($A3,'Valo FX'!$A:$A,0)),0,IF(CV$1&lt;INDEX('Valo FX'!$R:$R,MATCH($A3,'Valo FX'!$A:$A,0)),INDEX(Base!$U:$U,MATCH($A3,Base!$A:$A,0)),IF(CV$1=INDEX('Valo FX'!$R:$R,MATCH($A3,'Valo FX'!$A:$A,0)),INDEX(Base!$V:$V,MATCH($A3,Base!$A:$A,0)),0)))</f>
        <v>11.988020000000001</v>
      </c>
      <c r="CW3" s="21">
        <f>IF(CW$1&lt;INDEX('Valo FX'!$Q:$Q,MATCH($A3,'Valo FX'!$A:$A,0)),0,IF(CW$1&lt;INDEX('Valo FX'!$R:$R,MATCH($A3,'Valo FX'!$A:$A,0)),INDEX(Base!$U:$U,MATCH($A3,Base!$A:$A,0)),IF(CW$1=INDEX('Valo FX'!$R:$R,MATCH($A3,'Valo FX'!$A:$A,0)),INDEX(Base!$V:$V,MATCH($A3,Base!$A:$A,0)),0)))</f>
        <v>11.988020000000001</v>
      </c>
      <c r="CX3" s="21">
        <f>IF(CX$1&lt;INDEX('Valo FX'!$Q:$Q,MATCH($A3,'Valo FX'!$A:$A,0)),0,IF(CX$1&lt;INDEX('Valo FX'!$R:$R,MATCH($A3,'Valo FX'!$A:$A,0)),INDEX(Base!$U:$U,MATCH($A3,Base!$A:$A,0)),IF(CX$1=INDEX('Valo FX'!$R:$R,MATCH($A3,'Valo FX'!$A:$A,0)),INDEX(Base!$V:$V,MATCH($A3,Base!$A:$A,0)),0)))</f>
        <v>11.988020000000001</v>
      </c>
      <c r="CY3" s="21">
        <f>IF(CY$1&lt;INDEX('Valo FX'!$Q:$Q,MATCH($A3,'Valo FX'!$A:$A,0)),0,IF(CY$1&lt;INDEX('Valo FX'!$R:$R,MATCH($A3,'Valo FX'!$A:$A,0)),INDEX(Base!$U:$U,MATCH($A3,Base!$A:$A,0)),IF(CY$1=INDEX('Valo FX'!$R:$R,MATCH($A3,'Valo FX'!$A:$A,0)),INDEX(Base!$V:$V,MATCH($A3,Base!$A:$A,0)),0)))</f>
        <v>11.988020000000001</v>
      </c>
      <c r="CZ3" s="21">
        <f>IF(CZ$1&lt;INDEX('Valo FX'!$Q:$Q,MATCH($A3,'Valo FX'!$A:$A,0)),0,IF(CZ$1&lt;INDEX('Valo FX'!$R:$R,MATCH($A3,'Valo FX'!$A:$A,0)),INDEX(Base!$U:$U,MATCH($A3,Base!$A:$A,0)),IF(CZ$1=INDEX('Valo FX'!$R:$R,MATCH($A3,'Valo FX'!$A:$A,0)),INDEX(Base!$V:$V,MATCH($A3,Base!$A:$A,0)),0)))</f>
        <v>11.988020000000001</v>
      </c>
      <c r="DA3" s="21">
        <f>IF(DA$1&lt;INDEX('Valo FX'!$Q:$Q,MATCH($A3,'Valo FX'!$A:$A,0)),0,IF(DA$1&lt;INDEX('Valo FX'!$R:$R,MATCH($A3,'Valo FX'!$A:$A,0)),INDEX(Base!$U:$U,MATCH($A3,Base!$A:$A,0)),IF(DA$1=INDEX('Valo FX'!$R:$R,MATCH($A3,'Valo FX'!$A:$A,0)),INDEX(Base!$V:$V,MATCH($A3,Base!$A:$A,0)),0)))</f>
        <v>11.988020000000001</v>
      </c>
      <c r="DB3" s="21">
        <f>IF(DB$1&lt;INDEX('Valo FX'!$Q:$Q,MATCH($A3,'Valo FX'!$A:$A,0)),0,IF(DB$1&lt;INDEX('Valo FX'!$R:$R,MATCH($A3,'Valo FX'!$A:$A,0)),INDEX(Base!$U:$U,MATCH($A3,Base!$A:$A,0)),IF(DB$1=INDEX('Valo FX'!$R:$R,MATCH($A3,'Valo FX'!$A:$A,0)),INDEX(Base!$V:$V,MATCH($A3,Base!$A:$A,0)),0)))</f>
        <v>11.988020000000001</v>
      </c>
      <c r="DC3" s="21">
        <f>IF(DC$1&lt;INDEX('Valo FX'!$Q:$Q,MATCH($A3,'Valo FX'!$A:$A,0)),0,IF(DC$1&lt;INDEX('Valo FX'!$R:$R,MATCH($A3,'Valo FX'!$A:$A,0)),INDEX(Base!$U:$U,MATCH($A3,Base!$A:$A,0)),IF(DC$1=INDEX('Valo FX'!$R:$R,MATCH($A3,'Valo FX'!$A:$A,0)),INDEX(Base!$V:$V,MATCH($A3,Base!$A:$A,0)),0)))</f>
        <v>11.988020000000001</v>
      </c>
      <c r="DD3" s="21">
        <f>IF(DD$1&lt;INDEX('Valo FX'!$Q:$Q,MATCH($A3,'Valo FX'!$A:$A,0)),0,IF(DD$1&lt;INDEX('Valo FX'!$R:$R,MATCH($A3,'Valo FX'!$A:$A,0)),INDEX(Base!$U:$U,MATCH($A3,Base!$A:$A,0)),IF(DD$1=INDEX('Valo FX'!$R:$R,MATCH($A3,'Valo FX'!$A:$A,0)),INDEX(Base!$V:$V,MATCH($A3,Base!$A:$A,0)),0)))</f>
        <v>11.988020000000001</v>
      </c>
      <c r="DE3" s="21">
        <f>IF(DE$1&lt;INDEX('Valo FX'!$Q:$Q,MATCH($A3,'Valo FX'!$A:$A,0)),0,IF(DE$1&lt;INDEX('Valo FX'!$R:$R,MATCH($A3,'Valo FX'!$A:$A,0)),INDEX(Base!$U:$U,MATCH($A3,Base!$A:$A,0)),IF(DE$1=INDEX('Valo FX'!$R:$R,MATCH($A3,'Valo FX'!$A:$A,0)),INDEX(Base!$V:$V,MATCH($A3,Base!$A:$A,0)),0)))</f>
        <v>11.988020000000001</v>
      </c>
      <c r="DF3" s="21">
        <f>IF(DF$1&lt;INDEX('Valo FX'!$Q:$Q,MATCH($A3,'Valo FX'!$A:$A,0)),0,IF(DF$1&lt;INDEX('Valo FX'!$R:$R,MATCH($A3,'Valo FX'!$A:$A,0)),INDEX(Base!$U:$U,MATCH($A3,Base!$A:$A,0)),IF(DF$1=INDEX('Valo FX'!$R:$R,MATCH($A3,'Valo FX'!$A:$A,0)),INDEX(Base!$V:$V,MATCH($A3,Base!$A:$A,0)),0)))</f>
        <v>11.988020000000001</v>
      </c>
      <c r="DG3" s="21">
        <f>IF(DG$1&lt;INDEX('Valo FX'!$Q:$Q,MATCH($A3,'Valo FX'!$A:$A,0)),0,IF(DG$1&lt;INDEX('Valo FX'!$R:$R,MATCH($A3,'Valo FX'!$A:$A,0)),INDEX(Base!$U:$U,MATCH($A3,Base!$A:$A,0)),IF(DG$1=INDEX('Valo FX'!$R:$R,MATCH($A3,'Valo FX'!$A:$A,0)),INDEX(Base!$V:$V,MATCH($A3,Base!$A:$A,0)),0)))</f>
        <v>11.988020000000001</v>
      </c>
      <c r="DH3" s="21">
        <f>IF(DH$1&lt;INDEX('Valo FX'!$Q:$Q,MATCH($A3,'Valo FX'!$A:$A,0)),0,IF(DH$1&lt;INDEX('Valo FX'!$R:$R,MATCH($A3,'Valo FX'!$A:$A,0)),INDEX(Base!$U:$U,MATCH($A3,Base!$A:$A,0)),IF(DH$1=INDEX('Valo FX'!$R:$R,MATCH($A3,'Valo FX'!$A:$A,0)),INDEX(Base!$V:$V,MATCH($A3,Base!$A:$A,0)),0)))</f>
        <v>11.988020000000001</v>
      </c>
      <c r="DI3" s="21">
        <f>IF(DI$1&lt;INDEX('Valo FX'!$Q:$Q,MATCH($A3,'Valo FX'!$A:$A,0)),0,IF(DI$1&lt;INDEX('Valo FX'!$R:$R,MATCH($A3,'Valo FX'!$A:$A,0)),INDEX(Base!$U:$U,MATCH($A3,Base!$A:$A,0)),IF(DI$1=INDEX('Valo FX'!$R:$R,MATCH($A3,'Valo FX'!$A:$A,0)),INDEX(Base!$V:$V,MATCH($A3,Base!$A:$A,0)),0)))</f>
        <v>11.988020000000001</v>
      </c>
      <c r="DJ3" s="21">
        <f>IF(DJ$1&lt;INDEX('Valo FX'!$Q:$Q,MATCH($A3,'Valo FX'!$A:$A,0)),0,IF(DJ$1&lt;INDEX('Valo FX'!$R:$R,MATCH($A3,'Valo FX'!$A:$A,0)),INDEX(Base!$U:$U,MATCH($A3,Base!$A:$A,0)),IF(DJ$1=INDEX('Valo FX'!$R:$R,MATCH($A3,'Valo FX'!$A:$A,0)),INDEX(Base!$V:$V,MATCH($A3,Base!$A:$A,0)),0)))</f>
        <v>11.988020000000001</v>
      </c>
      <c r="DK3" s="21">
        <f>IF(DK$1&lt;INDEX('Valo FX'!$Q:$Q,MATCH($A3,'Valo FX'!$A:$A,0)),0,IF(DK$1&lt;INDEX('Valo FX'!$R:$R,MATCH($A3,'Valo FX'!$A:$A,0)),INDEX(Base!$U:$U,MATCH($A3,Base!$A:$A,0)),IF(DK$1=INDEX('Valo FX'!$R:$R,MATCH($A3,'Valo FX'!$A:$A,0)),INDEX(Base!$V:$V,MATCH($A3,Base!$A:$A,0)),0)))</f>
        <v>11.988020000000001</v>
      </c>
      <c r="DL3" s="21">
        <f>IF(DL$1&lt;INDEX('Valo FX'!$Q:$Q,MATCH($A3,'Valo FX'!$A:$A,0)),0,IF(DL$1&lt;INDEX('Valo FX'!$R:$R,MATCH($A3,'Valo FX'!$A:$A,0)),INDEX(Base!$U:$U,MATCH($A3,Base!$A:$A,0)),IF(DL$1=INDEX('Valo FX'!$R:$R,MATCH($A3,'Valo FX'!$A:$A,0)),INDEX(Base!$V:$V,MATCH($A3,Base!$A:$A,0)),0)))</f>
        <v>11.988020000000001</v>
      </c>
      <c r="DM3" s="21">
        <f>IF(DM$1&lt;INDEX('Valo FX'!$Q:$Q,MATCH($A3,'Valo FX'!$A:$A,0)),0,IF(DM$1&lt;INDEX('Valo FX'!$R:$R,MATCH($A3,'Valo FX'!$A:$A,0)),INDEX(Base!$U:$U,MATCH($A3,Base!$A:$A,0)),IF(DM$1=INDEX('Valo FX'!$R:$R,MATCH($A3,'Valo FX'!$A:$A,0)),INDEX(Base!$V:$V,MATCH($A3,Base!$A:$A,0)),0)))</f>
        <v>11.988020000000001</v>
      </c>
      <c r="DN3" s="21">
        <f>IF(DN$1&lt;INDEX('Valo FX'!$Q:$Q,MATCH($A3,'Valo FX'!$A:$A,0)),0,IF(DN$1&lt;INDEX('Valo FX'!$R:$R,MATCH($A3,'Valo FX'!$A:$A,0)),INDEX(Base!$U:$U,MATCH($A3,Base!$A:$A,0)),IF(DN$1=INDEX('Valo FX'!$R:$R,MATCH($A3,'Valo FX'!$A:$A,0)),INDEX(Base!$V:$V,MATCH($A3,Base!$A:$A,0)),0)))</f>
        <v>11.988020000000001</v>
      </c>
      <c r="DO3" s="21">
        <f>IF(DO$1&lt;INDEX('Valo FX'!$Q:$Q,MATCH($A3,'Valo FX'!$A:$A,0)),0,IF(DO$1&lt;INDEX('Valo FX'!$R:$R,MATCH($A3,'Valo FX'!$A:$A,0)),INDEX(Base!$U:$U,MATCH($A3,Base!$A:$A,0)),IF(DO$1=INDEX('Valo FX'!$R:$R,MATCH($A3,'Valo FX'!$A:$A,0)),INDEX(Base!$V:$V,MATCH($A3,Base!$A:$A,0)),0)))</f>
        <v>11.988020000000001</v>
      </c>
      <c r="DP3" s="21">
        <f>IF(DP$1&lt;INDEX('Valo FX'!$Q:$Q,MATCH($A3,'Valo FX'!$A:$A,0)),0,IF(DP$1&lt;INDEX('Valo FX'!$R:$R,MATCH($A3,'Valo FX'!$A:$A,0)),INDEX(Base!$U:$U,MATCH($A3,Base!$A:$A,0)),IF(DP$1=INDEX('Valo FX'!$R:$R,MATCH($A3,'Valo FX'!$A:$A,0)),INDEX(Base!$V:$V,MATCH($A3,Base!$A:$A,0)),0)))</f>
        <v>11.988020000000001</v>
      </c>
      <c r="DQ3" s="21">
        <f>IF(DQ$1&lt;INDEX('Valo FX'!$Q:$Q,MATCH($A3,'Valo FX'!$A:$A,0)),0,IF(DQ$1&lt;INDEX('Valo FX'!$R:$R,MATCH($A3,'Valo FX'!$A:$A,0)),INDEX(Base!$U:$U,MATCH($A3,Base!$A:$A,0)),IF(DQ$1=INDEX('Valo FX'!$R:$R,MATCH($A3,'Valo FX'!$A:$A,0)),INDEX(Base!$V:$V,MATCH($A3,Base!$A:$A,0)),0)))</f>
        <v>11.988020000000001</v>
      </c>
      <c r="DR3" s="21">
        <f>IF(DR$1&lt;INDEX('Valo FX'!$Q:$Q,MATCH($A3,'Valo FX'!$A:$A,0)),0,IF(DR$1&lt;INDEX('Valo FX'!$R:$R,MATCH($A3,'Valo FX'!$A:$A,0)),INDEX(Base!$U:$U,MATCH($A3,Base!$A:$A,0)),IF(DR$1=INDEX('Valo FX'!$R:$R,MATCH($A3,'Valo FX'!$A:$A,0)),INDEX(Base!$V:$V,MATCH($A3,Base!$A:$A,0)),0)))</f>
        <v>11.988020000000001</v>
      </c>
      <c r="DS3" s="21">
        <f>IF(DS$1&lt;INDEX('Valo FX'!$Q:$Q,MATCH($A3,'Valo FX'!$A:$A,0)),0,IF(DS$1&lt;INDEX('Valo FX'!$R:$R,MATCH($A3,'Valo FX'!$A:$A,0)),INDEX(Base!$U:$U,MATCH($A3,Base!$A:$A,0)),IF(DS$1=INDEX('Valo FX'!$R:$R,MATCH($A3,'Valo FX'!$A:$A,0)),INDEX(Base!$V:$V,MATCH($A3,Base!$A:$A,0)),0)))</f>
        <v>11.988020000000001</v>
      </c>
      <c r="DT3" s="21">
        <f>IF(DT$1&lt;INDEX('Valo FX'!$Q:$Q,MATCH($A3,'Valo FX'!$A:$A,0)),0,IF(DT$1&lt;INDEX('Valo FX'!$R:$R,MATCH($A3,'Valo FX'!$A:$A,0)),INDEX(Base!$U:$U,MATCH($A3,Base!$A:$A,0)),IF(DT$1=INDEX('Valo FX'!$R:$R,MATCH($A3,'Valo FX'!$A:$A,0)),INDEX(Base!$V:$V,MATCH($A3,Base!$A:$A,0)),0)))</f>
        <v>11.988020000000001</v>
      </c>
      <c r="DU3" s="21">
        <f>IF(DU$1&lt;INDEX('Valo FX'!$Q:$Q,MATCH($A3,'Valo FX'!$A:$A,0)),0,IF(DU$1&lt;INDEX('Valo FX'!$R:$R,MATCH($A3,'Valo FX'!$A:$A,0)),INDEX(Base!$U:$U,MATCH($A3,Base!$A:$A,0)),IF(DU$1=INDEX('Valo FX'!$R:$R,MATCH($A3,'Valo FX'!$A:$A,0)),INDEX(Base!$V:$V,MATCH($A3,Base!$A:$A,0)),0)))</f>
        <v>11.988020000000001</v>
      </c>
      <c r="DV3" s="21">
        <f>IF(DV$1&lt;INDEX('Valo FX'!$Q:$Q,MATCH($A3,'Valo FX'!$A:$A,0)),0,IF(DV$1&lt;INDEX('Valo FX'!$R:$R,MATCH($A3,'Valo FX'!$A:$A,0)),INDEX(Base!$U:$U,MATCH($A3,Base!$A:$A,0)),IF(DV$1=INDEX('Valo FX'!$R:$R,MATCH($A3,'Valo FX'!$A:$A,0)),INDEX(Base!$V:$V,MATCH($A3,Base!$A:$A,0)),0)))</f>
        <v>11.988020000000001</v>
      </c>
      <c r="DW3" s="21">
        <f>IF(DW$1&lt;INDEX('Valo FX'!$Q:$Q,MATCH($A3,'Valo FX'!$A:$A,0)),0,IF(DW$1&lt;INDEX('Valo FX'!$R:$R,MATCH($A3,'Valo FX'!$A:$A,0)),INDEX(Base!$U:$U,MATCH($A3,Base!$A:$A,0)),IF(DW$1=INDEX('Valo FX'!$R:$R,MATCH($A3,'Valo FX'!$A:$A,0)),INDEX(Base!$V:$V,MATCH($A3,Base!$A:$A,0)),0)))</f>
        <v>11.988020000000001</v>
      </c>
      <c r="DX3" s="21">
        <f>IF(DX$1&lt;INDEX('Valo FX'!$Q:$Q,MATCH($A3,'Valo FX'!$A:$A,0)),0,IF(DX$1&lt;INDEX('Valo FX'!$R:$R,MATCH($A3,'Valo FX'!$A:$A,0)),INDEX(Base!$U:$U,MATCH($A3,Base!$A:$A,0)),IF(DX$1=INDEX('Valo FX'!$R:$R,MATCH($A3,'Valo FX'!$A:$A,0)),INDEX(Base!$V:$V,MATCH($A3,Base!$A:$A,0)),0)))</f>
        <v>11.988020000000001</v>
      </c>
      <c r="DY3" s="21">
        <f>IF(DY$1&lt;INDEX('Valo FX'!$Q:$Q,MATCH($A3,'Valo FX'!$A:$A,0)),0,IF(DY$1&lt;INDEX('Valo FX'!$R:$R,MATCH($A3,'Valo FX'!$A:$A,0)),INDEX(Base!$U:$U,MATCH($A3,Base!$A:$A,0)),IF(DY$1=INDEX('Valo FX'!$R:$R,MATCH($A3,'Valo FX'!$A:$A,0)),INDEX(Base!$V:$V,MATCH($A3,Base!$A:$A,0)),0)))</f>
        <v>11.988020000000001</v>
      </c>
      <c r="DZ3" s="21">
        <f>IF(DZ$1&lt;INDEX('Valo FX'!$Q:$Q,MATCH($A3,'Valo FX'!$A:$A,0)),0,IF(DZ$1&lt;INDEX('Valo FX'!$R:$R,MATCH($A3,'Valo FX'!$A:$A,0)),INDEX(Base!$U:$U,MATCH($A3,Base!$A:$A,0)),IF(DZ$1=INDEX('Valo FX'!$R:$R,MATCH($A3,'Valo FX'!$A:$A,0)),INDEX(Base!$V:$V,MATCH($A3,Base!$A:$A,0)),0)))</f>
        <v>11.988020000000001</v>
      </c>
      <c r="EA3" s="21">
        <f>IF(EA$1&lt;INDEX('Valo FX'!$Q:$Q,MATCH($A3,'Valo FX'!$A:$A,0)),0,IF(EA$1&lt;INDEX('Valo FX'!$R:$R,MATCH($A3,'Valo FX'!$A:$A,0)),INDEX(Base!$U:$U,MATCH($A3,Base!$A:$A,0)),IF(EA$1=INDEX('Valo FX'!$R:$R,MATCH($A3,'Valo FX'!$A:$A,0)),INDEX(Base!$V:$V,MATCH($A3,Base!$A:$A,0)),0)))</f>
        <v>11.988020000000001</v>
      </c>
      <c r="EB3" s="21">
        <f>IF(EB$1&lt;INDEX('Valo FX'!$Q:$Q,MATCH($A3,'Valo FX'!$A:$A,0)),0,IF(EB$1&lt;INDEX('Valo FX'!$R:$R,MATCH($A3,'Valo FX'!$A:$A,0)),INDEX(Base!$U:$U,MATCH($A3,Base!$A:$A,0)),IF(EB$1=INDEX('Valo FX'!$R:$R,MATCH($A3,'Valo FX'!$A:$A,0)),INDEX(Base!$V:$V,MATCH($A3,Base!$A:$A,0)),0)))</f>
        <v>11.988020000000001</v>
      </c>
      <c r="EC3" s="21">
        <f>IF(EC$1&lt;INDEX('Valo FX'!$Q:$Q,MATCH($A3,'Valo FX'!$A:$A,0)),0,IF(EC$1&lt;INDEX('Valo FX'!$R:$R,MATCH($A3,'Valo FX'!$A:$A,0)),INDEX(Base!$U:$U,MATCH($A3,Base!$A:$A,0)),IF(EC$1=INDEX('Valo FX'!$R:$R,MATCH($A3,'Valo FX'!$A:$A,0)),INDEX(Base!$V:$V,MATCH($A3,Base!$A:$A,0)),0)))</f>
        <v>11.988020000000001</v>
      </c>
      <c r="ED3" s="21">
        <f>IF(ED$1&lt;INDEX('Valo FX'!$Q:$Q,MATCH($A3,'Valo FX'!$A:$A,0)),0,IF(ED$1&lt;INDEX('Valo FX'!$R:$R,MATCH($A3,'Valo FX'!$A:$A,0)),INDEX(Base!$U:$U,MATCH($A3,Base!$A:$A,0)),IF(ED$1=INDEX('Valo FX'!$R:$R,MATCH($A3,'Valo FX'!$A:$A,0)),INDEX(Base!$V:$V,MATCH($A3,Base!$A:$A,0)),0)))</f>
        <v>11.988020000000001</v>
      </c>
      <c r="EE3" s="21">
        <f>IF(EE$1&lt;INDEX('Valo FX'!$Q:$Q,MATCH($A3,'Valo FX'!$A:$A,0)),0,IF(EE$1&lt;INDEX('Valo FX'!$R:$R,MATCH($A3,'Valo FX'!$A:$A,0)),INDEX(Base!$U:$U,MATCH($A3,Base!$A:$A,0)),IF(EE$1=INDEX('Valo FX'!$R:$R,MATCH($A3,'Valo FX'!$A:$A,0)),INDEX(Base!$V:$V,MATCH($A3,Base!$A:$A,0)),0)))</f>
        <v>11.988020000000001</v>
      </c>
      <c r="EF3" s="21">
        <f>IF(EF$1&lt;INDEX('Valo FX'!$Q:$Q,MATCH($A3,'Valo FX'!$A:$A,0)),0,IF(EF$1&lt;INDEX('Valo FX'!$R:$R,MATCH($A3,'Valo FX'!$A:$A,0)),INDEX(Base!$U:$U,MATCH($A3,Base!$A:$A,0)),IF(EF$1=INDEX('Valo FX'!$R:$R,MATCH($A3,'Valo FX'!$A:$A,0)),INDEX(Base!$V:$V,MATCH($A3,Base!$A:$A,0)),0)))</f>
        <v>11.988020000000001</v>
      </c>
      <c r="EG3" s="21">
        <f>IF(EG$1&lt;INDEX('Valo FX'!$Q:$Q,MATCH($A3,'Valo FX'!$A:$A,0)),0,IF(EG$1&lt;INDEX('Valo FX'!$R:$R,MATCH($A3,'Valo FX'!$A:$A,0)),INDEX(Base!$U:$U,MATCH($A3,Base!$A:$A,0)),IF(EG$1=INDEX('Valo FX'!$R:$R,MATCH($A3,'Valo FX'!$A:$A,0)),INDEX(Base!$V:$V,MATCH($A3,Base!$A:$A,0)),0)))</f>
        <v>11.988020000000001</v>
      </c>
      <c r="EH3" s="21">
        <f>IF(EH$1&lt;INDEX('Valo FX'!$Q:$Q,MATCH($A3,'Valo FX'!$A:$A,0)),0,IF(EH$1&lt;INDEX('Valo FX'!$R:$R,MATCH($A3,'Valo FX'!$A:$A,0)),INDEX(Base!$U:$U,MATCH($A3,Base!$A:$A,0)),IF(EH$1=INDEX('Valo FX'!$R:$R,MATCH($A3,'Valo FX'!$A:$A,0)),INDEX(Base!$V:$V,MATCH($A3,Base!$A:$A,0)),0)))</f>
        <v>11.988020000000001</v>
      </c>
      <c r="EI3" s="21">
        <f>IF(EI$1&lt;INDEX('Valo FX'!$Q:$Q,MATCH($A3,'Valo FX'!$A:$A,0)),0,IF(EI$1&lt;INDEX('Valo FX'!$R:$R,MATCH($A3,'Valo FX'!$A:$A,0)),INDEX(Base!$U:$U,MATCH($A3,Base!$A:$A,0)),IF(EI$1=INDEX('Valo FX'!$R:$R,MATCH($A3,'Valo FX'!$A:$A,0)),INDEX(Base!$V:$V,MATCH($A3,Base!$A:$A,0)),0)))</f>
        <v>11.988020000000001</v>
      </c>
      <c r="EJ3" s="21">
        <f>IF(EJ$1&lt;INDEX('Valo FX'!$Q:$Q,MATCH($A3,'Valo FX'!$A:$A,0)),0,IF(EJ$1&lt;INDEX('Valo FX'!$R:$R,MATCH($A3,'Valo FX'!$A:$A,0)),INDEX(Base!$U:$U,MATCH($A3,Base!$A:$A,0)),IF(EJ$1=INDEX('Valo FX'!$R:$R,MATCH($A3,'Valo FX'!$A:$A,0)),INDEX(Base!$V:$V,MATCH($A3,Base!$A:$A,0)),0)))</f>
        <v>11.988020000000001</v>
      </c>
      <c r="EK3" s="21">
        <f>IF(EK$1&lt;INDEX('Valo FX'!$Q:$Q,MATCH($A3,'Valo FX'!$A:$A,0)),0,IF(EK$1&lt;INDEX('Valo FX'!$R:$R,MATCH($A3,'Valo FX'!$A:$A,0)),INDEX(Base!$U:$U,MATCH($A3,Base!$A:$A,0)),IF(EK$1=INDEX('Valo FX'!$R:$R,MATCH($A3,'Valo FX'!$A:$A,0)),INDEX(Base!$V:$V,MATCH($A3,Base!$A:$A,0)),0)))</f>
        <v>11.988020000000001</v>
      </c>
      <c r="EL3" s="21">
        <f>IF(EL$1&lt;INDEX('Valo FX'!$Q:$Q,MATCH($A3,'Valo FX'!$A:$A,0)),0,IF(EL$1&lt;INDEX('Valo FX'!$R:$R,MATCH($A3,'Valo FX'!$A:$A,0)),INDEX(Base!$U:$U,MATCH($A3,Base!$A:$A,0)),IF(EL$1=INDEX('Valo FX'!$R:$R,MATCH($A3,'Valo FX'!$A:$A,0)),INDEX(Base!$V:$V,MATCH($A3,Base!$A:$A,0)),0)))</f>
        <v>11.988020000000001</v>
      </c>
      <c r="EM3" s="21">
        <f>IF(EM$1&lt;INDEX('Valo FX'!$Q:$Q,MATCH($A3,'Valo FX'!$A:$A,0)),0,IF(EM$1&lt;INDEX('Valo FX'!$R:$R,MATCH($A3,'Valo FX'!$A:$A,0)),INDEX(Base!$U:$U,MATCH($A3,Base!$A:$A,0)),IF(EM$1=INDEX('Valo FX'!$R:$R,MATCH($A3,'Valo FX'!$A:$A,0)),INDEX(Base!$V:$V,MATCH($A3,Base!$A:$A,0)),0)))</f>
        <v>11.988020000000001</v>
      </c>
      <c r="EN3" s="21">
        <f>IF(EN$1&lt;INDEX('Valo FX'!$Q:$Q,MATCH($A3,'Valo FX'!$A:$A,0)),0,IF(EN$1&lt;INDEX('Valo FX'!$R:$R,MATCH($A3,'Valo FX'!$A:$A,0)),INDEX(Base!$U:$U,MATCH($A3,Base!$A:$A,0)),IF(EN$1=INDEX('Valo FX'!$R:$R,MATCH($A3,'Valo FX'!$A:$A,0)),INDEX(Base!$V:$V,MATCH($A3,Base!$A:$A,0)),0)))</f>
        <v>11.988020000000001</v>
      </c>
      <c r="EO3" s="21">
        <f>IF(EO$1&lt;INDEX('Valo FX'!$Q:$Q,MATCH($A3,'Valo FX'!$A:$A,0)),0,IF(EO$1&lt;INDEX('Valo FX'!$R:$R,MATCH($A3,'Valo FX'!$A:$A,0)),INDEX(Base!$U:$U,MATCH($A3,Base!$A:$A,0)),IF(EO$1=INDEX('Valo FX'!$R:$R,MATCH($A3,'Valo FX'!$A:$A,0)),INDEX(Base!$V:$V,MATCH($A3,Base!$A:$A,0)),0)))</f>
        <v>11.988020000000001</v>
      </c>
      <c r="EP3" s="21">
        <f>IF(EP$1&lt;INDEX('Valo FX'!$Q:$Q,MATCH($A3,'Valo FX'!$A:$A,0)),0,IF(EP$1&lt;INDEX('Valo FX'!$R:$R,MATCH($A3,'Valo FX'!$A:$A,0)),INDEX(Base!$U:$U,MATCH($A3,Base!$A:$A,0)),IF(EP$1=INDEX('Valo FX'!$R:$R,MATCH($A3,'Valo FX'!$A:$A,0)),INDEX(Base!$V:$V,MATCH($A3,Base!$A:$A,0)),0)))</f>
        <v>11.988020000000001</v>
      </c>
      <c r="EQ3" s="21">
        <f>IF(EQ$1&lt;INDEX('Valo FX'!$Q:$Q,MATCH($A3,'Valo FX'!$A:$A,0)),0,IF(EQ$1&lt;INDEX('Valo FX'!$R:$R,MATCH($A3,'Valo FX'!$A:$A,0)),INDEX(Base!$U:$U,MATCH($A3,Base!$A:$A,0)),IF(EQ$1=INDEX('Valo FX'!$R:$R,MATCH($A3,'Valo FX'!$A:$A,0)),INDEX(Base!$V:$V,MATCH($A3,Base!$A:$A,0)),0)))</f>
        <v>11.988020000000001</v>
      </c>
      <c r="ER3" s="21">
        <f>IF(ER$1&lt;INDEX('Valo FX'!$Q:$Q,MATCH($A3,'Valo FX'!$A:$A,0)),0,IF(ER$1&lt;INDEX('Valo FX'!$R:$R,MATCH($A3,'Valo FX'!$A:$A,0)),INDEX(Base!$U:$U,MATCH($A3,Base!$A:$A,0)),IF(ER$1=INDEX('Valo FX'!$R:$R,MATCH($A3,'Valo FX'!$A:$A,0)),INDEX(Base!$V:$V,MATCH($A3,Base!$A:$A,0)),0)))</f>
        <v>11.988020000000001</v>
      </c>
      <c r="ES3" s="21">
        <f>IF(ES$1&lt;INDEX('Valo FX'!$Q:$Q,MATCH($A3,'Valo FX'!$A:$A,0)),0,IF(ES$1&lt;INDEX('Valo FX'!$R:$R,MATCH($A3,'Valo FX'!$A:$A,0)),INDEX(Base!$U:$U,MATCH($A3,Base!$A:$A,0)),IF(ES$1=INDEX('Valo FX'!$R:$R,MATCH($A3,'Valo FX'!$A:$A,0)),INDEX(Base!$V:$V,MATCH($A3,Base!$A:$A,0)),0)))</f>
        <v>11.988020000000001</v>
      </c>
      <c r="ET3" s="21">
        <f>IF(ET$1&lt;INDEX('Valo FX'!$Q:$Q,MATCH($A3,'Valo FX'!$A:$A,0)),0,IF(ET$1&lt;INDEX('Valo FX'!$R:$R,MATCH($A3,'Valo FX'!$A:$A,0)),INDEX(Base!$U:$U,MATCH($A3,Base!$A:$A,0)),IF(ET$1=INDEX('Valo FX'!$R:$R,MATCH($A3,'Valo FX'!$A:$A,0)),INDEX(Base!$V:$V,MATCH($A3,Base!$A:$A,0)),0)))</f>
        <v>11.988020000000001</v>
      </c>
      <c r="EU3" s="21">
        <f>IF(EU$1&lt;INDEX('Valo FX'!$Q:$Q,MATCH($A3,'Valo FX'!$A:$A,0)),0,IF(EU$1&lt;INDEX('Valo FX'!$R:$R,MATCH($A3,'Valo FX'!$A:$A,0)),INDEX(Base!$U:$U,MATCH($A3,Base!$A:$A,0)),IF(EU$1=INDEX('Valo FX'!$R:$R,MATCH($A3,'Valo FX'!$A:$A,0)),INDEX(Base!$V:$V,MATCH($A3,Base!$A:$A,0)),0)))</f>
        <v>11.988020000000001</v>
      </c>
      <c r="EV3" s="21">
        <f>IF(EV$1&lt;INDEX('Valo FX'!$Q:$Q,MATCH($A3,'Valo FX'!$A:$A,0)),0,IF(EV$1&lt;INDEX('Valo FX'!$R:$R,MATCH($A3,'Valo FX'!$A:$A,0)),INDEX(Base!$U:$U,MATCH($A3,Base!$A:$A,0)),IF(EV$1=INDEX('Valo FX'!$R:$R,MATCH($A3,'Valo FX'!$A:$A,0)),INDEX(Base!$V:$V,MATCH($A3,Base!$A:$A,0)),0)))</f>
        <v>11.988020000000001</v>
      </c>
      <c r="EW3" s="21">
        <f>IF(EW$1&lt;INDEX('Valo FX'!$Q:$Q,MATCH($A3,'Valo FX'!$A:$A,0)),0,IF(EW$1&lt;INDEX('Valo FX'!$R:$R,MATCH($A3,'Valo FX'!$A:$A,0)),INDEX(Base!$U:$U,MATCH($A3,Base!$A:$A,0)),IF(EW$1=INDEX('Valo FX'!$R:$R,MATCH($A3,'Valo FX'!$A:$A,0)),INDEX(Base!$V:$V,MATCH($A3,Base!$A:$A,0)),0)))</f>
        <v>11.988020000000001</v>
      </c>
      <c r="EX3" s="21">
        <f>IF(EX$1&lt;INDEX('Valo FX'!$Q:$Q,MATCH($A3,'Valo FX'!$A:$A,0)),0,IF(EX$1&lt;INDEX('Valo FX'!$R:$R,MATCH($A3,'Valo FX'!$A:$A,0)),INDEX(Base!$U:$U,MATCH($A3,Base!$A:$A,0)),IF(EX$1=INDEX('Valo FX'!$R:$R,MATCH($A3,'Valo FX'!$A:$A,0)),INDEX(Base!$V:$V,MATCH($A3,Base!$A:$A,0)),0)))</f>
        <v>11.988020000000001</v>
      </c>
      <c r="EY3" s="21">
        <f>IF(EY$1&lt;INDEX('Valo FX'!$Q:$Q,MATCH($A3,'Valo FX'!$A:$A,0)),0,IF(EY$1&lt;INDEX('Valo FX'!$R:$R,MATCH($A3,'Valo FX'!$A:$A,0)),INDEX(Base!$U:$U,MATCH($A3,Base!$A:$A,0)),IF(EY$1=INDEX('Valo FX'!$R:$R,MATCH($A3,'Valo FX'!$A:$A,0)),INDEX(Base!$V:$V,MATCH($A3,Base!$A:$A,0)),0)))</f>
        <v>11.988020000000001</v>
      </c>
      <c r="EZ3" s="21">
        <f>IF(EZ$1&lt;INDEX('Valo FX'!$Q:$Q,MATCH($A3,'Valo FX'!$A:$A,0)),0,IF(EZ$1&lt;INDEX('Valo FX'!$R:$R,MATCH($A3,'Valo FX'!$A:$A,0)),INDEX(Base!$U:$U,MATCH($A3,Base!$A:$A,0)),IF(EZ$1=INDEX('Valo FX'!$R:$R,MATCH($A3,'Valo FX'!$A:$A,0)),INDEX(Base!$V:$V,MATCH($A3,Base!$A:$A,0)),0)))</f>
        <v>11.988020000000001</v>
      </c>
      <c r="FA3" s="21">
        <f>IF(FA$1&lt;INDEX('Valo FX'!$Q:$Q,MATCH($A3,'Valo FX'!$A:$A,0)),0,IF(FA$1&lt;INDEX('Valo FX'!$R:$R,MATCH($A3,'Valo FX'!$A:$A,0)),INDEX(Base!$U:$U,MATCH($A3,Base!$A:$A,0)),IF(FA$1=INDEX('Valo FX'!$R:$R,MATCH($A3,'Valo FX'!$A:$A,0)),INDEX(Base!$V:$V,MATCH($A3,Base!$A:$A,0)),0)))</f>
        <v>11.988020000000001</v>
      </c>
      <c r="FB3" s="21">
        <f>IF(FB$1&lt;INDEX('Valo FX'!$Q:$Q,MATCH($A3,'Valo FX'!$A:$A,0)),0,IF(FB$1&lt;INDEX('Valo FX'!$R:$R,MATCH($A3,'Valo FX'!$A:$A,0)),INDEX(Base!$U:$U,MATCH($A3,Base!$A:$A,0)),IF(FB$1=INDEX('Valo FX'!$R:$R,MATCH($A3,'Valo FX'!$A:$A,0)),INDEX(Base!$V:$V,MATCH($A3,Base!$A:$A,0)),0)))</f>
        <v>11.988020000000001</v>
      </c>
      <c r="FC3" s="21">
        <f>IF(FC$1&lt;INDEX('Valo FX'!$Q:$Q,MATCH($A3,'Valo FX'!$A:$A,0)),0,IF(FC$1&lt;INDEX('Valo FX'!$R:$R,MATCH($A3,'Valo FX'!$A:$A,0)),INDEX(Base!$U:$U,MATCH($A3,Base!$A:$A,0)),IF(FC$1=INDEX('Valo FX'!$R:$R,MATCH($A3,'Valo FX'!$A:$A,0)),INDEX(Base!$V:$V,MATCH($A3,Base!$A:$A,0)),0)))</f>
        <v>11.988020000000001</v>
      </c>
      <c r="FD3" s="21">
        <f>IF(FD$1&lt;INDEX('Valo FX'!$Q:$Q,MATCH($A3,'Valo FX'!$A:$A,0)),0,IF(FD$1&lt;INDEX('Valo FX'!$R:$R,MATCH($A3,'Valo FX'!$A:$A,0)),INDEX(Base!$U:$U,MATCH($A3,Base!$A:$A,0)),IF(FD$1=INDEX('Valo FX'!$R:$R,MATCH($A3,'Valo FX'!$A:$A,0)),INDEX(Base!$V:$V,MATCH($A3,Base!$A:$A,0)),0)))</f>
        <v>11.988020000000001</v>
      </c>
      <c r="FE3" s="21">
        <f>IF(FE$1&lt;INDEX('Valo FX'!$Q:$Q,MATCH($A3,'Valo FX'!$A:$A,0)),0,IF(FE$1&lt;INDEX('Valo FX'!$R:$R,MATCH($A3,'Valo FX'!$A:$A,0)),INDEX(Base!$U:$U,MATCH($A3,Base!$A:$A,0)),IF(FE$1=INDEX('Valo FX'!$R:$R,MATCH($A3,'Valo FX'!$A:$A,0)),INDEX(Base!$V:$V,MATCH($A3,Base!$A:$A,0)),0)))</f>
        <v>11.988020000000001</v>
      </c>
      <c r="FF3" s="21">
        <f>IF(FF$1&lt;INDEX('Valo FX'!$Q:$Q,MATCH($A3,'Valo FX'!$A:$A,0)),0,IF(FF$1&lt;INDEX('Valo FX'!$R:$R,MATCH($A3,'Valo FX'!$A:$A,0)),INDEX(Base!$U:$U,MATCH($A3,Base!$A:$A,0)),IF(FF$1=INDEX('Valo FX'!$R:$R,MATCH($A3,'Valo FX'!$A:$A,0)),INDEX(Base!$V:$V,MATCH($A3,Base!$A:$A,0)),0)))</f>
        <v>11.988020000000001</v>
      </c>
      <c r="FG3" s="21">
        <f>IF(FG$1&lt;INDEX('Valo FX'!$Q:$Q,MATCH($A3,'Valo FX'!$A:$A,0)),0,IF(FG$1&lt;INDEX('Valo FX'!$R:$R,MATCH($A3,'Valo FX'!$A:$A,0)),INDEX(Base!$U:$U,MATCH($A3,Base!$A:$A,0)),IF(FG$1=INDEX('Valo FX'!$R:$R,MATCH($A3,'Valo FX'!$A:$A,0)),INDEX(Base!$V:$V,MATCH($A3,Base!$A:$A,0)),0)))</f>
        <v>11.988020000000001</v>
      </c>
      <c r="FH3" s="21">
        <f>IF(FH$1&lt;INDEX('Valo FX'!$Q:$Q,MATCH($A3,'Valo FX'!$A:$A,0)),0,IF(FH$1&lt;INDEX('Valo FX'!$R:$R,MATCH($A3,'Valo FX'!$A:$A,0)),INDEX(Base!$U:$U,MATCH($A3,Base!$A:$A,0)),IF(FH$1=INDEX('Valo FX'!$R:$R,MATCH($A3,'Valo FX'!$A:$A,0)),INDEX(Base!$V:$V,MATCH($A3,Base!$A:$A,0)),0)))</f>
        <v>11.988020000000001</v>
      </c>
      <c r="FI3" s="21">
        <f>IF(FI$1&lt;INDEX('Valo FX'!$Q:$Q,MATCH($A3,'Valo FX'!$A:$A,0)),0,IF(FI$1&lt;INDEX('Valo FX'!$R:$R,MATCH($A3,'Valo FX'!$A:$A,0)),INDEX(Base!$U:$U,MATCH($A3,Base!$A:$A,0)),IF(FI$1=INDEX('Valo FX'!$R:$R,MATCH($A3,'Valo FX'!$A:$A,0)),INDEX(Base!$V:$V,MATCH($A3,Base!$A:$A,0)),0)))</f>
        <v>11.988020000000001</v>
      </c>
      <c r="FJ3" s="21">
        <f>IF(FJ$1&lt;INDEX('Valo FX'!$Q:$Q,MATCH($A3,'Valo FX'!$A:$A,0)),0,IF(FJ$1&lt;INDEX('Valo FX'!$R:$R,MATCH($A3,'Valo FX'!$A:$A,0)),INDEX(Base!$U:$U,MATCH($A3,Base!$A:$A,0)),IF(FJ$1=INDEX('Valo FX'!$R:$R,MATCH($A3,'Valo FX'!$A:$A,0)),INDEX(Base!$V:$V,MATCH($A3,Base!$A:$A,0)),0)))</f>
        <v>11.988020000000001</v>
      </c>
      <c r="FK3" s="21">
        <f>IF(FK$1&lt;INDEX('Valo FX'!$Q:$Q,MATCH($A3,'Valo FX'!$A:$A,0)),0,IF(FK$1&lt;INDEX('Valo FX'!$R:$R,MATCH($A3,'Valo FX'!$A:$A,0)),INDEX(Base!$U:$U,MATCH($A3,Base!$A:$A,0)),IF(FK$1=INDEX('Valo FX'!$R:$R,MATCH($A3,'Valo FX'!$A:$A,0)),INDEX(Base!$V:$V,MATCH($A3,Base!$A:$A,0)),0)))</f>
        <v>11.988020000000001</v>
      </c>
      <c r="FL3" s="21">
        <f>IF(FL$1&lt;INDEX('Valo FX'!$Q:$Q,MATCH($A3,'Valo FX'!$A:$A,0)),0,IF(FL$1&lt;INDEX('Valo FX'!$R:$R,MATCH($A3,'Valo FX'!$A:$A,0)),INDEX(Base!$U:$U,MATCH($A3,Base!$A:$A,0)),IF(FL$1=INDEX('Valo FX'!$R:$R,MATCH($A3,'Valo FX'!$A:$A,0)),INDEX(Base!$V:$V,MATCH($A3,Base!$A:$A,0)),0)))</f>
        <v>11.988020000000001</v>
      </c>
      <c r="FM3" s="21">
        <f>IF(FM$1&lt;INDEX('Valo FX'!$Q:$Q,MATCH($A3,'Valo FX'!$A:$A,0)),0,IF(FM$1&lt;INDEX('Valo FX'!$R:$R,MATCH($A3,'Valo FX'!$A:$A,0)),INDEX(Base!$U:$U,MATCH($A3,Base!$A:$A,0)),IF(FM$1=INDEX('Valo FX'!$R:$R,MATCH($A3,'Valo FX'!$A:$A,0)),INDEX(Base!$V:$V,MATCH($A3,Base!$A:$A,0)),0)))</f>
        <v>11.988020000000001</v>
      </c>
      <c r="FN3" s="21">
        <f>IF(FN$1&lt;INDEX('Valo FX'!$Q:$Q,MATCH($A3,'Valo FX'!$A:$A,0)),0,IF(FN$1&lt;INDEX('Valo FX'!$R:$R,MATCH($A3,'Valo FX'!$A:$A,0)),INDEX(Base!$U:$U,MATCH($A3,Base!$A:$A,0)),IF(FN$1=INDEX('Valo FX'!$R:$R,MATCH($A3,'Valo FX'!$A:$A,0)),INDEX(Base!$V:$V,MATCH($A3,Base!$A:$A,0)),0)))</f>
        <v>11.988020000000001</v>
      </c>
      <c r="FO3" s="21">
        <f>IF(FO$1&lt;INDEX('Valo FX'!$Q:$Q,MATCH($A3,'Valo FX'!$A:$A,0)),0,IF(FO$1&lt;INDEX('Valo FX'!$R:$R,MATCH($A3,'Valo FX'!$A:$A,0)),INDEX(Base!$U:$U,MATCH($A3,Base!$A:$A,0)),IF(FO$1=INDEX('Valo FX'!$R:$R,MATCH($A3,'Valo FX'!$A:$A,0)),INDEX(Base!$V:$V,MATCH($A3,Base!$A:$A,0)),0)))</f>
        <v>11.988020000000001</v>
      </c>
      <c r="FP3" s="21">
        <f>IF(FP$1&lt;INDEX('Valo FX'!$Q:$Q,MATCH($A3,'Valo FX'!$A:$A,0)),0,IF(FP$1&lt;INDEX('Valo FX'!$R:$R,MATCH($A3,'Valo FX'!$A:$A,0)),INDEX(Base!$U:$U,MATCH($A3,Base!$A:$A,0)),IF(FP$1=INDEX('Valo FX'!$R:$R,MATCH($A3,'Valo FX'!$A:$A,0)),INDEX(Base!$V:$V,MATCH($A3,Base!$A:$A,0)),0)))</f>
        <v>11.988020000000001</v>
      </c>
      <c r="FQ3" s="21">
        <f>IF(FQ$1&lt;INDEX('Valo FX'!$Q:$Q,MATCH($A3,'Valo FX'!$A:$A,0)),0,IF(FQ$1&lt;INDEX('Valo FX'!$R:$R,MATCH($A3,'Valo FX'!$A:$A,0)),INDEX(Base!$U:$U,MATCH($A3,Base!$A:$A,0)),IF(FQ$1=INDEX('Valo FX'!$R:$R,MATCH($A3,'Valo FX'!$A:$A,0)),INDEX(Base!$V:$V,MATCH($A3,Base!$A:$A,0)),0)))</f>
        <v>11.988020000000001</v>
      </c>
      <c r="FR3" s="21">
        <f>IF(FR$1&lt;INDEX('Valo FX'!$Q:$Q,MATCH($A3,'Valo FX'!$A:$A,0)),0,IF(FR$1&lt;INDEX('Valo FX'!$R:$R,MATCH($A3,'Valo FX'!$A:$A,0)),INDEX(Base!$U:$U,MATCH($A3,Base!$A:$A,0)),IF(FR$1=INDEX('Valo FX'!$R:$R,MATCH($A3,'Valo FX'!$A:$A,0)),INDEX(Base!$V:$V,MATCH($A3,Base!$A:$A,0)),0)))</f>
        <v>11.988020000000001</v>
      </c>
      <c r="FS3" s="21">
        <f>IF(FS$1&lt;INDEX('Valo FX'!$Q:$Q,MATCH($A3,'Valo FX'!$A:$A,0)),0,IF(FS$1&lt;INDEX('Valo FX'!$R:$R,MATCH($A3,'Valo FX'!$A:$A,0)),INDEX(Base!$U:$U,MATCH($A3,Base!$A:$A,0)),IF(FS$1=INDEX('Valo FX'!$R:$R,MATCH($A3,'Valo FX'!$A:$A,0)),INDEX(Base!$V:$V,MATCH($A3,Base!$A:$A,0)),0)))</f>
        <v>11.988020000000001</v>
      </c>
      <c r="FT3" s="21">
        <f>IF(FT$1&lt;INDEX('Valo FX'!$Q:$Q,MATCH($A3,'Valo FX'!$A:$A,0)),0,IF(FT$1&lt;INDEX('Valo FX'!$R:$R,MATCH($A3,'Valo FX'!$A:$A,0)),INDEX(Base!$U:$U,MATCH($A3,Base!$A:$A,0)),IF(FT$1=INDEX('Valo FX'!$R:$R,MATCH($A3,'Valo FX'!$A:$A,0)),INDEX(Base!$V:$V,MATCH($A3,Base!$A:$A,0)),0)))</f>
        <v>11.988020000000001</v>
      </c>
      <c r="FU3" s="21">
        <f>IF(FU$1&lt;INDEX('Valo FX'!$Q:$Q,MATCH($A3,'Valo FX'!$A:$A,0)),0,IF(FU$1&lt;INDEX('Valo FX'!$R:$R,MATCH($A3,'Valo FX'!$A:$A,0)),INDEX(Base!$U:$U,MATCH($A3,Base!$A:$A,0)),IF(FU$1=INDEX('Valo FX'!$R:$R,MATCH($A3,'Valo FX'!$A:$A,0)),INDEX(Base!$V:$V,MATCH($A3,Base!$A:$A,0)),0)))</f>
        <v>11.988020000000001</v>
      </c>
      <c r="FV3" s="21">
        <f>IF(FV$1&lt;INDEX('Valo FX'!$Q:$Q,MATCH($A3,'Valo FX'!$A:$A,0)),0,IF(FV$1&lt;INDEX('Valo FX'!$R:$R,MATCH($A3,'Valo FX'!$A:$A,0)),INDEX(Base!$U:$U,MATCH($A3,Base!$A:$A,0)),IF(FV$1=INDEX('Valo FX'!$R:$R,MATCH($A3,'Valo FX'!$A:$A,0)),INDEX(Base!$V:$V,MATCH($A3,Base!$A:$A,0)),0)))</f>
        <v>11.988020000000001</v>
      </c>
      <c r="FW3" s="21">
        <f>IF(FW$1&lt;INDEX('Valo FX'!$Q:$Q,MATCH($A3,'Valo FX'!$A:$A,0)),0,IF(FW$1&lt;INDEX('Valo FX'!$R:$R,MATCH($A3,'Valo FX'!$A:$A,0)),INDEX(Base!$U:$U,MATCH($A3,Base!$A:$A,0)),IF(FW$1=INDEX('Valo FX'!$R:$R,MATCH($A3,'Valo FX'!$A:$A,0)),INDEX(Base!$V:$V,MATCH($A3,Base!$A:$A,0)),0)))</f>
        <v>11.988020000000001</v>
      </c>
      <c r="FX3" s="21">
        <f>IF(FX$1&lt;INDEX('Valo FX'!$Q:$Q,MATCH($A3,'Valo FX'!$A:$A,0)),0,IF(FX$1&lt;INDEX('Valo FX'!$R:$R,MATCH($A3,'Valo FX'!$A:$A,0)),INDEX(Base!$U:$U,MATCH($A3,Base!$A:$A,0)),IF(FX$1=INDEX('Valo FX'!$R:$R,MATCH($A3,'Valo FX'!$A:$A,0)),INDEX(Base!$V:$V,MATCH($A3,Base!$A:$A,0)),0)))</f>
        <v>11.988020000000001</v>
      </c>
      <c r="FY3" s="21">
        <f>IF(FY$1&lt;INDEX('Valo FX'!$Q:$Q,MATCH($A3,'Valo FX'!$A:$A,0)),0,IF(FY$1&lt;INDEX('Valo FX'!$R:$R,MATCH($A3,'Valo FX'!$A:$A,0)),INDEX(Base!$U:$U,MATCH($A3,Base!$A:$A,0)),IF(FY$1=INDEX('Valo FX'!$R:$R,MATCH($A3,'Valo FX'!$A:$A,0)),INDEX(Base!$V:$V,MATCH($A3,Base!$A:$A,0)),0)))</f>
        <v>11.988020000000001</v>
      </c>
      <c r="FZ3" s="21">
        <f>IF(FZ$1&lt;INDEX('Valo FX'!$Q:$Q,MATCH($A3,'Valo FX'!$A:$A,0)),0,IF(FZ$1&lt;INDEX('Valo FX'!$R:$R,MATCH($A3,'Valo FX'!$A:$A,0)),INDEX(Base!$U:$U,MATCH($A3,Base!$A:$A,0)),IF(FZ$1=INDEX('Valo FX'!$R:$R,MATCH($A3,'Valo FX'!$A:$A,0)),INDEX(Base!$V:$V,MATCH($A3,Base!$A:$A,0)),0)))</f>
        <v>11.988020000000001</v>
      </c>
      <c r="GA3" s="21">
        <f>IF(GA$1&lt;INDEX('Valo FX'!$Q:$Q,MATCH($A3,'Valo FX'!$A:$A,0)),0,IF(GA$1&lt;INDEX('Valo FX'!$R:$R,MATCH($A3,'Valo FX'!$A:$A,0)),INDEX(Base!$U:$U,MATCH($A3,Base!$A:$A,0)),IF(GA$1=INDEX('Valo FX'!$R:$R,MATCH($A3,'Valo FX'!$A:$A,0)),INDEX(Base!$V:$V,MATCH($A3,Base!$A:$A,0)),0)))</f>
        <v>11.988020000000001</v>
      </c>
      <c r="GB3" s="21">
        <f>IF(GB$1&lt;INDEX('Valo FX'!$Q:$Q,MATCH($A3,'Valo FX'!$A:$A,0)),0,IF(GB$1&lt;INDEX('Valo FX'!$R:$R,MATCH($A3,'Valo FX'!$A:$A,0)),INDEX(Base!$U:$U,MATCH($A3,Base!$A:$A,0)),IF(GB$1=INDEX('Valo FX'!$R:$R,MATCH($A3,'Valo FX'!$A:$A,0)),INDEX(Base!$V:$V,MATCH($A3,Base!$A:$A,0)),0)))</f>
        <v>11.988020000000001</v>
      </c>
      <c r="GC3" s="21">
        <f>IF(GC$1&lt;INDEX('Valo FX'!$Q:$Q,MATCH($A3,'Valo FX'!$A:$A,0)),0,IF(GC$1&lt;INDEX('Valo FX'!$R:$R,MATCH($A3,'Valo FX'!$A:$A,0)),INDEX(Base!$U:$U,MATCH($A3,Base!$A:$A,0)),IF(GC$1=INDEX('Valo FX'!$R:$R,MATCH($A3,'Valo FX'!$A:$A,0)),INDEX(Base!$V:$V,MATCH($A3,Base!$A:$A,0)),0)))</f>
        <v>11.988020000000001</v>
      </c>
      <c r="GD3" s="21">
        <f>IF(GD$1&lt;INDEX('Valo FX'!$Q:$Q,MATCH($A3,'Valo FX'!$A:$A,0)),0,IF(GD$1&lt;INDEX('Valo FX'!$R:$R,MATCH($A3,'Valo FX'!$A:$A,0)),INDEX(Base!$U:$U,MATCH($A3,Base!$A:$A,0)),IF(GD$1=INDEX('Valo FX'!$R:$R,MATCH($A3,'Valo FX'!$A:$A,0)),INDEX(Base!$V:$V,MATCH($A3,Base!$A:$A,0)),0)))</f>
        <v>11.988020000000001</v>
      </c>
      <c r="GE3" s="21">
        <f>IF(GE$1&lt;INDEX('Valo FX'!$Q:$Q,MATCH($A3,'Valo FX'!$A:$A,0)),0,IF(GE$1&lt;INDEX('Valo FX'!$R:$R,MATCH($A3,'Valo FX'!$A:$A,0)),INDEX(Base!$U:$U,MATCH($A3,Base!$A:$A,0)),IF(GE$1=INDEX('Valo FX'!$R:$R,MATCH($A3,'Valo FX'!$A:$A,0)),INDEX(Base!$V:$V,MATCH($A3,Base!$A:$A,0)),0)))</f>
        <v>11.988020000000001</v>
      </c>
      <c r="GF3" s="21">
        <f>IF(GF$1&lt;INDEX('Valo FX'!$Q:$Q,MATCH($A3,'Valo FX'!$A:$A,0)),0,IF(GF$1&lt;INDEX('Valo FX'!$R:$R,MATCH($A3,'Valo FX'!$A:$A,0)),INDEX(Base!$U:$U,MATCH($A3,Base!$A:$A,0)),IF(GF$1=INDEX('Valo FX'!$R:$R,MATCH($A3,'Valo FX'!$A:$A,0)),INDEX(Base!$V:$V,MATCH($A3,Base!$A:$A,0)),0)))</f>
        <v>11.988020000000001</v>
      </c>
      <c r="GG3" s="21">
        <f>IF(GG$1&lt;INDEX('Valo FX'!$Q:$Q,MATCH($A3,'Valo FX'!$A:$A,0)),0,IF(GG$1&lt;INDEX('Valo FX'!$R:$R,MATCH($A3,'Valo FX'!$A:$A,0)),INDEX(Base!$U:$U,MATCH($A3,Base!$A:$A,0)),IF(GG$1=INDEX('Valo FX'!$R:$R,MATCH($A3,'Valo FX'!$A:$A,0)),INDEX(Base!$V:$V,MATCH($A3,Base!$A:$A,0)),0)))</f>
        <v>11.988020000000001</v>
      </c>
      <c r="GH3" s="21">
        <f>IF(GH$1&lt;INDEX('Valo FX'!$Q:$Q,MATCH($A3,'Valo FX'!$A:$A,0)),0,IF(GH$1&lt;INDEX('Valo FX'!$R:$R,MATCH($A3,'Valo FX'!$A:$A,0)),INDEX(Base!$U:$U,MATCH($A3,Base!$A:$A,0)),IF(GH$1=INDEX('Valo FX'!$R:$R,MATCH($A3,'Valo FX'!$A:$A,0)),INDEX(Base!$V:$V,MATCH($A3,Base!$A:$A,0)),0)))</f>
        <v>11.988020000000001</v>
      </c>
      <c r="GI3" s="21">
        <f>IF(GI$1&lt;INDEX('Valo FX'!$Q:$Q,MATCH($A3,'Valo FX'!$A:$A,0)),0,IF(GI$1&lt;INDEX('Valo FX'!$R:$R,MATCH($A3,'Valo FX'!$A:$A,0)),INDEX(Base!$U:$U,MATCH($A3,Base!$A:$A,0)),IF(GI$1=INDEX('Valo FX'!$R:$R,MATCH($A3,'Valo FX'!$A:$A,0)),INDEX(Base!$V:$V,MATCH($A3,Base!$A:$A,0)),0)))</f>
        <v>11.988020000000001</v>
      </c>
      <c r="GJ3" s="21">
        <f>IF(GJ$1&lt;INDEX('Valo FX'!$Q:$Q,MATCH($A3,'Valo FX'!$A:$A,0)),0,IF(GJ$1&lt;INDEX('Valo FX'!$R:$R,MATCH($A3,'Valo FX'!$A:$A,0)),INDEX(Base!$U:$U,MATCH($A3,Base!$A:$A,0)),IF(GJ$1=INDEX('Valo FX'!$R:$R,MATCH($A3,'Valo FX'!$A:$A,0)),INDEX(Base!$V:$V,MATCH($A3,Base!$A:$A,0)),0)))</f>
        <v>11.988020000000001</v>
      </c>
      <c r="GK3" s="21">
        <f>IF(GK$1&lt;INDEX('Valo FX'!$Q:$Q,MATCH($A3,'Valo FX'!$A:$A,0)),0,IF(GK$1&lt;INDEX('Valo FX'!$R:$R,MATCH($A3,'Valo FX'!$A:$A,0)),INDEX(Base!$U:$U,MATCH($A3,Base!$A:$A,0)),IF(GK$1=INDEX('Valo FX'!$R:$R,MATCH($A3,'Valo FX'!$A:$A,0)),INDEX(Base!$V:$V,MATCH($A3,Base!$A:$A,0)),0)))</f>
        <v>11.988020000000001</v>
      </c>
      <c r="GL3" s="21">
        <f>IF(GL$1&lt;INDEX('Valo FX'!$Q:$Q,MATCH($A3,'Valo FX'!$A:$A,0)),0,IF(GL$1&lt;INDEX('Valo FX'!$R:$R,MATCH($A3,'Valo FX'!$A:$A,0)),INDEX(Base!$U:$U,MATCH($A3,Base!$A:$A,0)),IF(GL$1=INDEX('Valo FX'!$R:$R,MATCH($A3,'Valo FX'!$A:$A,0)),INDEX(Base!$V:$V,MATCH($A3,Base!$A:$A,0)),0)))</f>
        <v>11.988020000000001</v>
      </c>
      <c r="GM3" s="21">
        <f>IF(GM$1&lt;INDEX('Valo FX'!$Q:$Q,MATCH($A3,'Valo FX'!$A:$A,0)),0,IF(GM$1&lt;INDEX('Valo FX'!$R:$R,MATCH($A3,'Valo FX'!$A:$A,0)),INDEX(Base!$U:$U,MATCH($A3,Base!$A:$A,0)),IF(GM$1=INDEX('Valo FX'!$R:$R,MATCH($A3,'Valo FX'!$A:$A,0)),INDEX(Base!$V:$V,MATCH($A3,Base!$A:$A,0)),0)))</f>
        <v>11.988020000000001</v>
      </c>
      <c r="GN3" s="21">
        <f>IF(GN$1&lt;INDEX('Valo FX'!$Q:$Q,MATCH($A3,'Valo FX'!$A:$A,0)),0,IF(GN$1&lt;INDEX('Valo FX'!$R:$R,MATCH($A3,'Valo FX'!$A:$A,0)),INDEX(Base!$U:$U,MATCH($A3,Base!$A:$A,0)),IF(GN$1=INDEX('Valo FX'!$R:$R,MATCH($A3,'Valo FX'!$A:$A,0)),INDEX(Base!$V:$V,MATCH($A3,Base!$A:$A,0)),0)))</f>
        <v>11.988020000000001</v>
      </c>
      <c r="GO3" s="21">
        <f>IF(GO$1&lt;INDEX('Valo FX'!$Q:$Q,MATCH($A3,'Valo FX'!$A:$A,0)),0,IF(GO$1&lt;INDEX('Valo FX'!$R:$R,MATCH($A3,'Valo FX'!$A:$A,0)),INDEX(Base!$U:$U,MATCH($A3,Base!$A:$A,0)),IF(GO$1=INDEX('Valo FX'!$R:$R,MATCH($A3,'Valo FX'!$A:$A,0)),INDEX(Base!$V:$V,MATCH($A3,Base!$A:$A,0)),0)))</f>
        <v>11.988020000000001</v>
      </c>
      <c r="GP3" s="21">
        <f>IF(GP$1&lt;INDEX('Valo FX'!$Q:$Q,MATCH($A3,'Valo FX'!$A:$A,0)),0,IF(GP$1&lt;INDEX('Valo FX'!$R:$R,MATCH($A3,'Valo FX'!$A:$A,0)),INDEX(Base!$U:$U,MATCH($A3,Base!$A:$A,0)),IF(GP$1=INDEX('Valo FX'!$R:$R,MATCH($A3,'Valo FX'!$A:$A,0)),INDEX(Base!$V:$V,MATCH($A3,Base!$A:$A,0)),0)))</f>
        <v>11.988020000000001</v>
      </c>
      <c r="GQ3" s="21">
        <f>IF(GQ$1&lt;INDEX('Valo FX'!$Q:$Q,MATCH($A3,'Valo FX'!$A:$A,0)),0,IF(GQ$1&lt;INDEX('Valo FX'!$R:$R,MATCH($A3,'Valo FX'!$A:$A,0)),INDEX(Base!$U:$U,MATCH($A3,Base!$A:$A,0)),IF(GQ$1=INDEX('Valo FX'!$R:$R,MATCH($A3,'Valo FX'!$A:$A,0)),INDEX(Base!$V:$V,MATCH($A3,Base!$A:$A,0)),0)))</f>
        <v>11.988020000000001</v>
      </c>
      <c r="GR3" s="21">
        <f>IF(GR$1&lt;INDEX('Valo FX'!$Q:$Q,MATCH($A3,'Valo FX'!$A:$A,0)),0,IF(GR$1&lt;INDEX('Valo FX'!$R:$R,MATCH($A3,'Valo FX'!$A:$A,0)),INDEX(Base!$U:$U,MATCH($A3,Base!$A:$A,0)),IF(GR$1=INDEX('Valo FX'!$R:$R,MATCH($A3,'Valo FX'!$A:$A,0)),INDEX(Base!$V:$V,MATCH($A3,Base!$A:$A,0)),0)))</f>
        <v>11.988020000000001</v>
      </c>
      <c r="GS3" s="21">
        <f>IF(GS$1&lt;INDEX('Valo FX'!$Q:$Q,MATCH($A3,'Valo FX'!$A:$A,0)),0,IF(GS$1&lt;INDEX('Valo FX'!$R:$R,MATCH($A3,'Valo FX'!$A:$A,0)),INDEX(Base!$U:$U,MATCH($A3,Base!$A:$A,0)),IF(GS$1=INDEX('Valo FX'!$R:$R,MATCH($A3,'Valo FX'!$A:$A,0)),INDEX(Base!$V:$V,MATCH($A3,Base!$A:$A,0)),0)))</f>
        <v>11.988020000000001</v>
      </c>
      <c r="GT3" s="21">
        <f>IF(GT$1&lt;INDEX('Valo FX'!$Q:$Q,MATCH($A3,'Valo FX'!$A:$A,0)),0,IF(GT$1&lt;INDEX('Valo FX'!$R:$R,MATCH($A3,'Valo FX'!$A:$A,0)),INDEX(Base!$U:$U,MATCH($A3,Base!$A:$A,0)),IF(GT$1=INDEX('Valo FX'!$R:$R,MATCH($A3,'Valo FX'!$A:$A,0)),INDEX(Base!$V:$V,MATCH($A3,Base!$A:$A,0)),0)))</f>
        <v>11.988020000000001</v>
      </c>
      <c r="GU3" s="21">
        <f>IF(GU$1&lt;INDEX('Valo FX'!$Q:$Q,MATCH($A3,'Valo FX'!$A:$A,0)),0,IF(GU$1&lt;INDEX('Valo FX'!$R:$R,MATCH($A3,'Valo FX'!$A:$A,0)),INDEX(Base!$U:$U,MATCH($A3,Base!$A:$A,0)),IF(GU$1=INDEX('Valo FX'!$R:$R,MATCH($A3,'Valo FX'!$A:$A,0)),INDEX(Base!$V:$V,MATCH($A3,Base!$A:$A,0)),0)))</f>
        <v>11.988020000000001</v>
      </c>
      <c r="GV3" s="21">
        <f>IF(GV$1&lt;INDEX('Valo FX'!$Q:$Q,MATCH($A3,'Valo FX'!$A:$A,0)),0,IF(GV$1&lt;INDEX('Valo FX'!$R:$R,MATCH($A3,'Valo FX'!$A:$A,0)),INDEX(Base!$U:$U,MATCH($A3,Base!$A:$A,0)),IF(GV$1=INDEX('Valo FX'!$R:$R,MATCH($A3,'Valo FX'!$A:$A,0)),INDEX(Base!$V:$V,MATCH($A3,Base!$A:$A,0)),0)))</f>
        <v>11.988020000000001</v>
      </c>
      <c r="GW3" s="21">
        <f>IF(GW$1&lt;INDEX('Valo FX'!$Q:$Q,MATCH($A3,'Valo FX'!$A:$A,0)),0,IF(GW$1&lt;INDEX('Valo FX'!$R:$R,MATCH($A3,'Valo FX'!$A:$A,0)),INDEX(Base!$U:$U,MATCH($A3,Base!$A:$A,0)),IF(GW$1=INDEX('Valo FX'!$R:$R,MATCH($A3,'Valo FX'!$A:$A,0)),INDEX(Base!$V:$V,MATCH($A3,Base!$A:$A,0)),0)))</f>
        <v>11.988020000000001</v>
      </c>
      <c r="GX3" s="21">
        <f>IF(GX$1&lt;INDEX('Valo FX'!$Q:$Q,MATCH($A3,'Valo FX'!$A:$A,0)),0,IF(GX$1&lt;INDEX('Valo FX'!$R:$R,MATCH($A3,'Valo FX'!$A:$A,0)),INDEX(Base!$U:$U,MATCH($A3,Base!$A:$A,0)),IF(GX$1=INDEX('Valo FX'!$R:$R,MATCH($A3,'Valo FX'!$A:$A,0)),INDEX(Base!$V:$V,MATCH($A3,Base!$A:$A,0)),0)))</f>
        <v>11.988020000000001</v>
      </c>
      <c r="GY3" s="21">
        <f>IF(GY$1&lt;INDEX('Valo FX'!$Q:$Q,MATCH($A3,'Valo FX'!$A:$A,0)),0,IF(GY$1&lt;INDEX('Valo FX'!$R:$R,MATCH($A3,'Valo FX'!$A:$A,0)),INDEX(Base!$U:$U,MATCH($A3,Base!$A:$A,0)),IF(GY$1=INDEX('Valo FX'!$R:$R,MATCH($A3,'Valo FX'!$A:$A,0)),INDEX(Base!$V:$V,MATCH($A3,Base!$A:$A,0)),0)))</f>
        <v>11.988020000000001</v>
      </c>
      <c r="GZ3" s="21">
        <f>IF(GZ$1&lt;INDEX('Valo FX'!$Q:$Q,MATCH($A3,'Valo FX'!$A:$A,0)),0,IF(GZ$1&lt;INDEX('Valo FX'!$R:$R,MATCH($A3,'Valo FX'!$A:$A,0)),INDEX(Base!$U:$U,MATCH($A3,Base!$A:$A,0)),IF(GZ$1=INDEX('Valo FX'!$R:$R,MATCH($A3,'Valo FX'!$A:$A,0)),INDEX(Base!$V:$V,MATCH($A3,Base!$A:$A,0)),0)))</f>
        <v>11.988020000000001</v>
      </c>
      <c r="HA3" s="21">
        <f>IF(HA$1&lt;INDEX('Valo FX'!$Q:$Q,MATCH($A3,'Valo FX'!$A:$A,0)),0,IF(HA$1&lt;INDEX('Valo FX'!$R:$R,MATCH($A3,'Valo FX'!$A:$A,0)),INDEX(Base!$U:$U,MATCH($A3,Base!$A:$A,0)),IF(HA$1=INDEX('Valo FX'!$R:$R,MATCH($A3,'Valo FX'!$A:$A,0)),INDEX(Base!$V:$V,MATCH($A3,Base!$A:$A,0)),0)))</f>
        <v>11.988020000000001</v>
      </c>
      <c r="HB3" s="21">
        <f>IF(HB$1&lt;INDEX('Valo FX'!$Q:$Q,MATCH($A3,'Valo FX'!$A:$A,0)),0,IF(HB$1&lt;INDEX('Valo FX'!$R:$R,MATCH($A3,'Valo FX'!$A:$A,0)),INDEX(Base!$U:$U,MATCH($A3,Base!$A:$A,0)),IF(HB$1=INDEX('Valo FX'!$R:$R,MATCH($A3,'Valo FX'!$A:$A,0)),INDEX(Base!$V:$V,MATCH($A3,Base!$A:$A,0)),0)))</f>
        <v>11.988020000000001</v>
      </c>
      <c r="HC3" s="21">
        <f>IF(HC$1&lt;INDEX('Valo FX'!$Q:$Q,MATCH($A3,'Valo FX'!$A:$A,0)),0,IF(HC$1&lt;INDEX('Valo FX'!$R:$R,MATCH($A3,'Valo FX'!$A:$A,0)),INDEX(Base!$U:$U,MATCH($A3,Base!$A:$A,0)),IF(HC$1=INDEX('Valo FX'!$R:$R,MATCH($A3,'Valo FX'!$A:$A,0)),INDEX(Base!$V:$V,MATCH($A3,Base!$A:$A,0)),0)))</f>
        <v>11.988020000000001</v>
      </c>
      <c r="HD3" s="21">
        <f>IF(HD$1&lt;INDEX('Valo FX'!$Q:$Q,MATCH($A3,'Valo FX'!$A:$A,0)),0,IF(HD$1&lt;INDEX('Valo FX'!$R:$R,MATCH($A3,'Valo FX'!$A:$A,0)),INDEX(Base!$U:$U,MATCH($A3,Base!$A:$A,0)),IF(HD$1=INDEX('Valo FX'!$R:$R,MATCH($A3,'Valo FX'!$A:$A,0)),INDEX(Base!$V:$V,MATCH($A3,Base!$A:$A,0)),0)))</f>
        <v>11.988020000000001</v>
      </c>
      <c r="HE3" s="21">
        <f>IF(HE$1&lt;INDEX('Valo FX'!$Q:$Q,MATCH($A3,'Valo FX'!$A:$A,0)),0,IF(HE$1&lt;INDEX('Valo FX'!$R:$R,MATCH($A3,'Valo FX'!$A:$A,0)),INDEX(Base!$U:$U,MATCH($A3,Base!$A:$A,0)),IF(HE$1=INDEX('Valo FX'!$R:$R,MATCH($A3,'Valo FX'!$A:$A,0)),INDEX(Base!$V:$V,MATCH($A3,Base!$A:$A,0)),0)))</f>
        <v>11.988020000000001</v>
      </c>
      <c r="HF3" s="21">
        <f>IF(HF$1&lt;INDEX('Valo FX'!$Q:$Q,MATCH($A3,'Valo FX'!$A:$A,0)),0,IF(HF$1&lt;INDEX('Valo FX'!$R:$R,MATCH($A3,'Valo FX'!$A:$A,0)),INDEX(Base!$U:$U,MATCH($A3,Base!$A:$A,0)),IF(HF$1=INDEX('Valo FX'!$R:$R,MATCH($A3,'Valo FX'!$A:$A,0)),INDEX(Base!$V:$V,MATCH($A3,Base!$A:$A,0)),0)))</f>
        <v>11.988020000000001</v>
      </c>
      <c r="HG3" s="21">
        <f>IF(HG$1&lt;INDEX('Valo FX'!$Q:$Q,MATCH($A3,'Valo FX'!$A:$A,0)),0,IF(HG$1&lt;INDEX('Valo FX'!$R:$R,MATCH($A3,'Valo FX'!$A:$A,0)),INDEX(Base!$U:$U,MATCH($A3,Base!$A:$A,0)),IF(HG$1=INDEX('Valo FX'!$R:$R,MATCH($A3,'Valo FX'!$A:$A,0)),INDEX(Base!$V:$V,MATCH($A3,Base!$A:$A,0)),0)))</f>
        <v>11.988020000000001</v>
      </c>
      <c r="HH3" s="21">
        <f>IF(HH$1&lt;INDEX('Valo FX'!$Q:$Q,MATCH($A3,'Valo FX'!$A:$A,0)),0,IF(HH$1&lt;INDEX('Valo FX'!$R:$R,MATCH($A3,'Valo FX'!$A:$A,0)),INDEX(Base!$U:$U,MATCH($A3,Base!$A:$A,0)),IF(HH$1=INDEX('Valo FX'!$R:$R,MATCH($A3,'Valo FX'!$A:$A,0)),INDEX(Base!$V:$V,MATCH($A3,Base!$A:$A,0)),0)))</f>
        <v>11.988020000000001</v>
      </c>
      <c r="HI3" s="21">
        <f>IF(HI$1&lt;INDEX('Valo FX'!$Q:$Q,MATCH($A3,'Valo FX'!$A:$A,0)),0,IF(HI$1&lt;INDEX('Valo FX'!$R:$R,MATCH($A3,'Valo FX'!$A:$A,0)),INDEX(Base!$U:$U,MATCH($A3,Base!$A:$A,0)),IF(HI$1=INDEX('Valo FX'!$R:$R,MATCH($A3,'Valo FX'!$A:$A,0)),INDEX(Base!$V:$V,MATCH($A3,Base!$A:$A,0)),0)))</f>
        <v>11.988020000000001</v>
      </c>
      <c r="HJ3" s="21">
        <f>IF(HJ$1&lt;INDEX('Valo FX'!$Q:$Q,MATCH($A3,'Valo FX'!$A:$A,0)),0,IF(HJ$1&lt;INDEX('Valo FX'!$R:$R,MATCH($A3,'Valo FX'!$A:$A,0)),INDEX(Base!$U:$U,MATCH($A3,Base!$A:$A,0)),IF(HJ$1=INDEX('Valo FX'!$R:$R,MATCH($A3,'Valo FX'!$A:$A,0)),INDEX(Base!$V:$V,MATCH($A3,Base!$A:$A,0)),0)))</f>
        <v>11.988020000000001</v>
      </c>
      <c r="HK3" s="21">
        <f>IF(HK$1&lt;INDEX('Valo FX'!$Q:$Q,MATCH($A3,'Valo FX'!$A:$A,0)),0,IF(HK$1&lt;INDEX('Valo FX'!$R:$R,MATCH($A3,'Valo FX'!$A:$A,0)),INDEX(Base!$U:$U,MATCH($A3,Base!$A:$A,0)),IF(HK$1=INDEX('Valo FX'!$R:$R,MATCH($A3,'Valo FX'!$A:$A,0)),INDEX(Base!$V:$V,MATCH($A3,Base!$A:$A,0)),0)))</f>
        <v>11.988020000000001</v>
      </c>
      <c r="HL3" s="21">
        <f>IF(HL$1&lt;INDEX('Valo FX'!$Q:$Q,MATCH($A3,'Valo FX'!$A:$A,0)),0,IF(HL$1&lt;INDEX('Valo FX'!$R:$R,MATCH($A3,'Valo FX'!$A:$A,0)),INDEX(Base!$U:$U,MATCH($A3,Base!$A:$A,0)),IF(HL$1=INDEX('Valo FX'!$R:$R,MATCH($A3,'Valo FX'!$A:$A,0)),INDEX(Base!$V:$V,MATCH($A3,Base!$A:$A,0)),0)))</f>
        <v>11.988020000000001</v>
      </c>
      <c r="HM3" s="21">
        <f>IF(HM$1&lt;INDEX('Valo FX'!$Q:$Q,MATCH($A3,'Valo FX'!$A:$A,0)),0,IF(HM$1&lt;INDEX('Valo FX'!$R:$R,MATCH($A3,'Valo FX'!$A:$A,0)),INDEX(Base!$U:$U,MATCH($A3,Base!$A:$A,0)),IF(HM$1=INDEX('Valo FX'!$R:$R,MATCH($A3,'Valo FX'!$A:$A,0)),INDEX(Base!$V:$V,MATCH($A3,Base!$A:$A,0)),0)))</f>
        <v>11.988020000000001</v>
      </c>
      <c r="HN3" s="21">
        <f>IF(HN$1&lt;INDEX('Valo FX'!$Q:$Q,MATCH($A3,'Valo FX'!$A:$A,0)),0,IF(HN$1&lt;INDEX('Valo FX'!$R:$R,MATCH($A3,'Valo FX'!$A:$A,0)),INDEX(Base!$U:$U,MATCH($A3,Base!$A:$A,0)),IF(HN$1=INDEX('Valo FX'!$R:$R,MATCH($A3,'Valo FX'!$A:$A,0)),INDEX(Base!$V:$V,MATCH($A3,Base!$A:$A,0)),0)))</f>
        <v>11.988020000000001</v>
      </c>
      <c r="HO3" s="21">
        <f>IF(HO$1&lt;INDEX('Valo FX'!$Q:$Q,MATCH($A3,'Valo FX'!$A:$A,0)),0,IF(HO$1&lt;INDEX('Valo FX'!$R:$R,MATCH($A3,'Valo FX'!$A:$A,0)),INDEX(Base!$U:$U,MATCH($A3,Base!$A:$A,0)),IF(HO$1=INDEX('Valo FX'!$R:$R,MATCH($A3,'Valo FX'!$A:$A,0)),INDEX(Base!$V:$V,MATCH($A3,Base!$A:$A,0)),0)))</f>
        <v>11.988020000000001</v>
      </c>
      <c r="HP3" s="21">
        <f>IF(HP$1&lt;INDEX('Valo FX'!$Q:$Q,MATCH($A3,'Valo FX'!$A:$A,0)),0,IF(HP$1&lt;INDEX('Valo FX'!$R:$R,MATCH($A3,'Valo FX'!$A:$A,0)),INDEX(Base!$U:$U,MATCH($A3,Base!$A:$A,0)),IF(HP$1=INDEX('Valo FX'!$R:$R,MATCH($A3,'Valo FX'!$A:$A,0)),INDEX(Base!$V:$V,MATCH($A3,Base!$A:$A,0)),0)))</f>
        <v>11.988020000000001</v>
      </c>
      <c r="HQ3" s="21">
        <f>IF(HQ$1&lt;INDEX('Valo FX'!$Q:$Q,MATCH($A3,'Valo FX'!$A:$A,0)),0,IF(HQ$1&lt;INDEX('Valo FX'!$R:$R,MATCH($A3,'Valo FX'!$A:$A,0)),INDEX(Base!$U:$U,MATCH($A3,Base!$A:$A,0)),IF(HQ$1=INDEX('Valo FX'!$R:$R,MATCH($A3,'Valo FX'!$A:$A,0)),INDEX(Base!$V:$V,MATCH($A3,Base!$A:$A,0)),0)))</f>
        <v>11.988020000000001</v>
      </c>
      <c r="HR3" s="21">
        <f>IF(HR$1&lt;INDEX('Valo FX'!$Q:$Q,MATCH($A3,'Valo FX'!$A:$A,0)),0,IF(HR$1&lt;INDEX('Valo FX'!$R:$R,MATCH($A3,'Valo FX'!$A:$A,0)),INDEX(Base!$U:$U,MATCH($A3,Base!$A:$A,0)),IF(HR$1=INDEX('Valo FX'!$R:$R,MATCH($A3,'Valo FX'!$A:$A,0)),INDEX(Base!$V:$V,MATCH($A3,Base!$A:$A,0)),0)))</f>
        <v>11.988020000000001</v>
      </c>
      <c r="HS3" s="21">
        <f>IF(HS$1&lt;INDEX('Valo FX'!$Q:$Q,MATCH($A3,'Valo FX'!$A:$A,0)),0,IF(HS$1&lt;INDEX('Valo FX'!$R:$R,MATCH($A3,'Valo FX'!$A:$A,0)),INDEX(Base!$U:$U,MATCH($A3,Base!$A:$A,0)),IF(HS$1=INDEX('Valo FX'!$R:$R,MATCH($A3,'Valo FX'!$A:$A,0)),INDEX(Base!$V:$V,MATCH($A3,Base!$A:$A,0)),0)))</f>
        <v>11.988020000000001</v>
      </c>
      <c r="HT3" s="21">
        <f>IF(HT$1&lt;INDEX('Valo FX'!$Q:$Q,MATCH($A3,'Valo FX'!$A:$A,0)),0,IF(HT$1&lt;INDEX('Valo FX'!$R:$R,MATCH($A3,'Valo FX'!$A:$A,0)),INDEX(Base!$U:$U,MATCH($A3,Base!$A:$A,0)),IF(HT$1=INDEX('Valo FX'!$R:$R,MATCH($A3,'Valo FX'!$A:$A,0)),INDEX(Base!$V:$V,MATCH($A3,Base!$A:$A,0)),0)))</f>
        <v>11.988020000000001</v>
      </c>
      <c r="HU3" s="21">
        <f>IF(HU$1&lt;INDEX('Valo FX'!$Q:$Q,MATCH($A3,'Valo FX'!$A:$A,0)),0,IF(HU$1&lt;INDEX('Valo FX'!$R:$R,MATCH($A3,'Valo FX'!$A:$A,0)),INDEX(Base!$U:$U,MATCH($A3,Base!$A:$A,0)),IF(HU$1=INDEX('Valo FX'!$R:$R,MATCH($A3,'Valo FX'!$A:$A,0)),INDEX(Base!$V:$V,MATCH($A3,Base!$A:$A,0)),0)))</f>
        <v>11.988020000000001</v>
      </c>
      <c r="HV3" s="21">
        <f>IF(HV$1&lt;INDEX('Valo FX'!$Q:$Q,MATCH($A3,'Valo FX'!$A:$A,0)),0,IF(HV$1&lt;INDEX('Valo FX'!$R:$R,MATCH($A3,'Valo FX'!$A:$A,0)),INDEX(Base!$U:$U,MATCH($A3,Base!$A:$A,0)),IF(HV$1=INDEX('Valo FX'!$R:$R,MATCH($A3,'Valo FX'!$A:$A,0)),INDEX(Base!$V:$V,MATCH($A3,Base!$A:$A,0)),0)))</f>
        <v>11.988020000000001</v>
      </c>
      <c r="HW3" s="21">
        <f>IF(HW$1&lt;INDEX('Valo FX'!$Q:$Q,MATCH($A3,'Valo FX'!$A:$A,0)),0,IF(HW$1&lt;INDEX('Valo FX'!$R:$R,MATCH($A3,'Valo FX'!$A:$A,0)),INDEX(Base!$U:$U,MATCH($A3,Base!$A:$A,0)),IF(HW$1=INDEX('Valo FX'!$R:$R,MATCH($A3,'Valo FX'!$A:$A,0)),INDEX(Base!$V:$V,MATCH($A3,Base!$A:$A,0)),0)))</f>
        <v>11.988020000000001</v>
      </c>
      <c r="HX3" s="21">
        <f>IF(HX$1&lt;INDEX('Valo FX'!$Q:$Q,MATCH($A3,'Valo FX'!$A:$A,0)),0,IF(HX$1&lt;INDEX('Valo FX'!$R:$R,MATCH($A3,'Valo FX'!$A:$A,0)),INDEX(Base!$U:$U,MATCH($A3,Base!$A:$A,0)),IF(HX$1=INDEX('Valo FX'!$R:$R,MATCH($A3,'Valo FX'!$A:$A,0)),INDEX(Base!$V:$V,MATCH($A3,Base!$A:$A,0)),0)))</f>
        <v>11.988020000000001</v>
      </c>
      <c r="HY3" s="21">
        <f>IF(HY$1&lt;INDEX('Valo FX'!$Q:$Q,MATCH($A3,'Valo FX'!$A:$A,0)),0,IF(HY$1&lt;INDEX('Valo FX'!$R:$R,MATCH($A3,'Valo FX'!$A:$A,0)),INDEX(Base!$U:$U,MATCH($A3,Base!$A:$A,0)),IF(HY$1=INDEX('Valo FX'!$R:$R,MATCH($A3,'Valo FX'!$A:$A,0)),INDEX(Base!$V:$V,MATCH($A3,Base!$A:$A,0)),0)))</f>
        <v>11.988020000000001</v>
      </c>
      <c r="HZ3" s="21">
        <f>IF(HZ$1&lt;INDEX('Valo FX'!$Q:$Q,MATCH($A3,'Valo FX'!$A:$A,0)),0,IF(HZ$1&lt;INDEX('Valo FX'!$R:$R,MATCH($A3,'Valo FX'!$A:$A,0)),INDEX(Base!$U:$U,MATCH($A3,Base!$A:$A,0)),IF(HZ$1=INDEX('Valo FX'!$R:$R,MATCH($A3,'Valo FX'!$A:$A,0)),INDEX(Base!$V:$V,MATCH($A3,Base!$A:$A,0)),0)))</f>
        <v>11.988020000000001</v>
      </c>
      <c r="IA3" s="21">
        <f>IF(IA$1&lt;INDEX('Valo FX'!$Q:$Q,MATCH($A3,'Valo FX'!$A:$A,0)),0,IF(IA$1&lt;INDEX('Valo FX'!$R:$R,MATCH($A3,'Valo FX'!$A:$A,0)),INDEX(Base!$U:$U,MATCH($A3,Base!$A:$A,0)),IF(IA$1=INDEX('Valo FX'!$R:$R,MATCH($A3,'Valo FX'!$A:$A,0)),INDEX(Base!$V:$V,MATCH($A3,Base!$A:$A,0)),0)))</f>
        <v>11.988020000000001</v>
      </c>
      <c r="IB3" s="21">
        <f>IF(IB$1&lt;INDEX('Valo FX'!$Q:$Q,MATCH($A3,'Valo FX'!$A:$A,0)),0,IF(IB$1&lt;INDEX('Valo FX'!$R:$R,MATCH($A3,'Valo FX'!$A:$A,0)),INDEX(Base!$U:$U,MATCH($A3,Base!$A:$A,0)),IF(IB$1=INDEX('Valo FX'!$R:$R,MATCH($A3,'Valo FX'!$A:$A,0)),INDEX(Base!$V:$V,MATCH($A3,Base!$A:$A,0)),0)))</f>
        <v>11.988020000000001</v>
      </c>
      <c r="IC3" s="21">
        <f>IF(IC$1&lt;INDEX('Valo FX'!$Q:$Q,MATCH($A3,'Valo FX'!$A:$A,0)),0,IF(IC$1&lt;INDEX('Valo FX'!$R:$R,MATCH($A3,'Valo FX'!$A:$A,0)),INDEX(Base!$U:$U,MATCH($A3,Base!$A:$A,0)),IF(IC$1=INDEX('Valo FX'!$R:$R,MATCH($A3,'Valo FX'!$A:$A,0)),INDEX(Base!$V:$V,MATCH($A3,Base!$A:$A,0)),0)))</f>
        <v>11.988020000000001</v>
      </c>
      <c r="ID3" s="21">
        <f>IF(ID$1&lt;INDEX('Valo FX'!$Q:$Q,MATCH($A3,'Valo FX'!$A:$A,0)),0,IF(ID$1&lt;INDEX('Valo FX'!$R:$R,MATCH($A3,'Valo FX'!$A:$A,0)),INDEX(Base!$U:$U,MATCH($A3,Base!$A:$A,0)),IF(ID$1=INDEX('Valo FX'!$R:$R,MATCH($A3,'Valo FX'!$A:$A,0)),INDEX(Base!$V:$V,MATCH($A3,Base!$A:$A,0)),0)))</f>
        <v>11.988020000000001</v>
      </c>
      <c r="IE3" s="21">
        <f>IF(IE$1&lt;INDEX('Valo FX'!$Q:$Q,MATCH($A3,'Valo FX'!$A:$A,0)),0,IF(IE$1&lt;INDEX('Valo FX'!$R:$R,MATCH($A3,'Valo FX'!$A:$A,0)),INDEX(Base!$U:$U,MATCH($A3,Base!$A:$A,0)),IF(IE$1=INDEX('Valo FX'!$R:$R,MATCH($A3,'Valo FX'!$A:$A,0)),INDEX(Base!$V:$V,MATCH($A3,Base!$A:$A,0)),0)))</f>
        <v>11.988020000000001</v>
      </c>
      <c r="IF3" s="21">
        <f>IF(IF$1&lt;INDEX('Valo FX'!$Q:$Q,MATCH($A3,'Valo FX'!$A:$A,0)),0,IF(IF$1&lt;INDEX('Valo FX'!$R:$R,MATCH($A3,'Valo FX'!$A:$A,0)),INDEX(Base!$U:$U,MATCH($A3,Base!$A:$A,0)),IF(IF$1=INDEX('Valo FX'!$R:$R,MATCH($A3,'Valo FX'!$A:$A,0)),INDEX(Base!$V:$V,MATCH($A3,Base!$A:$A,0)),0)))</f>
        <v>11.988020000000001</v>
      </c>
      <c r="IG3" s="21">
        <f>IF(IG$1&lt;INDEX('Valo FX'!$Q:$Q,MATCH($A3,'Valo FX'!$A:$A,0)),0,IF(IG$1&lt;INDEX('Valo FX'!$R:$R,MATCH($A3,'Valo FX'!$A:$A,0)),INDEX(Base!$U:$U,MATCH($A3,Base!$A:$A,0)),IF(IG$1=INDEX('Valo FX'!$R:$R,MATCH($A3,'Valo FX'!$A:$A,0)),INDEX(Base!$V:$V,MATCH($A3,Base!$A:$A,0)),0)))</f>
        <v>11.988020000000001</v>
      </c>
      <c r="IH3" s="21">
        <f>IF(IH$1&lt;INDEX('Valo FX'!$Q:$Q,MATCH($A3,'Valo FX'!$A:$A,0)),0,IF(IH$1&lt;INDEX('Valo FX'!$R:$R,MATCH($A3,'Valo FX'!$A:$A,0)),INDEX(Base!$U:$U,MATCH($A3,Base!$A:$A,0)),IF(IH$1=INDEX('Valo FX'!$R:$R,MATCH($A3,'Valo FX'!$A:$A,0)),INDEX(Base!$V:$V,MATCH($A3,Base!$A:$A,0)),0)))</f>
        <v>11.988020000000001</v>
      </c>
      <c r="II3" s="21">
        <f>IF(II$1&lt;INDEX('Valo FX'!$Q:$Q,MATCH($A3,'Valo FX'!$A:$A,0)),0,IF(II$1&lt;INDEX('Valo FX'!$R:$R,MATCH($A3,'Valo FX'!$A:$A,0)),INDEX(Base!$U:$U,MATCH($A3,Base!$A:$A,0)),IF(II$1=INDEX('Valo FX'!$R:$R,MATCH($A3,'Valo FX'!$A:$A,0)),INDEX(Base!$V:$V,MATCH($A3,Base!$A:$A,0)),0)))</f>
        <v>11.988020000000001</v>
      </c>
      <c r="IJ3" s="21">
        <f>IF(IJ$1&lt;INDEX('Valo FX'!$Q:$Q,MATCH($A3,'Valo FX'!$A:$A,0)),0,IF(IJ$1&lt;INDEX('Valo FX'!$R:$R,MATCH($A3,'Valo FX'!$A:$A,0)),INDEX(Base!$U:$U,MATCH($A3,Base!$A:$A,0)),IF(IJ$1=INDEX('Valo FX'!$R:$R,MATCH($A3,'Valo FX'!$A:$A,0)),INDEX(Base!$V:$V,MATCH($A3,Base!$A:$A,0)),0)))</f>
        <v>11.988020000000001</v>
      </c>
      <c r="IK3" s="21">
        <f>IF(IK$1&lt;INDEX('Valo FX'!$Q:$Q,MATCH($A3,'Valo FX'!$A:$A,0)),0,IF(IK$1&lt;INDEX('Valo FX'!$R:$R,MATCH($A3,'Valo FX'!$A:$A,0)),INDEX(Base!$U:$U,MATCH($A3,Base!$A:$A,0)),IF(IK$1=INDEX('Valo FX'!$R:$R,MATCH($A3,'Valo FX'!$A:$A,0)),INDEX(Base!$V:$V,MATCH($A3,Base!$A:$A,0)),0)))</f>
        <v>11.988020000000001</v>
      </c>
      <c r="IL3" s="21">
        <f>IF(IL$1&lt;INDEX('Valo FX'!$Q:$Q,MATCH($A3,'Valo FX'!$A:$A,0)),0,IF(IL$1&lt;INDEX('Valo FX'!$R:$R,MATCH($A3,'Valo FX'!$A:$A,0)),INDEX(Base!$U:$U,MATCH($A3,Base!$A:$A,0)),IF(IL$1=INDEX('Valo FX'!$R:$R,MATCH($A3,'Valo FX'!$A:$A,0)),INDEX(Base!$V:$V,MATCH($A3,Base!$A:$A,0)),0)))</f>
        <v>11.988020000000001</v>
      </c>
      <c r="IM3" s="21">
        <f>IF(IM$1&lt;INDEX('Valo FX'!$Q:$Q,MATCH($A3,'Valo FX'!$A:$A,0)),0,IF(IM$1&lt;INDEX('Valo FX'!$R:$R,MATCH($A3,'Valo FX'!$A:$A,0)),INDEX(Base!$U:$U,MATCH($A3,Base!$A:$A,0)),IF(IM$1=INDEX('Valo FX'!$R:$R,MATCH($A3,'Valo FX'!$A:$A,0)),INDEX(Base!$V:$V,MATCH($A3,Base!$A:$A,0)),0)))</f>
        <v>11.988020000000001</v>
      </c>
      <c r="IN3" s="21">
        <f>IF(IN$1&lt;INDEX('Valo FX'!$Q:$Q,MATCH($A3,'Valo FX'!$A:$A,0)),0,IF(IN$1&lt;INDEX('Valo FX'!$R:$R,MATCH($A3,'Valo FX'!$A:$A,0)),INDEX(Base!$U:$U,MATCH($A3,Base!$A:$A,0)),IF(IN$1=INDEX('Valo FX'!$R:$R,MATCH($A3,'Valo FX'!$A:$A,0)),INDEX(Base!$V:$V,MATCH($A3,Base!$A:$A,0)),0)))</f>
        <v>11.988020000000001</v>
      </c>
      <c r="IO3" s="21">
        <f>IF(IO$1&lt;INDEX('Valo FX'!$Q:$Q,MATCH($A3,'Valo FX'!$A:$A,0)),0,IF(IO$1&lt;INDEX('Valo FX'!$R:$R,MATCH($A3,'Valo FX'!$A:$A,0)),INDEX(Base!$U:$U,MATCH($A3,Base!$A:$A,0)),IF(IO$1=INDEX('Valo FX'!$R:$R,MATCH($A3,'Valo FX'!$A:$A,0)),INDEX(Base!$V:$V,MATCH($A3,Base!$A:$A,0)),0)))</f>
        <v>11.988020000000001</v>
      </c>
      <c r="IP3" s="21">
        <f>IF(IP$1&lt;INDEX('Valo FX'!$Q:$Q,MATCH($A3,'Valo FX'!$A:$A,0)),0,IF(IP$1&lt;INDEX('Valo FX'!$R:$R,MATCH($A3,'Valo FX'!$A:$A,0)),INDEX(Base!$U:$U,MATCH($A3,Base!$A:$A,0)),IF(IP$1=INDEX('Valo FX'!$R:$R,MATCH($A3,'Valo FX'!$A:$A,0)),INDEX(Base!$V:$V,MATCH($A3,Base!$A:$A,0)),0)))</f>
        <v>11.988020000000001</v>
      </c>
      <c r="IQ3" s="21">
        <f>IF(IQ$1&lt;INDEX('Valo FX'!$Q:$Q,MATCH($A3,'Valo FX'!$A:$A,0)),0,IF(IQ$1&lt;INDEX('Valo FX'!$R:$R,MATCH($A3,'Valo FX'!$A:$A,0)),INDEX(Base!$U:$U,MATCH($A3,Base!$A:$A,0)),IF(IQ$1=INDEX('Valo FX'!$R:$R,MATCH($A3,'Valo FX'!$A:$A,0)),INDEX(Base!$V:$V,MATCH($A3,Base!$A:$A,0)),0)))</f>
        <v>11.988020000000001</v>
      </c>
      <c r="IR3" s="21">
        <f>IF(IR$1&lt;INDEX('Valo FX'!$Q:$Q,MATCH($A3,'Valo FX'!$A:$A,0)),0,IF(IR$1&lt;INDEX('Valo FX'!$R:$R,MATCH($A3,'Valo FX'!$A:$A,0)),INDEX(Base!$U:$U,MATCH($A3,Base!$A:$A,0)),IF(IR$1=INDEX('Valo FX'!$R:$R,MATCH($A3,'Valo FX'!$A:$A,0)),INDEX(Base!$V:$V,MATCH($A3,Base!$A:$A,0)),0)))</f>
        <v>11.988020000000001</v>
      </c>
      <c r="IS3" s="21">
        <f>IF(IS$1&lt;INDEX('Valo FX'!$Q:$Q,MATCH($A3,'Valo FX'!$A:$A,0)),0,IF(IS$1&lt;INDEX('Valo FX'!$R:$R,MATCH($A3,'Valo FX'!$A:$A,0)),INDEX(Base!$U:$U,MATCH($A3,Base!$A:$A,0)),IF(IS$1=INDEX('Valo FX'!$R:$R,MATCH($A3,'Valo FX'!$A:$A,0)),INDEX(Base!$V:$V,MATCH($A3,Base!$A:$A,0)),0)))</f>
        <v>11.988020000000001</v>
      </c>
      <c r="IT3" s="21">
        <f>IF(IT$1&lt;INDEX('Valo FX'!$Q:$Q,MATCH($A3,'Valo FX'!$A:$A,0)),0,IF(IT$1&lt;INDEX('Valo FX'!$R:$R,MATCH($A3,'Valo FX'!$A:$A,0)),INDEX(Base!$U:$U,MATCH($A3,Base!$A:$A,0)),IF(IT$1=INDEX('Valo FX'!$R:$R,MATCH($A3,'Valo FX'!$A:$A,0)),INDEX(Base!$V:$V,MATCH($A3,Base!$A:$A,0)),0)))</f>
        <v>11.988020000000001</v>
      </c>
      <c r="IU3" s="21">
        <f>IF(IU$1&lt;INDEX('Valo FX'!$Q:$Q,MATCH($A3,'Valo FX'!$A:$A,0)),0,IF(IU$1&lt;INDEX('Valo FX'!$R:$R,MATCH($A3,'Valo FX'!$A:$A,0)),INDEX(Base!$U:$U,MATCH($A3,Base!$A:$A,0)),IF(IU$1=INDEX('Valo FX'!$R:$R,MATCH($A3,'Valo FX'!$A:$A,0)),INDEX(Base!$V:$V,MATCH($A3,Base!$A:$A,0)),0)))</f>
        <v>11.988020000000001</v>
      </c>
      <c r="IV3" s="21">
        <f>IF(IV$1&lt;INDEX('Valo FX'!$Q:$Q,MATCH($A3,'Valo FX'!$A:$A,0)),0,IF(IV$1&lt;INDEX('Valo FX'!$R:$R,MATCH($A3,'Valo FX'!$A:$A,0)),INDEX(Base!$U:$U,MATCH($A3,Base!$A:$A,0)),IF(IV$1=INDEX('Valo FX'!$R:$R,MATCH($A3,'Valo FX'!$A:$A,0)),INDEX(Base!$V:$V,MATCH($A3,Base!$A:$A,0)),0)))</f>
        <v>11.988020000000001</v>
      </c>
      <c r="IW3" s="21">
        <f>IF(IW$1&lt;INDEX('Valo FX'!$Q:$Q,MATCH($A3,'Valo FX'!$A:$A,0)),0,IF(IW$1&lt;INDEX('Valo FX'!$R:$R,MATCH($A3,'Valo FX'!$A:$A,0)),INDEX(Base!$U:$U,MATCH($A3,Base!$A:$A,0)),IF(IW$1=INDEX('Valo FX'!$R:$R,MATCH($A3,'Valo FX'!$A:$A,0)),INDEX(Base!$V:$V,MATCH($A3,Base!$A:$A,0)),0)))</f>
        <v>11.988020000000001</v>
      </c>
      <c r="IX3" s="21">
        <f>IF(IX$1&lt;INDEX('Valo FX'!$Q:$Q,MATCH($A3,'Valo FX'!$A:$A,0)),0,IF(IX$1&lt;INDEX('Valo FX'!$R:$R,MATCH($A3,'Valo FX'!$A:$A,0)),INDEX(Base!$U:$U,MATCH($A3,Base!$A:$A,0)),IF(IX$1=INDEX('Valo FX'!$R:$R,MATCH($A3,'Valo FX'!$A:$A,0)),INDEX(Base!$V:$V,MATCH($A3,Base!$A:$A,0)),0)))</f>
        <v>11.988020000000001</v>
      </c>
      <c r="IY3" s="21">
        <f>IF(IY$1&lt;INDEX('Valo FX'!$Q:$Q,MATCH($A3,'Valo FX'!$A:$A,0)),0,IF(IY$1&lt;INDEX('Valo FX'!$R:$R,MATCH($A3,'Valo FX'!$A:$A,0)),INDEX(Base!$U:$U,MATCH($A3,Base!$A:$A,0)),IF(IY$1=INDEX('Valo FX'!$R:$R,MATCH($A3,'Valo FX'!$A:$A,0)),INDEX(Base!$V:$V,MATCH($A3,Base!$A:$A,0)),0)))</f>
        <v>11.988020000000001</v>
      </c>
      <c r="IZ3" s="21">
        <f>IF(IZ$1&lt;INDEX('Valo FX'!$Q:$Q,MATCH($A3,'Valo FX'!$A:$A,0)),0,IF(IZ$1&lt;INDEX('Valo FX'!$R:$R,MATCH($A3,'Valo FX'!$A:$A,0)),INDEX(Base!$U:$U,MATCH($A3,Base!$A:$A,0)),IF(IZ$1=INDEX('Valo FX'!$R:$R,MATCH($A3,'Valo FX'!$A:$A,0)),INDEX(Base!$V:$V,MATCH($A3,Base!$A:$A,0)),0)))</f>
        <v>11.988020000000001</v>
      </c>
      <c r="JA3" s="21">
        <f>IF(JA$1&lt;INDEX('Valo FX'!$Q:$Q,MATCH($A3,'Valo FX'!$A:$A,0)),0,IF(JA$1&lt;INDEX('Valo FX'!$R:$R,MATCH($A3,'Valo FX'!$A:$A,0)),INDEX(Base!$U:$U,MATCH($A3,Base!$A:$A,0)),IF(JA$1=INDEX('Valo FX'!$R:$R,MATCH($A3,'Valo FX'!$A:$A,0)),INDEX(Base!$V:$V,MATCH($A3,Base!$A:$A,0)),0)))</f>
        <v>11.988020000000001</v>
      </c>
      <c r="JB3" s="21">
        <f>IF(JB$1&lt;INDEX('Valo FX'!$Q:$Q,MATCH($A3,'Valo FX'!$A:$A,0)),0,IF(JB$1&lt;INDEX('Valo FX'!$R:$R,MATCH($A3,'Valo FX'!$A:$A,0)),INDEX(Base!$U:$U,MATCH($A3,Base!$A:$A,0)),IF(JB$1=INDEX('Valo FX'!$R:$R,MATCH($A3,'Valo FX'!$A:$A,0)),INDEX(Base!$V:$V,MATCH($A3,Base!$A:$A,0)),0)))</f>
        <v>11.988020000000001</v>
      </c>
      <c r="JC3" s="21">
        <f>IF(JC$1&lt;INDEX('Valo FX'!$Q:$Q,MATCH($A3,'Valo FX'!$A:$A,0)),0,IF(JC$1&lt;INDEX('Valo FX'!$R:$R,MATCH($A3,'Valo FX'!$A:$A,0)),INDEX(Base!$U:$U,MATCH($A3,Base!$A:$A,0)),IF(JC$1=INDEX('Valo FX'!$R:$R,MATCH($A3,'Valo FX'!$A:$A,0)),INDEX(Base!$V:$V,MATCH($A3,Base!$A:$A,0)),0)))</f>
        <v>11.988020000000001</v>
      </c>
      <c r="JD3" s="21">
        <f>IF(JD$1&lt;INDEX('Valo FX'!$Q:$Q,MATCH($A3,'Valo FX'!$A:$A,0)),0,IF(JD$1&lt;INDEX('Valo FX'!$R:$R,MATCH($A3,'Valo FX'!$A:$A,0)),INDEX(Base!$U:$U,MATCH($A3,Base!$A:$A,0)),IF(JD$1=INDEX('Valo FX'!$R:$R,MATCH($A3,'Valo FX'!$A:$A,0)),INDEX(Base!$V:$V,MATCH($A3,Base!$A:$A,0)),0)))</f>
        <v>11.988020000000001</v>
      </c>
      <c r="JE3" s="21">
        <f>IF(JE$1&lt;INDEX('Valo FX'!$Q:$Q,MATCH($A3,'Valo FX'!$A:$A,0)),0,IF(JE$1&lt;INDEX('Valo FX'!$R:$R,MATCH($A3,'Valo FX'!$A:$A,0)),INDEX(Base!$U:$U,MATCH($A3,Base!$A:$A,0)),IF(JE$1=INDEX('Valo FX'!$R:$R,MATCH($A3,'Valo FX'!$A:$A,0)),INDEX(Base!$V:$V,MATCH($A3,Base!$A:$A,0)),0)))</f>
        <v>11.988020000000001</v>
      </c>
      <c r="JF3" s="21">
        <f>IF(JF$1&lt;INDEX('Valo FX'!$Q:$Q,MATCH($A3,'Valo FX'!$A:$A,0)),0,IF(JF$1&lt;INDEX('Valo FX'!$R:$R,MATCH($A3,'Valo FX'!$A:$A,0)),INDEX(Base!$U:$U,MATCH($A3,Base!$A:$A,0)),IF(JF$1=INDEX('Valo FX'!$R:$R,MATCH($A3,'Valo FX'!$A:$A,0)),INDEX(Base!$V:$V,MATCH($A3,Base!$A:$A,0)),0)))</f>
        <v>11.988020000000001</v>
      </c>
      <c r="JG3" s="21">
        <f>IF(JG$1&lt;INDEX('Valo FX'!$Q:$Q,MATCH($A3,'Valo FX'!$A:$A,0)),0,IF(JG$1&lt;INDEX('Valo FX'!$R:$R,MATCH($A3,'Valo FX'!$A:$A,0)),INDEX(Base!$U:$U,MATCH($A3,Base!$A:$A,0)),IF(JG$1=INDEX('Valo FX'!$R:$R,MATCH($A3,'Valo FX'!$A:$A,0)),INDEX(Base!$V:$V,MATCH($A3,Base!$A:$A,0)),0)))</f>
        <v>11.988020000000001</v>
      </c>
      <c r="JH3" s="21">
        <f>IF(JH$1&lt;INDEX('Valo FX'!$Q:$Q,MATCH($A3,'Valo FX'!$A:$A,0)),0,IF(JH$1&lt;INDEX('Valo FX'!$R:$R,MATCH($A3,'Valo FX'!$A:$A,0)),INDEX(Base!$U:$U,MATCH($A3,Base!$A:$A,0)),IF(JH$1=INDEX('Valo FX'!$R:$R,MATCH($A3,'Valo FX'!$A:$A,0)),INDEX(Base!$V:$V,MATCH($A3,Base!$A:$A,0)),0)))</f>
        <v>11.988020000000001</v>
      </c>
      <c r="JI3" s="21">
        <f>IF(JI$1&lt;INDEX('Valo FX'!$Q:$Q,MATCH($A3,'Valo FX'!$A:$A,0)),0,IF(JI$1&lt;INDEX('Valo FX'!$R:$R,MATCH($A3,'Valo FX'!$A:$A,0)),INDEX(Base!$U:$U,MATCH($A3,Base!$A:$A,0)),IF(JI$1=INDEX('Valo FX'!$R:$R,MATCH($A3,'Valo FX'!$A:$A,0)),INDEX(Base!$V:$V,MATCH($A3,Base!$A:$A,0)),0)))</f>
        <v>11.988020000000001</v>
      </c>
      <c r="JJ3" s="21">
        <f>IF(JJ$1&lt;INDEX('Valo FX'!$Q:$Q,MATCH($A3,'Valo FX'!$A:$A,0)),0,IF(JJ$1&lt;INDEX('Valo FX'!$R:$R,MATCH($A3,'Valo FX'!$A:$A,0)),INDEX(Base!$U:$U,MATCH($A3,Base!$A:$A,0)),IF(JJ$1=INDEX('Valo FX'!$R:$R,MATCH($A3,'Valo FX'!$A:$A,0)),INDEX(Base!$V:$V,MATCH($A3,Base!$A:$A,0)),0)))</f>
        <v>11.988020000000001</v>
      </c>
      <c r="JK3" s="21">
        <f>IF(JK$1&lt;INDEX('Valo FX'!$Q:$Q,MATCH($A3,'Valo FX'!$A:$A,0)),0,IF(JK$1&lt;INDEX('Valo FX'!$R:$R,MATCH($A3,'Valo FX'!$A:$A,0)),INDEX(Base!$U:$U,MATCH($A3,Base!$A:$A,0)),IF(JK$1=INDEX('Valo FX'!$R:$R,MATCH($A3,'Valo FX'!$A:$A,0)),INDEX(Base!$V:$V,MATCH($A3,Base!$A:$A,0)),0)))</f>
        <v>11.988020000000001</v>
      </c>
      <c r="JL3" s="21">
        <f>IF(JL$1&lt;INDEX('Valo FX'!$Q:$Q,MATCH($A3,'Valo FX'!$A:$A,0)),0,IF(JL$1&lt;INDEX('Valo FX'!$R:$R,MATCH($A3,'Valo FX'!$A:$A,0)),INDEX(Base!$U:$U,MATCH($A3,Base!$A:$A,0)),IF(JL$1=INDEX('Valo FX'!$R:$R,MATCH($A3,'Valo FX'!$A:$A,0)),INDEX(Base!$V:$V,MATCH($A3,Base!$A:$A,0)),0)))</f>
        <v>11.988020000000001</v>
      </c>
      <c r="JM3" s="21">
        <f>IF(JM$1&lt;INDEX('Valo FX'!$Q:$Q,MATCH($A3,'Valo FX'!$A:$A,0)),0,IF(JM$1&lt;INDEX('Valo FX'!$R:$R,MATCH($A3,'Valo FX'!$A:$A,0)),INDEX(Base!$U:$U,MATCH($A3,Base!$A:$A,0)),IF(JM$1=INDEX('Valo FX'!$R:$R,MATCH($A3,'Valo FX'!$A:$A,0)),INDEX(Base!$V:$V,MATCH($A3,Base!$A:$A,0)),0)))</f>
        <v>11.988020000000001</v>
      </c>
      <c r="JN3" s="21">
        <f>IF(JN$1&lt;INDEX('Valo FX'!$Q:$Q,MATCH($A3,'Valo FX'!$A:$A,0)),0,IF(JN$1&lt;INDEX('Valo FX'!$R:$R,MATCH($A3,'Valo FX'!$A:$A,0)),INDEX(Base!$U:$U,MATCH($A3,Base!$A:$A,0)),IF(JN$1=INDEX('Valo FX'!$R:$R,MATCH($A3,'Valo FX'!$A:$A,0)),INDEX(Base!$V:$V,MATCH($A3,Base!$A:$A,0)),0)))</f>
        <v>11.988020000000001</v>
      </c>
      <c r="JO3" s="21">
        <f>IF(JO$1&lt;INDEX('Valo FX'!$Q:$Q,MATCH($A3,'Valo FX'!$A:$A,0)),0,IF(JO$1&lt;INDEX('Valo FX'!$R:$R,MATCH($A3,'Valo FX'!$A:$A,0)),INDEX(Base!$U:$U,MATCH($A3,Base!$A:$A,0)),IF(JO$1=INDEX('Valo FX'!$R:$R,MATCH($A3,'Valo FX'!$A:$A,0)),INDEX(Base!$V:$V,MATCH($A3,Base!$A:$A,0)),0)))</f>
        <v>11.988020000000001</v>
      </c>
      <c r="JP3" s="21">
        <f>IF(JP$1&lt;INDEX('Valo FX'!$Q:$Q,MATCH($A3,'Valo FX'!$A:$A,0)),0,IF(JP$1&lt;INDEX('Valo FX'!$R:$R,MATCH($A3,'Valo FX'!$A:$A,0)),INDEX(Base!$U:$U,MATCH($A3,Base!$A:$A,0)),IF(JP$1=INDEX('Valo FX'!$R:$R,MATCH($A3,'Valo FX'!$A:$A,0)),INDEX(Base!$V:$V,MATCH($A3,Base!$A:$A,0)),0)))</f>
        <v>11.988020000000001</v>
      </c>
      <c r="JQ3" s="21">
        <f>IF(JQ$1&lt;INDEX('Valo FX'!$Q:$Q,MATCH($A3,'Valo FX'!$A:$A,0)),0,IF(JQ$1&lt;INDEX('Valo FX'!$R:$R,MATCH($A3,'Valo FX'!$A:$A,0)),INDEX(Base!$U:$U,MATCH($A3,Base!$A:$A,0)),IF(JQ$1=INDEX('Valo FX'!$R:$R,MATCH($A3,'Valo FX'!$A:$A,0)),INDEX(Base!$V:$V,MATCH($A3,Base!$A:$A,0)),0)))</f>
        <v>11.988020000000001</v>
      </c>
      <c r="JR3" s="21">
        <f>IF(JR$1&lt;INDEX('Valo FX'!$Q:$Q,MATCH($A3,'Valo FX'!$A:$A,0)),0,IF(JR$1&lt;INDEX('Valo FX'!$R:$R,MATCH($A3,'Valo FX'!$A:$A,0)),INDEX(Base!$U:$U,MATCH($A3,Base!$A:$A,0)),IF(JR$1=INDEX('Valo FX'!$R:$R,MATCH($A3,'Valo FX'!$A:$A,0)),INDEX(Base!$V:$V,MATCH($A3,Base!$A:$A,0)),0)))</f>
        <v>11.988020000000001</v>
      </c>
      <c r="JS3" s="21">
        <f>IF(JS$1&lt;INDEX('Valo FX'!$Q:$Q,MATCH($A3,'Valo FX'!$A:$A,0)),0,IF(JS$1&lt;INDEX('Valo FX'!$R:$R,MATCH($A3,'Valo FX'!$A:$A,0)),INDEX(Base!$U:$U,MATCH($A3,Base!$A:$A,0)),IF(JS$1=INDEX('Valo FX'!$R:$R,MATCH($A3,'Valo FX'!$A:$A,0)),INDEX(Base!$V:$V,MATCH($A3,Base!$A:$A,0)),0)))</f>
        <v>11.988020000000001</v>
      </c>
      <c r="JT3" s="21">
        <f>IF(JT$1&lt;INDEX('Valo FX'!$Q:$Q,MATCH($A3,'Valo FX'!$A:$A,0)),0,IF(JT$1&lt;INDEX('Valo FX'!$R:$R,MATCH($A3,'Valo FX'!$A:$A,0)),INDEX(Base!$U:$U,MATCH($A3,Base!$A:$A,0)),IF(JT$1=INDEX('Valo FX'!$R:$R,MATCH($A3,'Valo FX'!$A:$A,0)),INDEX(Base!$V:$V,MATCH($A3,Base!$A:$A,0)),0)))</f>
        <v>11.988020000000001</v>
      </c>
      <c r="JU3" s="21">
        <f>IF(JU$1&lt;INDEX('Valo FX'!$Q:$Q,MATCH($A3,'Valo FX'!$A:$A,0)),0,IF(JU$1&lt;INDEX('Valo FX'!$R:$R,MATCH($A3,'Valo FX'!$A:$A,0)),INDEX(Base!$U:$U,MATCH($A3,Base!$A:$A,0)),IF(JU$1=INDEX('Valo FX'!$R:$R,MATCH($A3,'Valo FX'!$A:$A,0)),INDEX(Base!$V:$V,MATCH($A3,Base!$A:$A,0)),0)))</f>
        <v>11.988020000000001</v>
      </c>
      <c r="JV3" s="21">
        <f>IF(JV$1&lt;INDEX('Valo FX'!$Q:$Q,MATCH($A3,'Valo FX'!$A:$A,0)),0,IF(JV$1&lt;INDEX('Valo FX'!$R:$R,MATCH($A3,'Valo FX'!$A:$A,0)),INDEX(Base!$U:$U,MATCH($A3,Base!$A:$A,0)),IF(JV$1=INDEX('Valo FX'!$R:$R,MATCH($A3,'Valo FX'!$A:$A,0)),INDEX(Base!$V:$V,MATCH($A3,Base!$A:$A,0)),0)))</f>
        <v>11.988020000000001</v>
      </c>
      <c r="JW3" s="21">
        <f>IF(JW$1&lt;INDEX('Valo FX'!$Q:$Q,MATCH($A3,'Valo FX'!$A:$A,0)),0,IF(JW$1&lt;INDEX('Valo FX'!$R:$R,MATCH($A3,'Valo FX'!$A:$A,0)),INDEX(Base!$U:$U,MATCH($A3,Base!$A:$A,0)),IF(JW$1=INDEX('Valo FX'!$R:$R,MATCH($A3,'Valo FX'!$A:$A,0)),INDEX(Base!$V:$V,MATCH($A3,Base!$A:$A,0)),0)))</f>
        <v>11.988020000000001</v>
      </c>
      <c r="JX3" s="21">
        <f>IF(JX$1&lt;INDEX('Valo FX'!$Q:$Q,MATCH($A3,'Valo FX'!$A:$A,0)),0,IF(JX$1&lt;INDEX('Valo FX'!$R:$R,MATCH($A3,'Valo FX'!$A:$A,0)),INDEX(Base!$U:$U,MATCH($A3,Base!$A:$A,0)),IF(JX$1=INDEX('Valo FX'!$R:$R,MATCH($A3,'Valo FX'!$A:$A,0)),INDEX(Base!$V:$V,MATCH($A3,Base!$A:$A,0)),0)))</f>
        <v>11.988020000000001</v>
      </c>
      <c r="JY3" s="21">
        <f>IF(JY$1&lt;INDEX('Valo FX'!$Q:$Q,MATCH($A3,'Valo FX'!$A:$A,0)),0,IF(JY$1&lt;INDEX('Valo FX'!$R:$R,MATCH($A3,'Valo FX'!$A:$A,0)),INDEX(Base!$U:$U,MATCH($A3,Base!$A:$A,0)),IF(JY$1=INDEX('Valo FX'!$R:$R,MATCH($A3,'Valo FX'!$A:$A,0)),INDEX(Base!$V:$V,MATCH($A3,Base!$A:$A,0)),0)))</f>
        <v>11.988020000000001</v>
      </c>
      <c r="JZ3" s="21">
        <f>IF(JZ$1&lt;INDEX('Valo FX'!$Q:$Q,MATCH($A3,'Valo FX'!$A:$A,0)),0,IF(JZ$1&lt;INDEX('Valo FX'!$R:$R,MATCH($A3,'Valo FX'!$A:$A,0)),INDEX(Base!$U:$U,MATCH($A3,Base!$A:$A,0)),IF(JZ$1=INDEX('Valo FX'!$R:$R,MATCH($A3,'Valo FX'!$A:$A,0)),INDEX(Base!$V:$V,MATCH($A3,Base!$A:$A,0)),0)))</f>
        <v>11.988020000000001</v>
      </c>
      <c r="KA3" s="21">
        <f>IF(KA$1&lt;INDEX('Valo FX'!$Q:$Q,MATCH($A3,'Valo FX'!$A:$A,0)),0,IF(KA$1&lt;INDEX('Valo FX'!$R:$R,MATCH($A3,'Valo FX'!$A:$A,0)),INDEX(Base!$U:$U,MATCH($A3,Base!$A:$A,0)),IF(KA$1=INDEX('Valo FX'!$R:$R,MATCH($A3,'Valo FX'!$A:$A,0)),INDEX(Base!$V:$V,MATCH($A3,Base!$A:$A,0)),0)))</f>
        <v>11.988020000000001</v>
      </c>
      <c r="KB3" s="21">
        <f>IF(KB$1&lt;INDEX('Valo FX'!$Q:$Q,MATCH($A3,'Valo FX'!$A:$A,0)),0,IF(KB$1&lt;INDEX('Valo FX'!$R:$R,MATCH($A3,'Valo FX'!$A:$A,0)),INDEX(Base!$U:$U,MATCH($A3,Base!$A:$A,0)),IF(KB$1=INDEX('Valo FX'!$R:$R,MATCH($A3,'Valo FX'!$A:$A,0)),INDEX(Base!$V:$V,MATCH($A3,Base!$A:$A,0)),0)))</f>
        <v>11.988020000000001</v>
      </c>
      <c r="KC3" s="21">
        <f>IF(KC$1&lt;INDEX('Valo FX'!$Q:$Q,MATCH($A3,'Valo FX'!$A:$A,0)),0,IF(KC$1&lt;INDEX('Valo FX'!$R:$R,MATCH($A3,'Valo FX'!$A:$A,0)),INDEX(Base!$U:$U,MATCH($A3,Base!$A:$A,0)),IF(KC$1=INDEX('Valo FX'!$R:$R,MATCH($A3,'Valo FX'!$A:$A,0)),INDEX(Base!$V:$V,MATCH($A3,Base!$A:$A,0)),0)))</f>
        <v>11.988020000000001</v>
      </c>
      <c r="KD3" s="21">
        <f>IF(KD$1&lt;INDEX('Valo FX'!$Q:$Q,MATCH($A3,'Valo FX'!$A:$A,0)),0,IF(KD$1&lt;INDEX('Valo FX'!$R:$R,MATCH($A3,'Valo FX'!$A:$A,0)),INDEX(Base!$U:$U,MATCH($A3,Base!$A:$A,0)),IF(KD$1=INDEX('Valo FX'!$R:$R,MATCH($A3,'Valo FX'!$A:$A,0)),INDEX(Base!$V:$V,MATCH($A3,Base!$A:$A,0)),0)))</f>
        <v>11.988020000000001</v>
      </c>
      <c r="KE3" s="21">
        <f>IF(KE$1&lt;INDEX('Valo FX'!$Q:$Q,MATCH($A3,'Valo FX'!$A:$A,0)),0,IF(KE$1&lt;INDEX('Valo FX'!$R:$R,MATCH($A3,'Valo FX'!$A:$A,0)),INDEX(Base!$U:$U,MATCH($A3,Base!$A:$A,0)),IF(KE$1=INDEX('Valo FX'!$R:$R,MATCH($A3,'Valo FX'!$A:$A,0)),INDEX(Base!$V:$V,MATCH($A3,Base!$A:$A,0)),0)))</f>
        <v>11.988020000000001</v>
      </c>
      <c r="KF3" s="21">
        <f>IF(KF$1&lt;INDEX('Valo FX'!$Q:$Q,MATCH($A3,'Valo FX'!$A:$A,0)),0,IF(KF$1&lt;INDEX('Valo FX'!$R:$R,MATCH($A3,'Valo FX'!$A:$A,0)),INDEX(Base!$U:$U,MATCH($A3,Base!$A:$A,0)),IF(KF$1=INDEX('Valo FX'!$R:$R,MATCH($A3,'Valo FX'!$A:$A,0)),INDEX(Base!$V:$V,MATCH($A3,Base!$A:$A,0)),0)))</f>
        <v>11.988020000000001</v>
      </c>
      <c r="KG3" s="21">
        <f>IF(KG$1&lt;INDEX('Valo FX'!$Q:$Q,MATCH($A3,'Valo FX'!$A:$A,0)),0,IF(KG$1&lt;INDEX('Valo FX'!$R:$R,MATCH($A3,'Valo FX'!$A:$A,0)),INDEX(Base!$U:$U,MATCH($A3,Base!$A:$A,0)),IF(KG$1=INDEX('Valo FX'!$R:$R,MATCH($A3,'Valo FX'!$A:$A,0)),INDEX(Base!$V:$V,MATCH($A3,Base!$A:$A,0)),0)))</f>
        <v>11.988020000000001</v>
      </c>
      <c r="KH3" s="21">
        <f>IF(KH$1&lt;INDEX('Valo FX'!$Q:$Q,MATCH($A3,'Valo FX'!$A:$A,0)),0,IF(KH$1&lt;INDEX('Valo FX'!$R:$R,MATCH($A3,'Valo FX'!$A:$A,0)),INDEX(Base!$U:$U,MATCH($A3,Base!$A:$A,0)),IF(KH$1=INDEX('Valo FX'!$R:$R,MATCH($A3,'Valo FX'!$A:$A,0)),INDEX(Base!$V:$V,MATCH($A3,Base!$A:$A,0)),0)))</f>
        <v>11.988020000000001</v>
      </c>
      <c r="KI3" s="21">
        <f>IF(KI$1&lt;INDEX('Valo FX'!$Q:$Q,MATCH($A3,'Valo FX'!$A:$A,0)),0,IF(KI$1&lt;INDEX('Valo FX'!$R:$R,MATCH($A3,'Valo FX'!$A:$A,0)),INDEX(Base!$U:$U,MATCH($A3,Base!$A:$A,0)),IF(KI$1=INDEX('Valo FX'!$R:$R,MATCH($A3,'Valo FX'!$A:$A,0)),INDEX(Base!$V:$V,MATCH($A3,Base!$A:$A,0)),0)))</f>
        <v>11.988020000000001</v>
      </c>
      <c r="KJ3" s="21">
        <f>IF(KJ$1&lt;INDEX('Valo FX'!$Q:$Q,MATCH($A3,'Valo FX'!$A:$A,0)),0,IF(KJ$1&lt;INDEX('Valo FX'!$R:$R,MATCH($A3,'Valo FX'!$A:$A,0)),INDEX(Base!$U:$U,MATCH($A3,Base!$A:$A,0)),IF(KJ$1=INDEX('Valo FX'!$R:$R,MATCH($A3,'Valo FX'!$A:$A,0)),INDEX(Base!$V:$V,MATCH($A3,Base!$A:$A,0)),0)))</f>
        <v>11.988020000000001</v>
      </c>
      <c r="KK3" s="21">
        <f>IF(KK$1&lt;INDEX('Valo FX'!$Q:$Q,MATCH($A3,'Valo FX'!$A:$A,0)),0,IF(KK$1&lt;INDEX('Valo FX'!$R:$R,MATCH($A3,'Valo FX'!$A:$A,0)),INDEX(Base!$U:$U,MATCH($A3,Base!$A:$A,0)),IF(KK$1=INDEX('Valo FX'!$R:$R,MATCH($A3,'Valo FX'!$A:$A,0)),INDEX(Base!$V:$V,MATCH($A3,Base!$A:$A,0)),0)))</f>
        <v>11.988020000000001</v>
      </c>
      <c r="KL3" s="21">
        <f>IF(KL$1&lt;INDEX('Valo FX'!$Q:$Q,MATCH($A3,'Valo FX'!$A:$A,0)),0,IF(KL$1&lt;INDEX('Valo FX'!$R:$R,MATCH($A3,'Valo FX'!$A:$A,0)),INDEX(Base!$U:$U,MATCH($A3,Base!$A:$A,0)),IF(KL$1=INDEX('Valo FX'!$R:$R,MATCH($A3,'Valo FX'!$A:$A,0)),INDEX(Base!$V:$V,MATCH($A3,Base!$A:$A,0)),0)))</f>
        <v>11.988020000000001</v>
      </c>
      <c r="KM3" s="21">
        <f>IF(KM$1&lt;INDEX('Valo FX'!$Q:$Q,MATCH($A3,'Valo FX'!$A:$A,0)),0,IF(KM$1&lt;INDEX('Valo FX'!$R:$R,MATCH($A3,'Valo FX'!$A:$A,0)),INDEX(Base!$U:$U,MATCH($A3,Base!$A:$A,0)),IF(KM$1=INDEX('Valo FX'!$R:$R,MATCH($A3,'Valo FX'!$A:$A,0)),INDEX(Base!$V:$V,MATCH($A3,Base!$A:$A,0)),0)))</f>
        <v>11.988020000000001</v>
      </c>
      <c r="KN3" s="21">
        <f>IF(KN$1&lt;INDEX('Valo FX'!$Q:$Q,MATCH($A3,'Valo FX'!$A:$A,0)),0,IF(KN$1&lt;INDEX('Valo FX'!$R:$R,MATCH($A3,'Valo FX'!$A:$A,0)),INDEX(Base!$U:$U,MATCH($A3,Base!$A:$A,0)),IF(KN$1=INDEX('Valo FX'!$R:$R,MATCH($A3,'Valo FX'!$A:$A,0)),INDEX(Base!$V:$V,MATCH($A3,Base!$A:$A,0)),0)))</f>
        <v>11.988020000000001</v>
      </c>
      <c r="KO3" s="21">
        <f>IF(KO$1&lt;INDEX('Valo FX'!$Q:$Q,MATCH($A3,'Valo FX'!$A:$A,0)),0,IF(KO$1&lt;INDEX('Valo FX'!$R:$R,MATCH($A3,'Valo FX'!$A:$A,0)),INDEX(Base!$U:$U,MATCH($A3,Base!$A:$A,0)),IF(KO$1=INDEX('Valo FX'!$R:$R,MATCH($A3,'Valo FX'!$A:$A,0)),INDEX(Base!$V:$V,MATCH($A3,Base!$A:$A,0)),0)))</f>
        <v>11.988020000000001</v>
      </c>
      <c r="KP3" s="21">
        <f>IF(KP$1&lt;INDEX('Valo FX'!$Q:$Q,MATCH($A3,'Valo FX'!$A:$A,0)),0,IF(KP$1&lt;INDEX('Valo FX'!$R:$R,MATCH($A3,'Valo FX'!$A:$A,0)),INDEX(Base!$U:$U,MATCH($A3,Base!$A:$A,0)),IF(KP$1=INDEX('Valo FX'!$R:$R,MATCH($A3,'Valo FX'!$A:$A,0)),INDEX(Base!$V:$V,MATCH($A3,Base!$A:$A,0)),0)))</f>
        <v>11.988020000000001</v>
      </c>
      <c r="KQ3" s="21">
        <f>IF(KQ$1&lt;INDEX('Valo FX'!$Q:$Q,MATCH($A3,'Valo FX'!$A:$A,0)),0,IF(KQ$1&lt;INDEX('Valo FX'!$R:$R,MATCH($A3,'Valo FX'!$A:$A,0)),INDEX(Base!$U:$U,MATCH($A3,Base!$A:$A,0)),IF(KQ$1=INDEX('Valo FX'!$R:$R,MATCH($A3,'Valo FX'!$A:$A,0)),INDEX(Base!$V:$V,MATCH($A3,Base!$A:$A,0)),0)))</f>
        <v>11.919435</v>
      </c>
      <c r="KR3" s="21">
        <f>IF(KR$1&lt;INDEX('Valo FX'!$Q:$Q,MATCH($A3,'Valo FX'!$A:$A,0)),0,IF(KR$1&lt;INDEX('Valo FX'!$R:$R,MATCH($A3,'Valo FX'!$A:$A,0)),INDEX(Base!$U:$U,MATCH($A3,Base!$A:$A,0)),IF(KR$1=INDEX('Valo FX'!$R:$R,MATCH($A3,'Valo FX'!$A:$A,0)),INDEX(Base!$V:$V,MATCH($A3,Base!$A:$A,0)),0)))</f>
        <v>0</v>
      </c>
      <c r="KS3" s="21">
        <f>IF(KS$1&lt;INDEX('Valo FX'!$Q:$Q,MATCH($A3,'Valo FX'!$A:$A,0)),0,IF(KS$1&lt;INDEX('Valo FX'!$R:$R,MATCH($A3,'Valo FX'!$A:$A,0)),INDEX(Base!$U:$U,MATCH($A3,Base!$A:$A,0)),IF(KS$1=INDEX('Valo FX'!$R:$R,MATCH($A3,'Valo FX'!$A:$A,0)),INDEX(Base!$V:$V,MATCH($A3,Base!$A:$A,0)),0)))</f>
        <v>0</v>
      </c>
      <c r="KT3" s="21">
        <f>IF(KT$1&lt;INDEX('Valo FX'!$Q:$Q,MATCH($A3,'Valo FX'!$A:$A,0)),0,IF(KT$1&lt;INDEX('Valo FX'!$R:$R,MATCH($A3,'Valo FX'!$A:$A,0)),INDEX(Base!$U:$U,MATCH($A3,Base!$A:$A,0)),IF(KT$1=INDEX('Valo FX'!$R:$R,MATCH($A3,'Valo FX'!$A:$A,0)),INDEX(Base!$V:$V,MATCH($A3,Base!$A:$A,0)),0)))</f>
        <v>0</v>
      </c>
      <c r="KU3" s="21">
        <f>IF(KU$1&lt;INDEX('Valo FX'!$Q:$Q,MATCH($A3,'Valo FX'!$A:$A,0)),0,IF(KU$1&lt;INDEX('Valo FX'!$R:$R,MATCH($A3,'Valo FX'!$A:$A,0)),INDEX(Base!$U:$U,MATCH($A3,Base!$A:$A,0)),IF(KU$1=INDEX('Valo FX'!$R:$R,MATCH($A3,'Valo FX'!$A:$A,0)),INDEX(Base!$V:$V,MATCH($A3,Base!$A:$A,0)),0)))</f>
        <v>0</v>
      </c>
      <c r="KV3" s="21">
        <f>IF(KV$1&lt;INDEX('Valo FX'!$Q:$Q,MATCH($A3,'Valo FX'!$A:$A,0)),0,IF(KV$1&lt;INDEX('Valo FX'!$R:$R,MATCH($A3,'Valo FX'!$A:$A,0)),INDEX(Base!$U:$U,MATCH($A3,Base!$A:$A,0)),IF(KV$1=INDEX('Valo FX'!$R:$R,MATCH($A3,'Valo FX'!$A:$A,0)),INDEX(Base!$V:$V,MATCH($A3,Base!$A:$A,0)),0)))</f>
        <v>0</v>
      </c>
      <c r="KW3" s="21">
        <f>IF(KW$1&lt;INDEX('Valo FX'!$Q:$Q,MATCH($A3,'Valo FX'!$A:$A,0)),0,IF(KW$1&lt;INDEX('Valo FX'!$R:$R,MATCH($A3,'Valo FX'!$A:$A,0)),INDEX(Base!$U:$U,MATCH($A3,Base!$A:$A,0)),IF(KW$1=INDEX('Valo FX'!$R:$R,MATCH($A3,'Valo FX'!$A:$A,0)),INDEX(Base!$V:$V,MATCH($A3,Base!$A:$A,0)),0)))</f>
        <v>0</v>
      </c>
      <c r="KX3" s="21">
        <f>IF(KX$1&lt;INDEX('Valo FX'!$Q:$Q,MATCH($A3,'Valo FX'!$A:$A,0)),0,IF(KX$1&lt;INDEX('Valo FX'!$R:$R,MATCH($A3,'Valo FX'!$A:$A,0)),INDEX(Base!$U:$U,MATCH($A3,Base!$A:$A,0)),IF(KX$1=INDEX('Valo FX'!$R:$R,MATCH($A3,'Valo FX'!$A:$A,0)),INDEX(Base!$V:$V,MATCH($A3,Base!$A:$A,0)),0)))</f>
        <v>0</v>
      </c>
      <c r="KY3" s="21">
        <f>IF(KY$1&lt;INDEX('Valo FX'!$Q:$Q,MATCH($A3,'Valo FX'!$A:$A,0)),0,IF(KY$1&lt;INDEX('Valo FX'!$R:$R,MATCH($A3,'Valo FX'!$A:$A,0)),INDEX(Base!$U:$U,MATCH($A3,Base!$A:$A,0)),IF(KY$1=INDEX('Valo FX'!$R:$R,MATCH($A3,'Valo FX'!$A:$A,0)),INDEX(Base!$V:$V,MATCH($A3,Base!$A:$A,0)),0)))</f>
        <v>0</v>
      </c>
      <c r="KZ3" s="21">
        <f>IF(KZ$1&lt;INDEX('Valo FX'!$Q:$Q,MATCH($A3,'Valo FX'!$A:$A,0)),0,IF(KZ$1&lt;INDEX('Valo FX'!$R:$R,MATCH($A3,'Valo FX'!$A:$A,0)),INDEX(Base!$U:$U,MATCH($A3,Base!$A:$A,0)),IF(KZ$1=INDEX('Valo FX'!$R:$R,MATCH($A3,'Valo FX'!$A:$A,0)),INDEX(Base!$V:$V,MATCH($A3,Base!$A:$A,0)),0)))</f>
        <v>0</v>
      </c>
      <c r="LA3" s="21">
        <f>IF(LA$1&lt;INDEX('Valo FX'!$Q:$Q,MATCH($A3,'Valo FX'!$A:$A,0)),0,IF(LA$1&lt;INDEX('Valo FX'!$R:$R,MATCH($A3,'Valo FX'!$A:$A,0)),INDEX(Base!$U:$U,MATCH($A3,Base!$A:$A,0)),IF(LA$1=INDEX('Valo FX'!$R:$R,MATCH($A3,'Valo FX'!$A:$A,0)),INDEX(Base!$V:$V,MATCH($A3,Base!$A:$A,0)),0)))</f>
        <v>0</v>
      </c>
      <c r="LB3" s="21">
        <f>IF(LB$1&lt;INDEX('Valo FX'!$Q:$Q,MATCH($A3,'Valo FX'!$A:$A,0)),0,IF(LB$1&lt;INDEX('Valo FX'!$R:$R,MATCH($A3,'Valo FX'!$A:$A,0)),INDEX(Base!$U:$U,MATCH($A3,Base!$A:$A,0)),IF(LB$1=INDEX('Valo FX'!$R:$R,MATCH($A3,'Valo FX'!$A:$A,0)),INDEX(Base!$V:$V,MATCH($A3,Base!$A:$A,0)),0)))</f>
        <v>0</v>
      </c>
      <c r="LC3" s="21">
        <f>IF(LC$1&lt;INDEX('Valo FX'!$Q:$Q,MATCH($A3,'Valo FX'!$A:$A,0)),0,IF(LC$1&lt;INDEX('Valo FX'!$R:$R,MATCH($A3,'Valo FX'!$A:$A,0)),INDEX(Base!$U:$U,MATCH($A3,Base!$A:$A,0)),IF(LC$1=INDEX('Valo FX'!$R:$R,MATCH($A3,'Valo FX'!$A:$A,0)),INDEX(Base!$V:$V,MATCH($A3,Base!$A:$A,0)),0)))</f>
        <v>0</v>
      </c>
      <c r="LD3" s="21">
        <f>IF(LD$1&lt;INDEX('Valo FX'!$Q:$Q,MATCH($A3,'Valo FX'!$A:$A,0)),0,IF(LD$1&lt;INDEX('Valo FX'!$R:$R,MATCH($A3,'Valo FX'!$A:$A,0)),INDEX(Base!$U:$U,MATCH($A3,Base!$A:$A,0)),IF(LD$1=INDEX('Valo FX'!$R:$R,MATCH($A3,'Valo FX'!$A:$A,0)),INDEX(Base!$V:$V,MATCH($A3,Base!$A:$A,0)),0)))</f>
        <v>0</v>
      </c>
      <c r="LE3" s="21">
        <f>IF(LE$1&lt;INDEX('Valo FX'!$Q:$Q,MATCH($A3,'Valo FX'!$A:$A,0)),0,IF(LE$1&lt;INDEX('Valo FX'!$R:$R,MATCH($A3,'Valo FX'!$A:$A,0)),INDEX(Base!$U:$U,MATCH($A3,Base!$A:$A,0)),IF(LE$1=INDEX('Valo FX'!$R:$R,MATCH($A3,'Valo FX'!$A:$A,0)),INDEX(Base!$V:$V,MATCH($A3,Base!$A:$A,0)),0)))</f>
        <v>0</v>
      </c>
      <c r="LF3" s="21">
        <f>IF(LF$1&lt;INDEX('Valo FX'!$Q:$Q,MATCH($A3,'Valo FX'!$A:$A,0)),0,IF(LF$1&lt;INDEX('Valo FX'!$R:$R,MATCH($A3,'Valo FX'!$A:$A,0)),INDEX(Base!$U:$U,MATCH($A3,Base!$A:$A,0)),IF(LF$1=INDEX('Valo FX'!$R:$R,MATCH($A3,'Valo FX'!$A:$A,0)),INDEX(Base!$V:$V,MATCH($A3,Base!$A:$A,0)),0)))</f>
        <v>0</v>
      </c>
      <c r="LG3" s="21">
        <f>IF(LG$1&lt;INDEX('Valo FX'!$Q:$Q,MATCH($A3,'Valo FX'!$A:$A,0)),0,IF(LG$1&lt;INDEX('Valo FX'!$R:$R,MATCH($A3,'Valo FX'!$A:$A,0)),INDEX(Base!$U:$U,MATCH($A3,Base!$A:$A,0)),IF(LG$1=INDEX('Valo FX'!$R:$R,MATCH($A3,'Valo FX'!$A:$A,0)),INDEX(Base!$V:$V,MATCH($A3,Base!$A:$A,0)),0)))</f>
        <v>0</v>
      </c>
      <c r="LH3" s="21">
        <f>IF(LH$1&lt;INDEX('Valo FX'!$Q:$Q,MATCH($A3,'Valo FX'!$A:$A,0)),0,IF(LH$1&lt;INDEX('Valo FX'!$R:$R,MATCH($A3,'Valo FX'!$A:$A,0)),INDEX(Base!$U:$U,MATCH($A3,Base!$A:$A,0)),IF(LH$1=INDEX('Valo FX'!$R:$R,MATCH($A3,'Valo FX'!$A:$A,0)),INDEX(Base!$V:$V,MATCH($A3,Base!$A:$A,0)),0)))</f>
        <v>0</v>
      </c>
      <c r="LI3" s="21">
        <f>IF(LI$1&lt;INDEX('Valo FX'!$Q:$Q,MATCH($A3,'Valo FX'!$A:$A,0)),0,IF(LI$1&lt;INDEX('Valo FX'!$R:$R,MATCH($A3,'Valo FX'!$A:$A,0)),INDEX(Base!$U:$U,MATCH($A3,Base!$A:$A,0)),IF(LI$1=INDEX('Valo FX'!$R:$R,MATCH($A3,'Valo FX'!$A:$A,0)),INDEX(Base!$V:$V,MATCH($A3,Base!$A:$A,0)),0)))</f>
        <v>0</v>
      </c>
      <c r="LJ3" s="21">
        <f>IF(LJ$1&lt;INDEX('Valo FX'!$Q:$Q,MATCH($A3,'Valo FX'!$A:$A,0)),0,IF(LJ$1&lt;INDEX('Valo FX'!$R:$R,MATCH($A3,'Valo FX'!$A:$A,0)),INDEX(Base!$U:$U,MATCH($A3,Base!$A:$A,0)),IF(LJ$1=INDEX('Valo FX'!$R:$R,MATCH($A3,'Valo FX'!$A:$A,0)),INDEX(Base!$V:$V,MATCH($A3,Base!$A:$A,0)),0)))</f>
        <v>0</v>
      </c>
      <c r="LK3" s="21">
        <f>IF(LK$1&lt;INDEX('Valo FX'!$Q:$Q,MATCH($A3,'Valo FX'!$A:$A,0)),0,IF(LK$1&lt;INDEX('Valo FX'!$R:$R,MATCH($A3,'Valo FX'!$A:$A,0)),INDEX(Base!$U:$U,MATCH($A3,Base!$A:$A,0)),IF(LK$1=INDEX('Valo FX'!$R:$R,MATCH($A3,'Valo FX'!$A:$A,0)),INDEX(Base!$V:$V,MATCH($A3,Base!$A:$A,0)),0)))</f>
        <v>0</v>
      </c>
      <c r="LL3" s="21">
        <f>IF(LL$1&lt;INDEX('Valo FX'!$Q:$Q,MATCH($A3,'Valo FX'!$A:$A,0)),0,IF(LL$1&lt;INDEX('Valo FX'!$R:$R,MATCH($A3,'Valo FX'!$A:$A,0)),INDEX(Base!$U:$U,MATCH($A3,Base!$A:$A,0)),IF(LL$1=INDEX('Valo FX'!$R:$R,MATCH($A3,'Valo FX'!$A:$A,0)),INDEX(Base!$V:$V,MATCH($A3,Base!$A:$A,0)),0)))</f>
        <v>0</v>
      </c>
      <c r="LM3" s="21">
        <f>IF(LM$1&lt;INDEX('Valo FX'!$Q:$Q,MATCH($A3,'Valo FX'!$A:$A,0)),0,IF(LM$1&lt;INDEX('Valo FX'!$R:$R,MATCH($A3,'Valo FX'!$A:$A,0)),INDEX(Base!$U:$U,MATCH($A3,Base!$A:$A,0)),IF(LM$1=INDEX('Valo FX'!$R:$R,MATCH($A3,'Valo FX'!$A:$A,0)),INDEX(Base!$V:$V,MATCH($A3,Base!$A:$A,0)),0)))</f>
        <v>0</v>
      </c>
      <c r="LN3" s="21">
        <f>IF(LN$1&lt;INDEX('Valo FX'!$Q:$Q,MATCH($A3,'Valo FX'!$A:$A,0)),0,IF(LN$1&lt;INDEX('Valo FX'!$R:$R,MATCH($A3,'Valo FX'!$A:$A,0)),INDEX(Base!$U:$U,MATCH($A3,Base!$A:$A,0)),IF(LN$1=INDEX('Valo FX'!$R:$R,MATCH($A3,'Valo FX'!$A:$A,0)),INDEX(Base!$V:$V,MATCH($A3,Base!$A:$A,0)),0)))</f>
        <v>0</v>
      </c>
      <c r="LO3" s="21">
        <f>IF(LO$1&lt;INDEX('Valo FX'!$Q:$Q,MATCH($A3,'Valo FX'!$A:$A,0)),0,IF(LO$1&lt;INDEX('Valo FX'!$R:$R,MATCH($A3,'Valo FX'!$A:$A,0)),INDEX(Base!$U:$U,MATCH($A3,Base!$A:$A,0)),IF(LO$1=INDEX('Valo FX'!$R:$R,MATCH($A3,'Valo FX'!$A:$A,0)),INDEX(Base!$V:$V,MATCH($A3,Base!$A:$A,0)),0)))</f>
        <v>0</v>
      </c>
      <c r="LP3" s="21">
        <f>IF(LP$1&lt;INDEX('Valo FX'!$Q:$Q,MATCH($A3,'Valo FX'!$A:$A,0)),0,IF(LP$1&lt;INDEX('Valo FX'!$R:$R,MATCH($A3,'Valo FX'!$A:$A,0)),INDEX(Base!$U:$U,MATCH($A3,Base!$A:$A,0)),IF(LP$1=INDEX('Valo FX'!$R:$R,MATCH($A3,'Valo FX'!$A:$A,0)),INDEX(Base!$V:$V,MATCH($A3,Base!$A:$A,0)),0)))</f>
        <v>0</v>
      </c>
      <c r="LQ3" s="21">
        <f>IF(LQ$1&lt;INDEX('Valo FX'!$Q:$Q,MATCH($A3,'Valo FX'!$A:$A,0)),0,IF(LQ$1&lt;INDEX('Valo FX'!$R:$R,MATCH($A3,'Valo FX'!$A:$A,0)),INDEX(Base!$U:$U,MATCH($A3,Base!$A:$A,0)),IF(LQ$1=INDEX('Valo FX'!$R:$R,MATCH($A3,'Valo FX'!$A:$A,0)),INDEX(Base!$V:$V,MATCH($A3,Base!$A:$A,0)),0)))</f>
        <v>0</v>
      </c>
      <c r="LR3" s="21">
        <f>IF(LR$1&lt;INDEX('Valo FX'!$Q:$Q,MATCH($A3,'Valo FX'!$A:$A,0)),0,IF(LR$1&lt;INDEX('Valo FX'!$R:$R,MATCH($A3,'Valo FX'!$A:$A,0)),INDEX(Base!$U:$U,MATCH($A3,Base!$A:$A,0)),IF(LR$1=INDEX('Valo FX'!$R:$R,MATCH($A3,'Valo FX'!$A:$A,0)),INDEX(Base!$V:$V,MATCH($A3,Base!$A:$A,0)),0)))</f>
        <v>0</v>
      </c>
      <c r="LS3" s="21">
        <f>IF(LS$1&lt;INDEX('Valo FX'!$Q:$Q,MATCH($A3,'Valo FX'!$A:$A,0)),0,IF(LS$1&lt;INDEX('Valo FX'!$R:$R,MATCH($A3,'Valo FX'!$A:$A,0)),INDEX(Base!$U:$U,MATCH($A3,Base!$A:$A,0)),IF(LS$1=INDEX('Valo FX'!$R:$R,MATCH($A3,'Valo FX'!$A:$A,0)),INDEX(Base!$V:$V,MATCH($A3,Base!$A:$A,0)),0)))</f>
        <v>0</v>
      </c>
      <c r="LT3" s="21">
        <f>IF(LT$1&lt;INDEX('Valo FX'!$Q:$Q,MATCH($A3,'Valo FX'!$A:$A,0)),0,IF(LT$1&lt;INDEX('Valo FX'!$R:$R,MATCH($A3,'Valo FX'!$A:$A,0)),INDEX(Base!$U:$U,MATCH($A3,Base!$A:$A,0)),IF(LT$1=INDEX('Valo FX'!$R:$R,MATCH($A3,'Valo FX'!$A:$A,0)),INDEX(Base!$V:$V,MATCH($A3,Base!$A:$A,0)),0)))</f>
        <v>0</v>
      </c>
      <c r="LU3" s="21">
        <f>IF(LU$1&lt;INDEX('Valo FX'!$Q:$Q,MATCH($A3,'Valo FX'!$A:$A,0)),0,IF(LU$1&lt;INDEX('Valo FX'!$R:$R,MATCH($A3,'Valo FX'!$A:$A,0)),INDEX(Base!$U:$U,MATCH($A3,Base!$A:$A,0)),IF(LU$1=INDEX('Valo FX'!$R:$R,MATCH($A3,'Valo FX'!$A:$A,0)),INDEX(Base!$V:$V,MATCH($A3,Base!$A:$A,0)),0)))</f>
        <v>0</v>
      </c>
      <c r="LV3" s="21">
        <f>IF(LV$1&lt;INDEX('Valo FX'!$Q:$Q,MATCH($A3,'Valo FX'!$A:$A,0)),0,IF(LV$1&lt;INDEX('Valo FX'!$R:$R,MATCH($A3,'Valo FX'!$A:$A,0)),INDEX(Base!$U:$U,MATCH($A3,Base!$A:$A,0)),IF(LV$1=INDEX('Valo FX'!$R:$R,MATCH($A3,'Valo FX'!$A:$A,0)),INDEX(Base!$V:$V,MATCH($A3,Base!$A:$A,0)),0)))</f>
        <v>0</v>
      </c>
      <c r="LW3" s="21">
        <f>IF(LW$1&lt;INDEX('Valo FX'!$Q:$Q,MATCH($A3,'Valo FX'!$A:$A,0)),0,IF(LW$1&lt;INDEX('Valo FX'!$R:$R,MATCH($A3,'Valo FX'!$A:$A,0)),INDEX(Base!$U:$U,MATCH($A3,Base!$A:$A,0)),IF(LW$1=INDEX('Valo FX'!$R:$R,MATCH($A3,'Valo FX'!$A:$A,0)),INDEX(Base!$V:$V,MATCH($A3,Base!$A:$A,0)),0)))</f>
        <v>0</v>
      </c>
      <c r="LX3" s="21">
        <f>IF(LX$1&lt;INDEX('Valo FX'!$Q:$Q,MATCH($A3,'Valo FX'!$A:$A,0)),0,IF(LX$1&lt;INDEX('Valo FX'!$R:$R,MATCH($A3,'Valo FX'!$A:$A,0)),INDEX(Base!$U:$U,MATCH($A3,Base!$A:$A,0)),IF(LX$1=INDEX('Valo FX'!$R:$R,MATCH($A3,'Valo FX'!$A:$A,0)),INDEX(Base!$V:$V,MATCH($A3,Base!$A:$A,0)),0)))</f>
        <v>0</v>
      </c>
      <c r="LY3" s="21">
        <f>IF(LY$1&lt;INDEX('Valo FX'!$Q:$Q,MATCH($A3,'Valo FX'!$A:$A,0)),0,IF(LY$1&lt;INDEX('Valo FX'!$R:$R,MATCH($A3,'Valo FX'!$A:$A,0)),INDEX(Base!$U:$U,MATCH($A3,Base!$A:$A,0)),IF(LY$1=INDEX('Valo FX'!$R:$R,MATCH($A3,'Valo FX'!$A:$A,0)),INDEX(Base!$V:$V,MATCH($A3,Base!$A:$A,0)),0)))</f>
        <v>0</v>
      </c>
      <c r="LZ3" s="21">
        <f>IF(LZ$1&lt;INDEX('Valo FX'!$Q:$Q,MATCH($A3,'Valo FX'!$A:$A,0)),0,IF(LZ$1&lt;INDEX('Valo FX'!$R:$R,MATCH($A3,'Valo FX'!$A:$A,0)),INDEX(Base!$U:$U,MATCH($A3,Base!$A:$A,0)),IF(LZ$1=INDEX('Valo FX'!$R:$R,MATCH($A3,'Valo FX'!$A:$A,0)),INDEX(Base!$V:$V,MATCH($A3,Base!$A:$A,0)),0)))</f>
        <v>0</v>
      </c>
      <c r="MA3" s="21">
        <f>IF(MA$1&lt;INDEX('Valo FX'!$Q:$Q,MATCH($A3,'Valo FX'!$A:$A,0)),0,IF(MA$1&lt;INDEX('Valo FX'!$R:$R,MATCH($A3,'Valo FX'!$A:$A,0)),INDEX(Base!$U:$U,MATCH($A3,Base!$A:$A,0)),IF(MA$1=INDEX('Valo FX'!$R:$R,MATCH($A3,'Valo FX'!$A:$A,0)),INDEX(Base!$V:$V,MATCH($A3,Base!$A:$A,0)),0)))</f>
        <v>0</v>
      </c>
      <c r="MB3" s="21">
        <f>IF(MB$1&lt;INDEX('Valo FX'!$Q:$Q,MATCH($A3,'Valo FX'!$A:$A,0)),0,IF(MB$1&lt;INDEX('Valo FX'!$R:$R,MATCH($A3,'Valo FX'!$A:$A,0)),INDEX(Base!$U:$U,MATCH($A3,Base!$A:$A,0)),IF(MB$1=INDEX('Valo FX'!$R:$R,MATCH($A3,'Valo FX'!$A:$A,0)),INDEX(Base!$V:$V,MATCH($A3,Base!$A:$A,0)),0)))</f>
        <v>0</v>
      </c>
      <c r="MC3" s="21">
        <f>IF(MC$1&lt;INDEX('Valo FX'!$Q:$Q,MATCH($A3,'Valo FX'!$A:$A,0)),0,IF(MC$1&lt;INDEX('Valo FX'!$R:$R,MATCH($A3,'Valo FX'!$A:$A,0)),INDEX(Base!$U:$U,MATCH($A3,Base!$A:$A,0)),IF(MC$1=INDEX('Valo FX'!$R:$R,MATCH($A3,'Valo FX'!$A:$A,0)),INDEX(Base!$V:$V,MATCH($A3,Base!$A:$A,0)),0)))</f>
        <v>0</v>
      </c>
      <c r="MD3" s="21">
        <f>IF(MD$1&lt;INDEX('Valo FX'!$Q:$Q,MATCH($A3,'Valo FX'!$A:$A,0)),0,IF(MD$1&lt;INDEX('Valo FX'!$R:$R,MATCH($A3,'Valo FX'!$A:$A,0)),INDEX(Base!$U:$U,MATCH($A3,Base!$A:$A,0)),IF(MD$1=INDEX('Valo FX'!$R:$R,MATCH($A3,'Valo FX'!$A:$A,0)),INDEX(Base!$V:$V,MATCH($A3,Base!$A:$A,0)),0)))</f>
        <v>0</v>
      </c>
      <c r="ME3" s="21">
        <f>IF(ME$1&lt;INDEX('Valo FX'!$Q:$Q,MATCH($A3,'Valo FX'!$A:$A,0)),0,IF(ME$1&lt;INDEX('Valo FX'!$R:$R,MATCH($A3,'Valo FX'!$A:$A,0)),INDEX(Base!$U:$U,MATCH($A3,Base!$A:$A,0)),IF(ME$1=INDEX('Valo FX'!$R:$R,MATCH($A3,'Valo FX'!$A:$A,0)),INDEX(Base!$V:$V,MATCH($A3,Base!$A:$A,0)),0)))</f>
        <v>0</v>
      </c>
      <c r="MF3" s="21">
        <f>IF(MF$1&lt;INDEX('Valo FX'!$Q:$Q,MATCH($A3,'Valo FX'!$A:$A,0)),0,IF(MF$1&lt;INDEX('Valo FX'!$R:$R,MATCH($A3,'Valo FX'!$A:$A,0)),INDEX(Base!$U:$U,MATCH($A3,Base!$A:$A,0)),IF(MF$1=INDEX('Valo FX'!$R:$R,MATCH($A3,'Valo FX'!$A:$A,0)),INDEX(Base!$V:$V,MATCH($A3,Base!$A:$A,0)),0)))</f>
        <v>0</v>
      </c>
      <c r="MG3" s="21">
        <f>IF(MG$1&lt;INDEX('Valo FX'!$Q:$Q,MATCH($A3,'Valo FX'!$A:$A,0)),0,IF(MG$1&lt;INDEX('Valo FX'!$R:$R,MATCH($A3,'Valo FX'!$A:$A,0)),INDEX(Base!$U:$U,MATCH($A3,Base!$A:$A,0)),IF(MG$1=INDEX('Valo FX'!$R:$R,MATCH($A3,'Valo FX'!$A:$A,0)),INDEX(Base!$V:$V,MATCH($A3,Base!$A:$A,0)),0)))</f>
        <v>0</v>
      </c>
      <c r="MH3" s="21">
        <f>IF(MH$1&lt;INDEX('Valo FX'!$Q:$Q,MATCH($A3,'Valo FX'!$A:$A,0)),0,IF(MH$1&lt;INDEX('Valo FX'!$R:$R,MATCH($A3,'Valo FX'!$A:$A,0)),INDEX(Base!$U:$U,MATCH($A3,Base!$A:$A,0)),IF(MH$1=INDEX('Valo FX'!$R:$R,MATCH($A3,'Valo FX'!$A:$A,0)),INDEX(Base!$V:$V,MATCH($A3,Base!$A:$A,0)),0)))</f>
        <v>0</v>
      </c>
      <c r="MI3" s="21">
        <f>IF(MI$1&lt;INDEX('Valo FX'!$Q:$Q,MATCH($A3,'Valo FX'!$A:$A,0)),0,IF(MI$1&lt;INDEX('Valo FX'!$R:$R,MATCH($A3,'Valo FX'!$A:$A,0)),INDEX(Base!$U:$U,MATCH($A3,Base!$A:$A,0)),IF(MI$1=INDEX('Valo FX'!$R:$R,MATCH($A3,'Valo FX'!$A:$A,0)),INDEX(Base!$V:$V,MATCH($A3,Base!$A:$A,0)),0)))</f>
        <v>0</v>
      </c>
      <c r="MJ3" s="21">
        <f>IF(MJ$1&lt;INDEX('Valo FX'!$Q:$Q,MATCH($A3,'Valo FX'!$A:$A,0)),0,IF(MJ$1&lt;INDEX('Valo FX'!$R:$R,MATCH($A3,'Valo FX'!$A:$A,0)),INDEX(Base!$U:$U,MATCH($A3,Base!$A:$A,0)),IF(MJ$1=INDEX('Valo FX'!$R:$R,MATCH($A3,'Valo FX'!$A:$A,0)),INDEX(Base!$V:$V,MATCH($A3,Base!$A:$A,0)),0)))</f>
        <v>0</v>
      </c>
      <c r="MK3" s="21">
        <f>IF(MK$1&lt;INDEX('Valo FX'!$Q:$Q,MATCH($A3,'Valo FX'!$A:$A,0)),0,IF(MK$1&lt;INDEX('Valo FX'!$R:$R,MATCH($A3,'Valo FX'!$A:$A,0)),INDEX(Base!$U:$U,MATCH($A3,Base!$A:$A,0)),IF(MK$1=INDEX('Valo FX'!$R:$R,MATCH($A3,'Valo FX'!$A:$A,0)),INDEX(Base!$V:$V,MATCH($A3,Base!$A:$A,0)),0)))</f>
        <v>0</v>
      </c>
      <c r="ML3" s="21">
        <f>IF(ML$1&lt;INDEX('Valo FX'!$Q:$Q,MATCH($A3,'Valo FX'!$A:$A,0)),0,IF(ML$1&lt;INDEX('Valo FX'!$R:$R,MATCH($A3,'Valo FX'!$A:$A,0)),INDEX(Base!$U:$U,MATCH($A3,Base!$A:$A,0)),IF(ML$1=INDEX('Valo FX'!$R:$R,MATCH($A3,'Valo FX'!$A:$A,0)),INDEX(Base!$V:$V,MATCH($A3,Base!$A:$A,0)),0)))</f>
        <v>0</v>
      </c>
      <c r="MM3" s="21">
        <f>IF(MM$1&lt;INDEX('Valo FX'!$Q:$Q,MATCH($A3,'Valo FX'!$A:$A,0)),0,IF(MM$1&lt;INDEX('Valo FX'!$R:$R,MATCH($A3,'Valo FX'!$A:$A,0)),INDEX(Base!$U:$U,MATCH($A3,Base!$A:$A,0)),IF(MM$1=INDEX('Valo FX'!$R:$R,MATCH($A3,'Valo FX'!$A:$A,0)),INDEX(Base!$V:$V,MATCH($A3,Base!$A:$A,0)),0)))</f>
        <v>0</v>
      </c>
      <c r="MN3" s="21">
        <f>IF(MN$1&lt;INDEX('Valo FX'!$Q:$Q,MATCH($A3,'Valo FX'!$A:$A,0)),0,IF(MN$1&lt;INDEX('Valo FX'!$R:$R,MATCH($A3,'Valo FX'!$A:$A,0)),INDEX(Base!$U:$U,MATCH($A3,Base!$A:$A,0)),IF(MN$1=INDEX('Valo FX'!$R:$R,MATCH($A3,'Valo FX'!$A:$A,0)),INDEX(Base!$V:$V,MATCH($A3,Base!$A:$A,0)),0)))</f>
        <v>0</v>
      </c>
      <c r="MO3" s="21">
        <f>IF(MO$1&lt;INDEX('Valo FX'!$Q:$Q,MATCH($A3,'Valo FX'!$A:$A,0)),0,IF(MO$1&lt;INDEX('Valo FX'!$R:$R,MATCH($A3,'Valo FX'!$A:$A,0)),INDEX(Base!$U:$U,MATCH($A3,Base!$A:$A,0)),IF(MO$1=INDEX('Valo FX'!$R:$R,MATCH($A3,'Valo FX'!$A:$A,0)),INDEX(Base!$V:$V,MATCH($A3,Base!$A:$A,0)),0)))</f>
        <v>0</v>
      </c>
      <c r="MP3" s="21">
        <f>IF(MP$1&lt;INDEX('Valo FX'!$Q:$Q,MATCH($A3,'Valo FX'!$A:$A,0)),0,IF(MP$1&lt;INDEX('Valo FX'!$R:$R,MATCH($A3,'Valo FX'!$A:$A,0)),INDEX(Base!$U:$U,MATCH($A3,Base!$A:$A,0)),IF(MP$1=INDEX('Valo FX'!$R:$R,MATCH($A3,'Valo FX'!$A:$A,0)),INDEX(Base!$V:$V,MATCH($A3,Base!$A:$A,0)),0)))</f>
        <v>0</v>
      </c>
      <c r="MQ3" s="21">
        <f>IF(MQ$1&lt;INDEX('Valo FX'!$Q:$Q,MATCH($A3,'Valo FX'!$A:$A,0)),0,IF(MQ$1&lt;INDEX('Valo FX'!$R:$R,MATCH($A3,'Valo FX'!$A:$A,0)),INDEX(Base!$U:$U,MATCH($A3,Base!$A:$A,0)),IF(MQ$1=INDEX('Valo FX'!$R:$R,MATCH($A3,'Valo FX'!$A:$A,0)),INDEX(Base!$V:$V,MATCH($A3,Base!$A:$A,0)),0)))</f>
        <v>0</v>
      </c>
      <c r="MR3" s="21">
        <f>IF(MR$1&lt;INDEX('Valo FX'!$Q:$Q,MATCH($A3,'Valo FX'!$A:$A,0)),0,IF(MR$1&lt;INDEX('Valo FX'!$R:$R,MATCH($A3,'Valo FX'!$A:$A,0)),INDEX(Base!$U:$U,MATCH($A3,Base!$A:$A,0)),IF(MR$1=INDEX('Valo FX'!$R:$R,MATCH($A3,'Valo FX'!$A:$A,0)),INDEX(Base!$V:$V,MATCH($A3,Base!$A:$A,0)),0)))</f>
        <v>0</v>
      </c>
      <c r="MS3" s="21">
        <f>IF(MS$1&lt;INDEX('Valo FX'!$Q:$Q,MATCH($A3,'Valo FX'!$A:$A,0)),0,IF(MS$1&lt;INDEX('Valo FX'!$R:$R,MATCH($A3,'Valo FX'!$A:$A,0)),INDEX(Base!$U:$U,MATCH($A3,Base!$A:$A,0)),IF(MS$1=INDEX('Valo FX'!$R:$R,MATCH($A3,'Valo FX'!$A:$A,0)),INDEX(Base!$V:$V,MATCH($A3,Base!$A:$A,0)),0)))</f>
        <v>0</v>
      </c>
      <c r="MT3" s="21">
        <f>IF(MT$1&lt;INDEX('Valo FX'!$Q:$Q,MATCH($A3,'Valo FX'!$A:$A,0)),0,IF(MT$1&lt;INDEX('Valo FX'!$R:$R,MATCH($A3,'Valo FX'!$A:$A,0)),INDEX(Base!$U:$U,MATCH($A3,Base!$A:$A,0)),IF(MT$1=INDEX('Valo FX'!$R:$R,MATCH($A3,'Valo FX'!$A:$A,0)),INDEX(Base!$V:$V,MATCH($A3,Base!$A:$A,0)),0)))</f>
        <v>0</v>
      </c>
      <c r="MU3" s="21">
        <f>IF(MU$1&lt;INDEX('Valo FX'!$Q:$Q,MATCH($A3,'Valo FX'!$A:$A,0)),0,IF(MU$1&lt;INDEX('Valo FX'!$R:$R,MATCH($A3,'Valo FX'!$A:$A,0)),INDEX(Base!$U:$U,MATCH($A3,Base!$A:$A,0)),IF(MU$1=INDEX('Valo FX'!$R:$R,MATCH($A3,'Valo FX'!$A:$A,0)),INDEX(Base!$V:$V,MATCH($A3,Base!$A:$A,0)),0)))</f>
        <v>0</v>
      </c>
      <c r="MV3" s="21">
        <f>IF(MV$1&lt;INDEX('Valo FX'!$Q:$Q,MATCH($A3,'Valo FX'!$A:$A,0)),0,IF(MV$1&lt;INDEX('Valo FX'!$R:$R,MATCH($A3,'Valo FX'!$A:$A,0)),INDEX(Base!$U:$U,MATCH($A3,Base!$A:$A,0)),IF(MV$1=INDEX('Valo FX'!$R:$R,MATCH($A3,'Valo FX'!$A:$A,0)),INDEX(Base!$V:$V,MATCH($A3,Base!$A:$A,0)),0)))</f>
        <v>0</v>
      </c>
      <c r="MW3" s="21">
        <f>IF(MW$1&lt;INDEX('Valo FX'!$Q:$Q,MATCH($A3,'Valo FX'!$A:$A,0)),0,IF(MW$1&lt;INDEX('Valo FX'!$R:$R,MATCH($A3,'Valo FX'!$A:$A,0)),INDEX(Base!$U:$U,MATCH($A3,Base!$A:$A,0)),IF(MW$1=INDEX('Valo FX'!$R:$R,MATCH($A3,'Valo FX'!$A:$A,0)),INDEX(Base!$V:$V,MATCH($A3,Base!$A:$A,0)),0)))</f>
        <v>0</v>
      </c>
      <c r="MX3" s="21">
        <f>IF(MX$1&lt;INDEX('Valo FX'!$Q:$Q,MATCH($A3,'Valo FX'!$A:$A,0)),0,IF(MX$1&lt;INDEX('Valo FX'!$R:$R,MATCH($A3,'Valo FX'!$A:$A,0)),INDEX(Base!$U:$U,MATCH($A3,Base!$A:$A,0)),IF(MX$1=INDEX('Valo FX'!$R:$R,MATCH($A3,'Valo FX'!$A:$A,0)),INDEX(Base!$V:$V,MATCH($A3,Base!$A:$A,0)),0)))</f>
        <v>0</v>
      </c>
      <c r="MY3" s="21">
        <f>IF(MY$1&lt;INDEX('Valo FX'!$Q:$Q,MATCH($A3,'Valo FX'!$A:$A,0)),0,IF(MY$1&lt;INDEX('Valo FX'!$R:$R,MATCH($A3,'Valo FX'!$A:$A,0)),INDEX(Base!$U:$U,MATCH($A3,Base!$A:$A,0)),IF(MY$1=INDEX('Valo FX'!$R:$R,MATCH($A3,'Valo FX'!$A:$A,0)),INDEX(Base!$V:$V,MATCH($A3,Base!$A:$A,0)),0)))</f>
        <v>0</v>
      </c>
    </row>
    <row r="4" spans="1:363" x14ac:dyDescent="0.2">
      <c r="A4" s="7">
        <f>+'Valo FX'!A5</f>
        <v>2</v>
      </c>
      <c r="B4" s="58">
        <f>-'Valo FX'!T5</f>
        <v>-1539.1183916971243</v>
      </c>
      <c r="C4" s="21">
        <f>IF(C$1&lt;INDEX('Valo FX'!$Q:$Q,MATCH($A4,'Valo FX'!$A:$A,0)),0,IF(C$1&lt;INDEX('Valo FX'!$R:$R,MATCH($A4,'Valo FX'!$A:$A,0)),INDEX(Base!$U:$U,MATCH($A4,Base!$A:$A,0)),IF(C$1=INDEX('Valo FX'!$R:$R,MATCH($A4,'Valo FX'!$A:$A,0)),INDEX(Base!$V:$V,MATCH($A4,Base!$A:$A,0)),0)))</f>
        <v>0</v>
      </c>
      <c r="D4" s="21">
        <f>IF(D$1&lt;INDEX('Valo FX'!$Q:$Q,MATCH($A4,'Valo FX'!$A:$A,0)),0,IF(D$1&lt;INDEX('Valo FX'!$R:$R,MATCH($A4,'Valo FX'!$A:$A,0)),INDEX(Base!$U:$U,MATCH($A4,Base!$A:$A,0)),IF(D$1=INDEX('Valo FX'!$R:$R,MATCH($A4,'Valo FX'!$A:$A,0)),INDEX(Base!$V:$V,MATCH($A4,Base!$A:$A,0)),0)))</f>
        <v>0</v>
      </c>
      <c r="E4" s="21">
        <f>IF(E$1&lt;INDEX('Valo FX'!$Q:$Q,MATCH($A4,'Valo FX'!$A:$A,0)),0,IF(E$1&lt;INDEX('Valo FX'!$R:$R,MATCH($A4,'Valo FX'!$A:$A,0)),INDEX(Base!$U:$U,MATCH($A4,Base!$A:$A,0)),IF(E$1=INDEX('Valo FX'!$R:$R,MATCH($A4,'Valo FX'!$A:$A,0)),INDEX(Base!$V:$V,MATCH($A4,Base!$A:$A,0)),0)))</f>
        <v>0</v>
      </c>
      <c r="F4" s="21">
        <f>IF(F$1&lt;INDEX('Valo FX'!$Q:$Q,MATCH($A4,'Valo FX'!$A:$A,0)),0,IF(F$1&lt;INDEX('Valo FX'!$R:$R,MATCH($A4,'Valo FX'!$A:$A,0)),INDEX(Base!$U:$U,MATCH($A4,Base!$A:$A,0)),IF(F$1=INDEX('Valo FX'!$R:$R,MATCH($A4,'Valo FX'!$A:$A,0)),INDEX(Base!$V:$V,MATCH($A4,Base!$A:$A,0)),0)))</f>
        <v>0</v>
      </c>
      <c r="G4" s="21">
        <f>IF(G$1&lt;INDEX('Valo FX'!$Q:$Q,MATCH($A4,'Valo FX'!$A:$A,0)),0,IF(G$1&lt;INDEX('Valo FX'!$R:$R,MATCH($A4,'Valo FX'!$A:$A,0)),INDEX(Base!$U:$U,MATCH($A4,Base!$A:$A,0)),IF(G$1=INDEX('Valo FX'!$R:$R,MATCH($A4,'Valo FX'!$A:$A,0)),INDEX(Base!$V:$V,MATCH($A4,Base!$A:$A,0)),0)))</f>
        <v>0</v>
      </c>
      <c r="H4" s="21">
        <f>IF(H$1&lt;INDEX('Valo FX'!$Q:$Q,MATCH($A4,'Valo FX'!$A:$A,0)),0,IF(H$1&lt;INDEX('Valo FX'!$R:$R,MATCH($A4,'Valo FX'!$A:$A,0)),INDEX(Base!$U:$U,MATCH($A4,Base!$A:$A,0)),IF(H$1=INDEX('Valo FX'!$R:$R,MATCH($A4,'Valo FX'!$A:$A,0)),INDEX(Base!$V:$V,MATCH($A4,Base!$A:$A,0)),0)))</f>
        <v>0</v>
      </c>
      <c r="I4" s="21">
        <f>IF(I$1&lt;INDEX('Valo FX'!$Q:$Q,MATCH($A4,'Valo FX'!$A:$A,0)),0,IF(I$1&lt;INDEX('Valo FX'!$R:$R,MATCH($A4,'Valo FX'!$A:$A,0)),INDEX(Base!$U:$U,MATCH($A4,Base!$A:$A,0)),IF(I$1=INDEX('Valo FX'!$R:$R,MATCH($A4,'Valo FX'!$A:$A,0)),INDEX(Base!$V:$V,MATCH($A4,Base!$A:$A,0)),0)))</f>
        <v>10.483279</v>
      </c>
      <c r="J4" s="21">
        <f>IF(J$1&lt;INDEX('Valo FX'!$Q:$Q,MATCH($A4,'Valo FX'!$A:$A,0)),0,IF(J$1&lt;INDEX('Valo FX'!$R:$R,MATCH($A4,'Valo FX'!$A:$A,0)),INDEX(Base!$U:$U,MATCH($A4,Base!$A:$A,0)),IF(J$1=INDEX('Valo FX'!$R:$R,MATCH($A4,'Valo FX'!$A:$A,0)),INDEX(Base!$V:$V,MATCH($A4,Base!$A:$A,0)),0)))</f>
        <v>10.483279</v>
      </c>
      <c r="K4" s="21">
        <f>IF(K$1&lt;INDEX('Valo FX'!$Q:$Q,MATCH($A4,'Valo FX'!$A:$A,0)),0,IF(K$1&lt;INDEX('Valo FX'!$R:$R,MATCH($A4,'Valo FX'!$A:$A,0)),INDEX(Base!$U:$U,MATCH($A4,Base!$A:$A,0)),IF(K$1=INDEX('Valo FX'!$R:$R,MATCH($A4,'Valo FX'!$A:$A,0)),INDEX(Base!$V:$V,MATCH($A4,Base!$A:$A,0)),0)))</f>
        <v>10.483279</v>
      </c>
      <c r="L4" s="21">
        <f>IF(L$1&lt;INDEX('Valo FX'!$Q:$Q,MATCH($A4,'Valo FX'!$A:$A,0)),0,IF(L$1&lt;INDEX('Valo FX'!$R:$R,MATCH($A4,'Valo FX'!$A:$A,0)),INDEX(Base!$U:$U,MATCH($A4,Base!$A:$A,0)),IF(L$1=INDEX('Valo FX'!$R:$R,MATCH($A4,'Valo FX'!$A:$A,0)),INDEX(Base!$V:$V,MATCH($A4,Base!$A:$A,0)),0)))</f>
        <v>10.483279</v>
      </c>
      <c r="M4" s="21">
        <f>IF(M$1&lt;INDEX('Valo FX'!$Q:$Q,MATCH($A4,'Valo FX'!$A:$A,0)),0,IF(M$1&lt;INDEX('Valo FX'!$R:$R,MATCH($A4,'Valo FX'!$A:$A,0)),INDEX(Base!$U:$U,MATCH($A4,Base!$A:$A,0)),IF(M$1=INDEX('Valo FX'!$R:$R,MATCH($A4,'Valo FX'!$A:$A,0)),INDEX(Base!$V:$V,MATCH($A4,Base!$A:$A,0)),0)))</f>
        <v>10.483279</v>
      </c>
      <c r="N4" s="21">
        <f>IF(N$1&lt;INDEX('Valo FX'!$Q:$Q,MATCH($A4,'Valo FX'!$A:$A,0)),0,IF(N$1&lt;INDEX('Valo FX'!$R:$R,MATCH($A4,'Valo FX'!$A:$A,0)),INDEX(Base!$U:$U,MATCH($A4,Base!$A:$A,0)),IF(N$1=INDEX('Valo FX'!$R:$R,MATCH($A4,'Valo FX'!$A:$A,0)),INDEX(Base!$V:$V,MATCH($A4,Base!$A:$A,0)),0)))</f>
        <v>10.483279</v>
      </c>
      <c r="O4" s="21">
        <f>IF(O$1&lt;INDEX('Valo FX'!$Q:$Q,MATCH($A4,'Valo FX'!$A:$A,0)),0,IF(O$1&lt;INDEX('Valo FX'!$R:$R,MATCH($A4,'Valo FX'!$A:$A,0)),INDEX(Base!$U:$U,MATCH($A4,Base!$A:$A,0)),IF(O$1=INDEX('Valo FX'!$R:$R,MATCH($A4,'Valo FX'!$A:$A,0)),INDEX(Base!$V:$V,MATCH($A4,Base!$A:$A,0)),0)))</f>
        <v>10.483279</v>
      </c>
      <c r="P4" s="21">
        <f>IF(P$1&lt;INDEX('Valo FX'!$Q:$Q,MATCH($A4,'Valo FX'!$A:$A,0)),0,IF(P$1&lt;INDEX('Valo FX'!$R:$R,MATCH($A4,'Valo FX'!$A:$A,0)),INDEX(Base!$U:$U,MATCH($A4,Base!$A:$A,0)),IF(P$1=INDEX('Valo FX'!$R:$R,MATCH($A4,'Valo FX'!$A:$A,0)),INDEX(Base!$V:$V,MATCH($A4,Base!$A:$A,0)),0)))</f>
        <v>10.483279</v>
      </c>
      <c r="Q4" s="21">
        <f>IF(Q$1&lt;INDEX('Valo FX'!$Q:$Q,MATCH($A4,'Valo FX'!$A:$A,0)),0,IF(Q$1&lt;INDEX('Valo FX'!$R:$R,MATCH($A4,'Valo FX'!$A:$A,0)),INDEX(Base!$U:$U,MATCH($A4,Base!$A:$A,0)),IF(Q$1=INDEX('Valo FX'!$R:$R,MATCH($A4,'Valo FX'!$A:$A,0)),INDEX(Base!$V:$V,MATCH($A4,Base!$A:$A,0)),0)))</f>
        <v>10.483279</v>
      </c>
      <c r="R4" s="21">
        <f>IF(R$1&lt;INDEX('Valo FX'!$Q:$Q,MATCH($A4,'Valo FX'!$A:$A,0)),0,IF(R$1&lt;INDEX('Valo FX'!$R:$R,MATCH($A4,'Valo FX'!$A:$A,0)),INDEX(Base!$U:$U,MATCH($A4,Base!$A:$A,0)),IF(R$1=INDEX('Valo FX'!$R:$R,MATCH($A4,'Valo FX'!$A:$A,0)),INDEX(Base!$V:$V,MATCH($A4,Base!$A:$A,0)),0)))</f>
        <v>10.483279</v>
      </c>
      <c r="S4" s="21">
        <f>IF(S$1&lt;INDEX('Valo FX'!$Q:$Q,MATCH($A4,'Valo FX'!$A:$A,0)),0,IF(S$1&lt;INDEX('Valo FX'!$R:$R,MATCH($A4,'Valo FX'!$A:$A,0)),INDEX(Base!$U:$U,MATCH($A4,Base!$A:$A,0)),IF(S$1=INDEX('Valo FX'!$R:$R,MATCH($A4,'Valo FX'!$A:$A,0)),INDEX(Base!$V:$V,MATCH($A4,Base!$A:$A,0)),0)))</f>
        <v>10.483279</v>
      </c>
      <c r="T4" s="21">
        <f>IF(T$1&lt;INDEX('Valo FX'!$Q:$Q,MATCH($A4,'Valo FX'!$A:$A,0)),0,IF(T$1&lt;INDEX('Valo FX'!$R:$R,MATCH($A4,'Valo FX'!$A:$A,0)),INDEX(Base!$U:$U,MATCH($A4,Base!$A:$A,0)),IF(T$1=INDEX('Valo FX'!$R:$R,MATCH($A4,'Valo FX'!$A:$A,0)),INDEX(Base!$V:$V,MATCH($A4,Base!$A:$A,0)),0)))</f>
        <v>10.483279</v>
      </c>
      <c r="U4" s="21">
        <f>IF(U$1&lt;INDEX('Valo FX'!$Q:$Q,MATCH($A4,'Valo FX'!$A:$A,0)),0,IF(U$1&lt;INDEX('Valo FX'!$R:$R,MATCH($A4,'Valo FX'!$A:$A,0)),INDEX(Base!$U:$U,MATCH($A4,Base!$A:$A,0)),IF(U$1=INDEX('Valo FX'!$R:$R,MATCH($A4,'Valo FX'!$A:$A,0)),INDEX(Base!$V:$V,MATCH($A4,Base!$A:$A,0)),0)))</f>
        <v>10.483279</v>
      </c>
      <c r="V4" s="21">
        <f>IF(V$1&lt;INDEX('Valo FX'!$Q:$Q,MATCH($A4,'Valo FX'!$A:$A,0)),0,IF(V$1&lt;INDEX('Valo FX'!$R:$R,MATCH($A4,'Valo FX'!$A:$A,0)),INDEX(Base!$U:$U,MATCH($A4,Base!$A:$A,0)),IF(V$1=INDEX('Valo FX'!$R:$R,MATCH($A4,'Valo FX'!$A:$A,0)),INDEX(Base!$V:$V,MATCH($A4,Base!$A:$A,0)),0)))</f>
        <v>10.483279</v>
      </c>
      <c r="W4" s="21">
        <f>IF(W$1&lt;INDEX('Valo FX'!$Q:$Q,MATCH($A4,'Valo FX'!$A:$A,0)),0,IF(W$1&lt;INDEX('Valo FX'!$R:$R,MATCH($A4,'Valo FX'!$A:$A,0)),INDEX(Base!$U:$U,MATCH($A4,Base!$A:$A,0)),IF(W$1=INDEX('Valo FX'!$R:$R,MATCH($A4,'Valo FX'!$A:$A,0)),INDEX(Base!$V:$V,MATCH($A4,Base!$A:$A,0)),0)))</f>
        <v>10.483279</v>
      </c>
      <c r="X4" s="21">
        <f>IF(X$1&lt;INDEX('Valo FX'!$Q:$Q,MATCH($A4,'Valo FX'!$A:$A,0)),0,IF(X$1&lt;INDEX('Valo FX'!$R:$R,MATCH($A4,'Valo FX'!$A:$A,0)),INDEX(Base!$U:$U,MATCH($A4,Base!$A:$A,0)),IF(X$1=INDEX('Valo FX'!$R:$R,MATCH($A4,'Valo FX'!$A:$A,0)),INDEX(Base!$V:$V,MATCH($A4,Base!$A:$A,0)),0)))</f>
        <v>10.483279</v>
      </c>
      <c r="Y4" s="21">
        <f>IF(Y$1&lt;INDEX('Valo FX'!$Q:$Q,MATCH($A4,'Valo FX'!$A:$A,0)),0,IF(Y$1&lt;INDEX('Valo FX'!$R:$R,MATCH($A4,'Valo FX'!$A:$A,0)),INDEX(Base!$U:$U,MATCH($A4,Base!$A:$A,0)),IF(Y$1=INDEX('Valo FX'!$R:$R,MATCH($A4,'Valo FX'!$A:$A,0)),INDEX(Base!$V:$V,MATCH($A4,Base!$A:$A,0)),0)))</f>
        <v>10.483279</v>
      </c>
      <c r="Z4" s="21">
        <f>IF(Z$1&lt;INDEX('Valo FX'!$Q:$Q,MATCH($A4,'Valo FX'!$A:$A,0)),0,IF(Z$1&lt;INDEX('Valo FX'!$R:$R,MATCH($A4,'Valo FX'!$A:$A,0)),INDEX(Base!$U:$U,MATCH($A4,Base!$A:$A,0)),IF(Z$1=INDEX('Valo FX'!$R:$R,MATCH($A4,'Valo FX'!$A:$A,0)),INDEX(Base!$V:$V,MATCH($A4,Base!$A:$A,0)),0)))</f>
        <v>10.483279</v>
      </c>
      <c r="AA4" s="21">
        <f>IF(AA$1&lt;INDEX('Valo FX'!$Q:$Q,MATCH($A4,'Valo FX'!$A:$A,0)),0,IF(AA$1&lt;INDEX('Valo FX'!$R:$R,MATCH($A4,'Valo FX'!$A:$A,0)),INDEX(Base!$U:$U,MATCH($A4,Base!$A:$A,0)),IF(AA$1=INDEX('Valo FX'!$R:$R,MATCH($A4,'Valo FX'!$A:$A,0)),INDEX(Base!$V:$V,MATCH($A4,Base!$A:$A,0)),0)))</f>
        <v>10.483279</v>
      </c>
      <c r="AB4" s="21">
        <f>IF(AB$1&lt;INDEX('Valo FX'!$Q:$Q,MATCH($A4,'Valo FX'!$A:$A,0)),0,IF(AB$1&lt;INDEX('Valo FX'!$R:$R,MATCH($A4,'Valo FX'!$A:$A,0)),INDEX(Base!$U:$U,MATCH($A4,Base!$A:$A,0)),IF(AB$1=INDEX('Valo FX'!$R:$R,MATCH($A4,'Valo FX'!$A:$A,0)),INDEX(Base!$V:$V,MATCH($A4,Base!$A:$A,0)),0)))</f>
        <v>10.483279</v>
      </c>
      <c r="AC4" s="21">
        <f>IF(AC$1&lt;INDEX('Valo FX'!$Q:$Q,MATCH($A4,'Valo FX'!$A:$A,0)),0,IF(AC$1&lt;INDEX('Valo FX'!$R:$R,MATCH($A4,'Valo FX'!$A:$A,0)),INDEX(Base!$U:$U,MATCH($A4,Base!$A:$A,0)),IF(AC$1=INDEX('Valo FX'!$R:$R,MATCH($A4,'Valo FX'!$A:$A,0)),INDEX(Base!$V:$V,MATCH($A4,Base!$A:$A,0)),0)))</f>
        <v>10.483279</v>
      </c>
      <c r="AD4" s="21">
        <f>IF(AD$1&lt;INDEX('Valo FX'!$Q:$Q,MATCH($A4,'Valo FX'!$A:$A,0)),0,IF(AD$1&lt;INDEX('Valo FX'!$R:$R,MATCH($A4,'Valo FX'!$A:$A,0)),INDEX(Base!$U:$U,MATCH($A4,Base!$A:$A,0)),IF(AD$1=INDEX('Valo FX'!$R:$R,MATCH($A4,'Valo FX'!$A:$A,0)),INDEX(Base!$V:$V,MATCH($A4,Base!$A:$A,0)),0)))</f>
        <v>10.483279</v>
      </c>
      <c r="AE4" s="21">
        <f>IF(AE$1&lt;INDEX('Valo FX'!$Q:$Q,MATCH($A4,'Valo FX'!$A:$A,0)),0,IF(AE$1&lt;INDEX('Valo FX'!$R:$R,MATCH($A4,'Valo FX'!$A:$A,0)),INDEX(Base!$U:$U,MATCH($A4,Base!$A:$A,0)),IF(AE$1=INDEX('Valo FX'!$R:$R,MATCH($A4,'Valo FX'!$A:$A,0)),INDEX(Base!$V:$V,MATCH($A4,Base!$A:$A,0)),0)))</f>
        <v>10.483279</v>
      </c>
      <c r="AF4" s="21">
        <f>IF(AF$1&lt;INDEX('Valo FX'!$Q:$Q,MATCH($A4,'Valo FX'!$A:$A,0)),0,IF(AF$1&lt;INDEX('Valo FX'!$R:$R,MATCH($A4,'Valo FX'!$A:$A,0)),INDEX(Base!$U:$U,MATCH($A4,Base!$A:$A,0)),IF(AF$1=INDEX('Valo FX'!$R:$R,MATCH($A4,'Valo FX'!$A:$A,0)),INDEX(Base!$V:$V,MATCH($A4,Base!$A:$A,0)),0)))</f>
        <v>10.483279</v>
      </c>
      <c r="AG4" s="21">
        <f>IF(AG$1&lt;INDEX('Valo FX'!$Q:$Q,MATCH($A4,'Valo FX'!$A:$A,0)),0,IF(AG$1&lt;INDEX('Valo FX'!$R:$R,MATCH($A4,'Valo FX'!$A:$A,0)),INDEX(Base!$U:$U,MATCH($A4,Base!$A:$A,0)),IF(AG$1=INDEX('Valo FX'!$R:$R,MATCH($A4,'Valo FX'!$A:$A,0)),INDEX(Base!$V:$V,MATCH($A4,Base!$A:$A,0)),0)))</f>
        <v>10.483279</v>
      </c>
      <c r="AH4" s="21">
        <f>IF(AH$1&lt;INDEX('Valo FX'!$Q:$Q,MATCH($A4,'Valo FX'!$A:$A,0)),0,IF(AH$1&lt;INDEX('Valo FX'!$R:$R,MATCH($A4,'Valo FX'!$A:$A,0)),INDEX(Base!$U:$U,MATCH($A4,Base!$A:$A,0)),IF(AH$1=INDEX('Valo FX'!$R:$R,MATCH($A4,'Valo FX'!$A:$A,0)),INDEX(Base!$V:$V,MATCH($A4,Base!$A:$A,0)),0)))</f>
        <v>10.483279</v>
      </c>
      <c r="AI4" s="21">
        <f>IF(AI$1&lt;INDEX('Valo FX'!$Q:$Q,MATCH($A4,'Valo FX'!$A:$A,0)),0,IF(AI$1&lt;INDEX('Valo FX'!$R:$R,MATCH($A4,'Valo FX'!$A:$A,0)),INDEX(Base!$U:$U,MATCH($A4,Base!$A:$A,0)),IF(AI$1=INDEX('Valo FX'!$R:$R,MATCH($A4,'Valo FX'!$A:$A,0)),INDEX(Base!$V:$V,MATCH($A4,Base!$A:$A,0)),0)))</f>
        <v>10.483279</v>
      </c>
      <c r="AJ4" s="21">
        <f>IF(AJ$1&lt;INDEX('Valo FX'!$Q:$Q,MATCH($A4,'Valo FX'!$A:$A,0)),0,IF(AJ$1&lt;INDEX('Valo FX'!$R:$R,MATCH($A4,'Valo FX'!$A:$A,0)),INDEX(Base!$U:$U,MATCH($A4,Base!$A:$A,0)),IF(AJ$1=INDEX('Valo FX'!$R:$R,MATCH($A4,'Valo FX'!$A:$A,0)),INDEX(Base!$V:$V,MATCH($A4,Base!$A:$A,0)),0)))</f>
        <v>10.483279</v>
      </c>
      <c r="AK4" s="21">
        <f>IF(AK$1&lt;INDEX('Valo FX'!$Q:$Q,MATCH($A4,'Valo FX'!$A:$A,0)),0,IF(AK$1&lt;INDEX('Valo FX'!$R:$R,MATCH($A4,'Valo FX'!$A:$A,0)),INDEX(Base!$U:$U,MATCH($A4,Base!$A:$A,0)),IF(AK$1=INDEX('Valo FX'!$R:$R,MATCH($A4,'Valo FX'!$A:$A,0)),INDEX(Base!$V:$V,MATCH($A4,Base!$A:$A,0)),0)))</f>
        <v>10.483279</v>
      </c>
      <c r="AL4" s="21">
        <f>IF(AL$1&lt;INDEX('Valo FX'!$Q:$Q,MATCH($A4,'Valo FX'!$A:$A,0)),0,IF(AL$1&lt;INDEX('Valo FX'!$R:$R,MATCH($A4,'Valo FX'!$A:$A,0)),INDEX(Base!$U:$U,MATCH($A4,Base!$A:$A,0)),IF(AL$1=INDEX('Valo FX'!$R:$R,MATCH($A4,'Valo FX'!$A:$A,0)),INDEX(Base!$V:$V,MATCH($A4,Base!$A:$A,0)),0)))</f>
        <v>10.483279</v>
      </c>
      <c r="AM4" s="21">
        <f>IF(AM$1&lt;INDEX('Valo FX'!$Q:$Q,MATCH($A4,'Valo FX'!$A:$A,0)),0,IF(AM$1&lt;INDEX('Valo FX'!$R:$R,MATCH($A4,'Valo FX'!$A:$A,0)),INDEX(Base!$U:$U,MATCH($A4,Base!$A:$A,0)),IF(AM$1=INDEX('Valo FX'!$R:$R,MATCH($A4,'Valo FX'!$A:$A,0)),INDEX(Base!$V:$V,MATCH($A4,Base!$A:$A,0)),0)))</f>
        <v>10.483279</v>
      </c>
      <c r="AN4" s="21">
        <f>IF(AN$1&lt;INDEX('Valo FX'!$Q:$Q,MATCH($A4,'Valo FX'!$A:$A,0)),0,IF(AN$1&lt;INDEX('Valo FX'!$R:$R,MATCH($A4,'Valo FX'!$A:$A,0)),INDEX(Base!$U:$U,MATCH($A4,Base!$A:$A,0)),IF(AN$1=INDEX('Valo FX'!$R:$R,MATCH($A4,'Valo FX'!$A:$A,0)),INDEX(Base!$V:$V,MATCH($A4,Base!$A:$A,0)),0)))</f>
        <v>10.483279</v>
      </c>
      <c r="AO4" s="21">
        <f>IF(AO$1&lt;INDEX('Valo FX'!$Q:$Q,MATCH($A4,'Valo FX'!$A:$A,0)),0,IF(AO$1&lt;INDEX('Valo FX'!$R:$R,MATCH($A4,'Valo FX'!$A:$A,0)),INDEX(Base!$U:$U,MATCH($A4,Base!$A:$A,0)),IF(AO$1=INDEX('Valo FX'!$R:$R,MATCH($A4,'Valo FX'!$A:$A,0)),INDEX(Base!$V:$V,MATCH($A4,Base!$A:$A,0)),0)))</f>
        <v>10.483279</v>
      </c>
      <c r="AP4" s="21">
        <f>IF(AP$1&lt;INDEX('Valo FX'!$Q:$Q,MATCH($A4,'Valo FX'!$A:$A,0)),0,IF(AP$1&lt;INDEX('Valo FX'!$R:$R,MATCH($A4,'Valo FX'!$A:$A,0)),INDEX(Base!$U:$U,MATCH($A4,Base!$A:$A,0)),IF(AP$1=INDEX('Valo FX'!$R:$R,MATCH($A4,'Valo FX'!$A:$A,0)),INDEX(Base!$V:$V,MATCH($A4,Base!$A:$A,0)),0)))</f>
        <v>10.483279</v>
      </c>
      <c r="AQ4" s="21">
        <f>IF(AQ$1&lt;INDEX('Valo FX'!$Q:$Q,MATCH($A4,'Valo FX'!$A:$A,0)),0,IF(AQ$1&lt;INDEX('Valo FX'!$R:$R,MATCH($A4,'Valo FX'!$A:$A,0)),INDEX(Base!$U:$U,MATCH($A4,Base!$A:$A,0)),IF(AQ$1=INDEX('Valo FX'!$R:$R,MATCH($A4,'Valo FX'!$A:$A,0)),INDEX(Base!$V:$V,MATCH($A4,Base!$A:$A,0)),0)))</f>
        <v>10.483279</v>
      </c>
      <c r="AR4" s="21">
        <f>IF(AR$1&lt;INDEX('Valo FX'!$Q:$Q,MATCH($A4,'Valo FX'!$A:$A,0)),0,IF(AR$1&lt;INDEX('Valo FX'!$R:$R,MATCH($A4,'Valo FX'!$A:$A,0)),INDEX(Base!$U:$U,MATCH($A4,Base!$A:$A,0)),IF(AR$1=INDEX('Valo FX'!$R:$R,MATCH($A4,'Valo FX'!$A:$A,0)),INDEX(Base!$V:$V,MATCH($A4,Base!$A:$A,0)),0)))</f>
        <v>10.483279</v>
      </c>
      <c r="AS4" s="21">
        <f>IF(AS$1&lt;INDEX('Valo FX'!$Q:$Q,MATCH($A4,'Valo FX'!$A:$A,0)),0,IF(AS$1&lt;INDEX('Valo FX'!$R:$R,MATCH($A4,'Valo FX'!$A:$A,0)),INDEX(Base!$U:$U,MATCH($A4,Base!$A:$A,0)),IF(AS$1=INDEX('Valo FX'!$R:$R,MATCH($A4,'Valo FX'!$A:$A,0)),INDEX(Base!$V:$V,MATCH($A4,Base!$A:$A,0)),0)))</f>
        <v>10.483279</v>
      </c>
      <c r="AT4" s="21">
        <f>IF(AT$1&lt;INDEX('Valo FX'!$Q:$Q,MATCH($A4,'Valo FX'!$A:$A,0)),0,IF(AT$1&lt;INDEX('Valo FX'!$R:$R,MATCH($A4,'Valo FX'!$A:$A,0)),INDEX(Base!$U:$U,MATCH($A4,Base!$A:$A,0)),IF(AT$1=INDEX('Valo FX'!$R:$R,MATCH($A4,'Valo FX'!$A:$A,0)),INDEX(Base!$V:$V,MATCH($A4,Base!$A:$A,0)),0)))</f>
        <v>10.483279</v>
      </c>
      <c r="AU4" s="21">
        <f>IF(AU$1&lt;INDEX('Valo FX'!$Q:$Q,MATCH($A4,'Valo FX'!$A:$A,0)),0,IF(AU$1&lt;INDEX('Valo FX'!$R:$R,MATCH($A4,'Valo FX'!$A:$A,0)),INDEX(Base!$U:$U,MATCH($A4,Base!$A:$A,0)),IF(AU$1=INDEX('Valo FX'!$R:$R,MATCH($A4,'Valo FX'!$A:$A,0)),INDEX(Base!$V:$V,MATCH($A4,Base!$A:$A,0)),0)))</f>
        <v>10.483279</v>
      </c>
      <c r="AV4" s="21">
        <f>IF(AV$1&lt;INDEX('Valo FX'!$Q:$Q,MATCH($A4,'Valo FX'!$A:$A,0)),0,IF(AV$1&lt;INDEX('Valo FX'!$R:$R,MATCH($A4,'Valo FX'!$A:$A,0)),INDEX(Base!$U:$U,MATCH($A4,Base!$A:$A,0)),IF(AV$1=INDEX('Valo FX'!$R:$R,MATCH($A4,'Valo FX'!$A:$A,0)),INDEX(Base!$V:$V,MATCH($A4,Base!$A:$A,0)),0)))</f>
        <v>10.483279</v>
      </c>
      <c r="AW4" s="21">
        <f>IF(AW$1&lt;INDEX('Valo FX'!$Q:$Q,MATCH($A4,'Valo FX'!$A:$A,0)),0,IF(AW$1&lt;INDEX('Valo FX'!$R:$R,MATCH($A4,'Valo FX'!$A:$A,0)),INDEX(Base!$U:$U,MATCH($A4,Base!$A:$A,0)),IF(AW$1=INDEX('Valo FX'!$R:$R,MATCH($A4,'Valo FX'!$A:$A,0)),INDEX(Base!$V:$V,MATCH($A4,Base!$A:$A,0)),0)))</f>
        <v>10.483279</v>
      </c>
      <c r="AX4" s="21">
        <f>IF(AX$1&lt;INDEX('Valo FX'!$Q:$Q,MATCH($A4,'Valo FX'!$A:$A,0)),0,IF(AX$1&lt;INDEX('Valo FX'!$R:$R,MATCH($A4,'Valo FX'!$A:$A,0)),INDEX(Base!$U:$U,MATCH($A4,Base!$A:$A,0)),IF(AX$1=INDEX('Valo FX'!$R:$R,MATCH($A4,'Valo FX'!$A:$A,0)),INDEX(Base!$V:$V,MATCH($A4,Base!$A:$A,0)),0)))</f>
        <v>10.483279</v>
      </c>
      <c r="AY4" s="21">
        <f>IF(AY$1&lt;INDEX('Valo FX'!$Q:$Q,MATCH($A4,'Valo FX'!$A:$A,0)),0,IF(AY$1&lt;INDEX('Valo FX'!$R:$R,MATCH($A4,'Valo FX'!$A:$A,0)),INDEX(Base!$U:$U,MATCH($A4,Base!$A:$A,0)),IF(AY$1=INDEX('Valo FX'!$R:$R,MATCH($A4,'Valo FX'!$A:$A,0)),INDEX(Base!$V:$V,MATCH($A4,Base!$A:$A,0)),0)))</f>
        <v>10.483279</v>
      </c>
      <c r="AZ4" s="21">
        <f>IF(AZ$1&lt;INDEX('Valo FX'!$Q:$Q,MATCH($A4,'Valo FX'!$A:$A,0)),0,IF(AZ$1&lt;INDEX('Valo FX'!$R:$R,MATCH($A4,'Valo FX'!$A:$A,0)),INDEX(Base!$U:$U,MATCH($A4,Base!$A:$A,0)),IF(AZ$1=INDEX('Valo FX'!$R:$R,MATCH($A4,'Valo FX'!$A:$A,0)),INDEX(Base!$V:$V,MATCH($A4,Base!$A:$A,0)),0)))</f>
        <v>10.483279</v>
      </c>
      <c r="BA4" s="21">
        <f>IF(BA$1&lt;INDEX('Valo FX'!$Q:$Q,MATCH($A4,'Valo FX'!$A:$A,0)),0,IF(BA$1&lt;INDEX('Valo FX'!$R:$R,MATCH($A4,'Valo FX'!$A:$A,0)),INDEX(Base!$U:$U,MATCH($A4,Base!$A:$A,0)),IF(BA$1=INDEX('Valo FX'!$R:$R,MATCH($A4,'Valo FX'!$A:$A,0)),INDEX(Base!$V:$V,MATCH($A4,Base!$A:$A,0)),0)))</f>
        <v>10.483279</v>
      </c>
      <c r="BB4" s="21">
        <f>IF(BB$1&lt;INDEX('Valo FX'!$Q:$Q,MATCH($A4,'Valo FX'!$A:$A,0)),0,IF(BB$1&lt;INDEX('Valo FX'!$R:$R,MATCH($A4,'Valo FX'!$A:$A,0)),INDEX(Base!$U:$U,MATCH($A4,Base!$A:$A,0)),IF(BB$1=INDEX('Valo FX'!$R:$R,MATCH($A4,'Valo FX'!$A:$A,0)),INDEX(Base!$V:$V,MATCH($A4,Base!$A:$A,0)),0)))</f>
        <v>10.483279</v>
      </c>
      <c r="BC4" s="21">
        <f>IF(BC$1&lt;INDEX('Valo FX'!$Q:$Q,MATCH($A4,'Valo FX'!$A:$A,0)),0,IF(BC$1&lt;INDEX('Valo FX'!$R:$R,MATCH($A4,'Valo FX'!$A:$A,0)),INDEX(Base!$U:$U,MATCH($A4,Base!$A:$A,0)),IF(BC$1=INDEX('Valo FX'!$R:$R,MATCH($A4,'Valo FX'!$A:$A,0)),INDEX(Base!$V:$V,MATCH($A4,Base!$A:$A,0)),0)))</f>
        <v>10.483279</v>
      </c>
      <c r="BD4" s="21">
        <f>IF(BD$1&lt;INDEX('Valo FX'!$Q:$Q,MATCH($A4,'Valo FX'!$A:$A,0)),0,IF(BD$1&lt;INDEX('Valo FX'!$R:$R,MATCH($A4,'Valo FX'!$A:$A,0)),INDEX(Base!$U:$U,MATCH($A4,Base!$A:$A,0)),IF(BD$1=INDEX('Valo FX'!$R:$R,MATCH($A4,'Valo FX'!$A:$A,0)),INDEX(Base!$V:$V,MATCH($A4,Base!$A:$A,0)),0)))</f>
        <v>10.483279</v>
      </c>
      <c r="BE4" s="21">
        <f>IF(BE$1&lt;INDEX('Valo FX'!$Q:$Q,MATCH($A4,'Valo FX'!$A:$A,0)),0,IF(BE$1&lt;INDEX('Valo FX'!$R:$R,MATCH($A4,'Valo FX'!$A:$A,0)),INDEX(Base!$U:$U,MATCH($A4,Base!$A:$A,0)),IF(BE$1=INDEX('Valo FX'!$R:$R,MATCH($A4,'Valo FX'!$A:$A,0)),INDEX(Base!$V:$V,MATCH($A4,Base!$A:$A,0)),0)))</f>
        <v>10.483279</v>
      </c>
      <c r="BF4" s="21">
        <f>IF(BF$1&lt;INDEX('Valo FX'!$Q:$Q,MATCH($A4,'Valo FX'!$A:$A,0)),0,IF(BF$1&lt;INDEX('Valo FX'!$R:$R,MATCH($A4,'Valo FX'!$A:$A,0)),INDEX(Base!$U:$U,MATCH($A4,Base!$A:$A,0)),IF(BF$1=INDEX('Valo FX'!$R:$R,MATCH($A4,'Valo FX'!$A:$A,0)),INDEX(Base!$V:$V,MATCH($A4,Base!$A:$A,0)),0)))</f>
        <v>10.483279</v>
      </c>
      <c r="BG4" s="21">
        <f>IF(BG$1&lt;INDEX('Valo FX'!$Q:$Q,MATCH($A4,'Valo FX'!$A:$A,0)),0,IF(BG$1&lt;INDEX('Valo FX'!$R:$R,MATCH($A4,'Valo FX'!$A:$A,0)),INDEX(Base!$U:$U,MATCH($A4,Base!$A:$A,0)),IF(BG$1=INDEX('Valo FX'!$R:$R,MATCH($A4,'Valo FX'!$A:$A,0)),INDEX(Base!$V:$V,MATCH($A4,Base!$A:$A,0)),0)))</f>
        <v>10.483279</v>
      </c>
      <c r="BH4" s="21">
        <f>IF(BH$1&lt;INDEX('Valo FX'!$Q:$Q,MATCH($A4,'Valo FX'!$A:$A,0)),0,IF(BH$1&lt;INDEX('Valo FX'!$R:$R,MATCH($A4,'Valo FX'!$A:$A,0)),INDEX(Base!$U:$U,MATCH($A4,Base!$A:$A,0)),IF(BH$1=INDEX('Valo FX'!$R:$R,MATCH($A4,'Valo FX'!$A:$A,0)),INDEX(Base!$V:$V,MATCH($A4,Base!$A:$A,0)),0)))</f>
        <v>10.483279</v>
      </c>
      <c r="BI4" s="21">
        <f>IF(BI$1&lt;INDEX('Valo FX'!$Q:$Q,MATCH($A4,'Valo FX'!$A:$A,0)),0,IF(BI$1&lt;INDEX('Valo FX'!$R:$R,MATCH($A4,'Valo FX'!$A:$A,0)),INDEX(Base!$U:$U,MATCH($A4,Base!$A:$A,0)),IF(BI$1=INDEX('Valo FX'!$R:$R,MATCH($A4,'Valo FX'!$A:$A,0)),INDEX(Base!$V:$V,MATCH($A4,Base!$A:$A,0)),0)))</f>
        <v>10.483279</v>
      </c>
      <c r="BJ4" s="21">
        <f>IF(BJ$1&lt;INDEX('Valo FX'!$Q:$Q,MATCH($A4,'Valo FX'!$A:$A,0)),0,IF(BJ$1&lt;INDEX('Valo FX'!$R:$R,MATCH($A4,'Valo FX'!$A:$A,0)),INDEX(Base!$U:$U,MATCH($A4,Base!$A:$A,0)),IF(BJ$1=INDEX('Valo FX'!$R:$R,MATCH($A4,'Valo FX'!$A:$A,0)),INDEX(Base!$V:$V,MATCH($A4,Base!$A:$A,0)),0)))</f>
        <v>10.483279</v>
      </c>
      <c r="BK4" s="21">
        <f>IF(BK$1&lt;INDEX('Valo FX'!$Q:$Q,MATCH($A4,'Valo FX'!$A:$A,0)),0,IF(BK$1&lt;INDEX('Valo FX'!$R:$R,MATCH($A4,'Valo FX'!$A:$A,0)),INDEX(Base!$U:$U,MATCH($A4,Base!$A:$A,0)),IF(BK$1=INDEX('Valo FX'!$R:$R,MATCH($A4,'Valo FX'!$A:$A,0)),INDEX(Base!$V:$V,MATCH($A4,Base!$A:$A,0)),0)))</f>
        <v>10.483279</v>
      </c>
      <c r="BL4" s="21">
        <f>IF(BL$1&lt;INDEX('Valo FX'!$Q:$Q,MATCH($A4,'Valo FX'!$A:$A,0)),0,IF(BL$1&lt;INDEX('Valo FX'!$R:$R,MATCH($A4,'Valo FX'!$A:$A,0)),INDEX(Base!$U:$U,MATCH($A4,Base!$A:$A,0)),IF(BL$1=INDEX('Valo FX'!$R:$R,MATCH($A4,'Valo FX'!$A:$A,0)),INDEX(Base!$V:$V,MATCH($A4,Base!$A:$A,0)),0)))</f>
        <v>10.483279</v>
      </c>
      <c r="BM4" s="21">
        <f>IF(BM$1&lt;INDEX('Valo FX'!$Q:$Q,MATCH($A4,'Valo FX'!$A:$A,0)),0,IF(BM$1&lt;INDEX('Valo FX'!$R:$R,MATCH($A4,'Valo FX'!$A:$A,0)),INDEX(Base!$U:$U,MATCH($A4,Base!$A:$A,0)),IF(BM$1=INDEX('Valo FX'!$R:$R,MATCH($A4,'Valo FX'!$A:$A,0)),INDEX(Base!$V:$V,MATCH($A4,Base!$A:$A,0)),0)))</f>
        <v>10.483279</v>
      </c>
      <c r="BN4" s="21">
        <f>IF(BN$1&lt;INDEX('Valo FX'!$Q:$Q,MATCH($A4,'Valo FX'!$A:$A,0)),0,IF(BN$1&lt;INDEX('Valo FX'!$R:$R,MATCH($A4,'Valo FX'!$A:$A,0)),INDEX(Base!$U:$U,MATCH($A4,Base!$A:$A,0)),IF(BN$1=INDEX('Valo FX'!$R:$R,MATCH($A4,'Valo FX'!$A:$A,0)),INDEX(Base!$V:$V,MATCH($A4,Base!$A:$A,0)),0)))</f>
        <v>10.483279</v>
      </c>
      <c r="BO4" s="21">
        <f>IF(BO$1&lt;INDEX('Valo FX'!$Q:$Q,MATCH($A4,'Valo FX'!$A:$A,0)),0,IF(BO$1&lt;INDEX('Valo FX'!$R:$R,MATCH($A4,'Valo FX'!$A:$A,0)),INDEX(Base!$U:$U,MATCH($A4,Base!$A:$A,0)),IF(BO$1=INDEX('Valo FX'!$R:$R,MATCH($A4,'Valo FX'!$A:$A,0)),INDEX(Base!$V:$V,MATCH($A4,Base!$A:$A,0)),0)))</f>
        <v>10.483279</v>
      </c>
      <c r="BP4" s="21">
        <f>IF(BP$1&lt;INDEX('Valo FX'!$Q:$Q,MATCH($A4,'Valo FX'!$A:$A,0)),0,IF(BP$1&lt;INDEX('Valo FX'!$R:$R,MATCH($A4,'Valo FX'!$A:$A,0)),INDEX(Base!$U:$U,MATCH($A4,Base!$A:$A,0)),IF(BP$1=INDEX('Valo FX'!$R:$R,MATCH($A4,'Valo FX'!$A:$A,0)),INDEX(Base!$V:$V,MATCH($A4,Base!$A:$A,0)),0)))</f>
        <v>10.483279</v>
      </c>
      <c r="BQ4" s="21">
        <f>IF(BQ$1&lt;INDEX('Valo FX'!$Q:$Q,MATCH($A4,'Valo FX'!$A:$A,0)),0,IF(BQ$1&lt;INDEX('Valo FX'!$R:$R,MATCH($A4,'Valo FX'!$A:$A,0)),INDEX(Base!$U:$U,MATCH($A4,Base!$A:$A,0)),IF(BQ$1=INDEX('Valo FX'!$R:$R,MATCH($A4,'Valo FX'!$A:$A,0)),INDEX(Base!$V:$V,MATCH($A4,Base!$A:$A,0)),0)))</f>
        <v>10.483279</v>
      </c>
      <c r="BR4" s="21">
        <f>IF(BR$1&lt;INDEX('Valo FX'!$Q:$Q,MATCH($A4,'Valo FX'!$A:$A,0)),0,IF(BR$1&lt;INDEX('Valo FX'!$R:$R,MATCH($A4,'Valo FX'!$A:$A,0)),INDEX(Base!$U:$U,MATCH($A4,Base!$A:$A,0)),IF(BR$1=INDEX('Valo FX'!$R:$R,MATCH($A4,'Valo FX'!$A:$A,0)),INDEX(Base!$V:$V,MATCH($A4,Base!$A:$A,0)),0)))</f>
        <v>10.483279</v>
      </c>
      <c r="BS4" s="21">
        <f>IF(BS$1&lt;INDEX('Valo FX'!$Q:$Q,MATCH($A4,'Valo FX'!$A:$A,0)),0,IF(BS$1&lt;INDEX('Valo FX'!$R:$R,MATCH($A4,'Valo FX'!$A:$A,0)),INDEX(Base!$U:$U,MATCH($A4,Base!$A:$A,0)),IF(BS$1=INDEX('Valo FX'!$R:$R,MATCH($A4,'Valo FX'!$A:$A,0)),INDEX(Base!$V:$V,MATCH($A4,Base!$A:$A,0)),0)))</f>
        <v>10.483279</v>
      </c>
      <c r="BT4" s="21">
        <f>IF(BT$1&lt;INDEX('Valo FX'!$Q:$Q,MATCH($A4,'Valo FX'!$A:$A,0)),0,IF(BT$1&lt;INDEX('Valo FX'!$R:$R,MATCH($A4,'Valo FX'!$A:$A,0)),INDEX(Base!$U:$U,MATCH($A4,Base!$A:$A,0)),IF(BT$1=INDEX('Valo FX'!$R:$R,MATCH($A4,'Valo FX'!$A:$A,0)),INDEX(Base!$V:$V,MATCH($A4,Base!$A:$A,0)),0)))</f>
        <v>10.483279</v>
      </c>
      <c r="BU4" s="21">
        <f>IF(BU$1&lt;INDEX('Valo FX'!$Q:$Q,MATCH($A4,'Valo FX'!$A:$A,0)),0,IF(BU$1&lt;INDEX('Valo FX'!$R:$R,MATCH($A4,'Valo FX'!$A:$A,0)),INDEX(Base!$U:$U,MATCH($A4,Base!$A:$A,0)),IF(BU$1=INDEX('Valo FX'!$R:$R,MATCH($A4,'Valo FX'!$A:$A,0)),INDEX(Base!$V:$V,MATCH($A4,Base!$A:$A,0)),0)))</f>
        <v>10.483279</v>
      </c>
      <c r="BV4" s="21">
        <f>IF(BV$1&lt;INDEX('Valo FX'!$Q:$Q,MATCH($A4,'Valo FX'!$A:$A,0)),0,IF(BV$1&lt;INDEX('Valo FX'!$R:$R,MATCH($A4,'Valo FX'!$A:$A,0)),INDEX(Base!$U:$U,MATCH($A4,Base!$A:$A,0)),IF(BV$1=INDEX('Valo FX'!$R:$R,MATCH($A4,'Valo FX'!$A:$A,0)),INDEX(Base!$V:$V,MATCH($A4,Base!$A:$A,0)),0)))</f>
        <v>10.483279</v>
      </c>
      <c r="BW4" s="21">
        <f>IF(BW$1&lt;INDEX('Valo FX'!$Q:$Q,MATCH($A4,'Valo FX'!$A:$A,0)),0,IF(BW$1&lt;INDEX('Valo FX'!$R:$R,MATCH($A4,'Valo FX'!$A:$A,0)),INDEX(Base!$U:$U,MATCH($A4,Base!$A:$A,0)),IF(BW$1=INDEX('Valo FX'!$R:$R,MATCH($A4,'Valo FX'!$A:$A,0)),INDEX(Base!$V:$V,MATCH($A4,Base!$A:$A,0)),0)))</f>
        <v>10.483279</v>
      </c>
      <c r="BX4" s="21">
        <f>IF(BX$1&lt;INDEX('Valo FX'!$Q:$Q,MATCH($A4,'Valo FX'!$A:$A,0)),0,IF(BX$1&lt;INDEX('Valo FX'!$R:$R,MATCH($A4,'Valo FX'!$A:$A,0)),INDEX(Base!$U:$U,MATCH($A4,Base!$A:$A,0)),IF(BX$1=INDEX('Valo FX'!$R:$R,MATCH($A4,'Valo FX'!$A:$A,0)),INDEX(Base!$V:$V,MATCH($A4,Base!$A:$A,0)),0)))</f>
        <v>10.483279</v>
      </c>
      <c r="BY4" s="21">
        <f>IF(BY$1&lt;INDEX('Valo FX'!$Q:$Q,MATCH($A4,'Valo FX'!$A:$A,0)),0,IF(BY$1&lt;INDEX('Valo FX'!$R:$R,MATCH($A4,'Valo FX'!$A:$A,0)),INDEX(Base!$U:$U,MATCH($A4,Base!$A:$A,0)),IF(BY$1=INDEX('Valo FX'!$R:$R,MATCH($A4,'Valo FX'!$A:$A,0)),INDEX(Base!$V:$V,MATCH($A4,Base!$A:$A,0)),0)))</f>
        <v>10.483279</v>
      </c>
      <c r="BZ4" s="21">
        <f>IF(BZ$1&lt;INDEX('Valo FX'!$Q:$Q,MATCH($A4,'Valo FX'!$A:$A,0)),0,IF(BZ$1&lt;INDEX('Valo FX'!$R:$R,MATCH($A4,'Valo FX'!$A:$A,0)),INDEX(Base!$U:$U,MATCH($A4,Base!$A:$A,0)),IF(BZ$1=INDEX('Valo FX'!$R:$R,MATCH($A4,'Valo FX'!$A:$A,0)),INDEX(Base!$V:$V,MATCH($A4,Base!$A:$A,0)),0)))</f>
        <v>10.483279</v>
      </c>
      <c r="CA4" s="21">
        <f>IF(CA$1&lt;INDEX('Valo FX'!$Q:$Q,MATCH($A4,'Valo FX'!$A:$A,0)),0,IF(CA$1&lt;INDEX('Valo FX'!$R:$R,MATCH($A4,'Valo FX'!$A:$A,0)),INDEX(Base!$U:$U,MATCH($A4,Base!$A:$A,0)),IF(CA$1=INDEX('Valo FX'!$R:$R,MATCH($A4,'Valo FX'!$A:$A,0)),INDEX(Base!$V:$V,MATCH($A4,Base!$A:$A,0)),0)))</f>
        <v>10.483279</v>
      </c>
      <c r="CB4" s="21">
        <f>IF(CB$1&lt;INDEX('Valo FX'!$Q:$Q,MATCH($A4,'Valo FX'!$A:$A,0)),0,IF(CB$1&lt;INDEX('Valo FX'!$R:$R,MATCH($A4,'Valo FX'!$A:$A,0)),INDEX(Base!$U:$U,MATCH($A4,Base!$A:$A,0)),IF(CB$1=INDEX('Valo FX'!$R:$R,MATCH($A4,'Valo FX'!$A:$A,0)),INDEX(Base!$V:$V,MATCH($A4,Base!$A:$A,0)),0)))</f>
        <v>10.483279</v>
      </c>
      <c r="CC4" s="21">
        <f>IF(CC$1&lt;INDEX('Valo FX'!$Q:$Q,MATCH($A4,'Valo FX'!$A:$A,0)),0,IF(CC$1&lt;INDEX('Valo FX'!$R:$R,MATCH($A4,'Valo FX'!$A:$A,0)),INDEX(Base!$U:$U,MATCH($A4,Base!$A:$A,0)),IF(CC$1=INDEX('Valo FX'!$R:$R,MATCH($A4,'Valo FX'!$A:$A,0)),INDEX(Base!$V:$V,MATCH($A4,Base!$A:$A,0)),0)))</f>
        <v>10.483279</v>
      </c>
      <c r="CD4" s="21">
        <f>IF(CD$1&lt;INDEX('Valo FX'!$Q:$Q,MATCH($A4,'Valo FX'!$A:$A,0)),0,IF(CD$1&lt;INDEX('Valo FX'!$R:$R,MATCH($A4,'Valo FX'!$A:$A,0)),INDEX(Base!$U:$U,MATCH($A4,Base!$A:$A,0)),IF(CD$1=INDEX('Valo FX'!$R:$R,MATCH($A4,'Valo FX'!$A:$A,0)),INDEX(Base!$V:$V,MATCH($A4,Base!$A:$A,0)),0)))</f>
        <v>10.483279</v>
      </c>
      <c r="CE4" s="21">
        <f>IF(CE$1&lt;INDEX('Valo FX'!$Q:$Q,MATCH($A4,'Valo FX'!$A:$A,0)),0,IF(CE$1&lt;INDEX('Valo FX'!$R:$R,MATCH($A4,'Valo FX'!$A:$A,0)),INDEX(Base!$U:$U,MATCH($A4,Base!$A:$A,0)),IF(CE$1=INDEX('Valo FX'!$R:$R,MATCH($A4,'Valo FX'!$A:$A,0)),INDEX(Base!$V:$V,MATCH($A4,Base!$A:$A,0)),0)))</f>
        <v>10.483279</v>
      </c>
      <c r="CF4" s="21">
        <f>IF(CF$1&lt;INDEX('Valo FX'!$Q:$Q,MATCH($A4,'Valo FX'!$A:$A,0)),0,IF(CF$1&lt;INDEX('Valo FX'!$R:$R,MATCH($A4,'Valo FX'!$A:$A,0)),INDEX(Base!$U:$U,MATCH($A4,Base!$A:$A,0)),IF(CF$1=INDEX('Valo FX'!$R:$R,MATCH($A4,'Valo FX'!$A:$A,0)),INDEX(Base!$V:$V,MATCH($A4,Base!$A:$A,0)),0)))</f>
        <v>10.483279</v>
      </c>
      <c r="CG4" s="21">
        <f>IF(CG$1&lt;INDEX('Valo FX'!$Q:$Q,MATCH($A4,'Valo FX'!$A:$A,0)),0,IF(CG$1&lt;INDEX('Valo FX'!$R:$R,MATCH($A4,'Valo FX'!$A:$A,0)),INDEX(Base!$U:$U,MATCH($A4,Base!$A:$A,0)),IF(CG$1=INDEX('Valo FX'!$R:$R,MATCH($A4,'Valo FX'!$A:$A,0)),INDEX(Base!$V:$V,MATCH($A4,Base!$A:$A,0)),0)))</f>
        <v>10.483279</v>
      </c>
      <c r="CH4" s="21">
        <f>IF(CH$1&lt;INDEX('Valo FX'!$Q:$Q,MATCH($A4,'Valo FX'!$A:$A,0)),0,IF(CH$1&lt;INDEX('Valo FX'!$R:$R,MATCH($A4,'Valo FX'!$A:$A,0)),INDEX(Base!$U:$U,MATCH($A4,Base!$A:$A,0)),IF(CH$1=INDEX('Valo FX'!$R:$R,MATCH($A4,'Valo FX'!$A:$A,0)),INDEX(Base!$V:$V,MATCH($A4,Base!$A:$A,0)),0)))</f>
        <v>10.483279</v>
      </c>
      <c r="CI4" s="21">
        <f>IF(CI$1&lt;INDEX('Valo FX'!$Q:$Q,MATCH($A4,'Valo FX'!$A:$A,0)),0,IF(CI$1&lt;INDEX('Valo FX'!$R:$R,MATCH($A4,'Valo FX'!$A:$A,0)),INDEX(Base!$U:$U,MATCH($A4,Base!$A:$A,0)),IF(CI$1=INDEX('Valo FX'!$R:$R,MATCH($A4,'Valo FX'!$A:$A,0)),INDEX(Base!$V:$V,MATCH($A4,Base!$A:$A,0)),0)))</f>
        <v>10.483279</v>
      </c>
      <c r="CJ4" s="21">
        <f>IF(CJ$1&lt;INDEX('Valo FX'!$Q:$Q,MATCH($A4,'Valo FX'!$A:$A,0)),0,IF(CJ$1&lt;INDEX('Valo FX'!$R:$R,MATCH($A4,'Valo FX'!$A:$A,0)),INDEX(Base!$U:$U,MATCH($A4,Base!$A:$A,0)),IF(CJ$1=INDEX('Valo FX'!$R:$R,MATCH($A4,'Valo FX'!$A:$A,0)),INDEX(Base!$V:$V,MATCH($A4,Base!$A:$A,0)),0)))</f>
        <v>10.483279</v>
      </c>
      <c r="CK4" s="21">
        <f>IF(CK$1&lt;INDEX('Valo FX'!$Q:$Q,MATCH($A4,'Valo FX'!$A:$A,0)),0,IF(CK$1&lt;INDEX('Valo FX'!$R:$R,MATCH($A4,'Valo FX'!$A:$A,0)),INDEX(Base!$U:$U,MATCH($A4,Base!$A:$A,0)),IF(CK$1=INDEX('Valo FX'!$R:$R,MATCH($A4,'Valo FX'!$A:$A,0)),INDEX(Base!$V:$V,MATCH($A4,Base!$A:$A,0)),0)))</f>
        <v>10.483279</v>
      </c>
      <c r="CL4" s="21">
        <f>IF(CL$1&lt;INDEX('Valo FX'!$Q:$Q,MATCH($A4,'Valo FX'!$A:$A,0)),0,IF(CL$1&lt;INDEX('Valo FX'!$R:$R,MATCH($A4,'Valo FX'!$A:$A,0)),INDEX(Base!$U:$U,MATCH($A4,Base!$A:$A,0)),IF(CL$1=INDEX('Valo FX'!$R:$R,MATCH($A4,'Valo FX'!$A:$A,0)),INDEX(Base!$V:$V,MATCH($A4,Base!$A:$A,0)),0)))</f>
        <v>10.483279</v>
      </c>
      <c r="CM4" s="21">
        <f>IF(CM$1&lt;INDEX('Valo FX'!$Q:$Q,MATCH($A4,'Valo FX'!$A:$A,0)),0,IF(CM$1&lt;INDEX('Valo FX'!$R:$R,MATCH($A4,'Valo FX'!$A:$A,0)),INDEX(Base!$U:$U,MATCH($A4,Base!$A:$A,0)),IF(CM$1=INDEX('Valo FX'!$R:$R,MATCH($A4,'Valo FX'!$A:$A,0)),INDEX(Base!$V:$V,MATCH($A4,Base!$A:$A,0)),0)))</f>
        <v>10.483279</v>
      </c>
      <c r="CN4" s="21">
        <f>IF(CN$1&lt;INDEX('Valo FX'!$Q:$Q,MATCH($A4,'Valo FX'!$A:$A,0)),0,IF(CN$1&lt;INDEX('Valo FX'!$R:$R,MATCH($A4,'Valo FX'!$A:$A,0)),INDEX(Base!$U:$U,MATCH($A4,Base!$A:$A,0)),IF(CN$1=INDEX('Valo FX'!$R:$R,MATCH($A4,'Valo FX'!$A:$A,0)),INDEX(Base!$V:$V,MATCH($A4,Base!$A:$A,0)),0)))</f>
        <v>10.483279</v>
      </c>
      <c r="CO4" s="21">
        <f>IF(CO$1&lt;INDEX('Valo FX'!$Q:$Q,MATCH($A4,'Valo FX'!$A:$A,0)),0,IF(CO$1&lt;INDEX('Valo FX'!$R:$R,MATCH($A4,'Valo FX'!$A:$A,0)),INDEX(Base!$U:$U,MATCH($A4,Base!$A:$A,0)),IF(CO$1=INDEX('Valo FX'!$R:$R,MATCH($A4,'Valo FX'!$A:$A,0)),INDEX(Base!$V:$V,MATCH($A4,Base!$A:$A,0)),0)))</f>
        <v>10.483279</v>
      </c>
      <c r="CP4" s="21">
        <f>IF(CP$1&lt;INDEX('Valo FX'!$Q:$Q,MATCH($A4,'Valo FX'!$A:$A,0)),0,IF(CP$1&lt;INDEX('Valo FX'!$R:$R,MATCH($A4,'Valo FX'!$A:$A,0)),INDEX(Base!$U:$U,MATCH($A4,Base!$A:$A,0)),IF(CP$1=INDEX('Valo FX'!$R:$R,MATCH($A4,'Valo FX'!$A:$A,0)),INDEX(Base!$V:$V,MATCH($A4,Base!$A:$A,0)),0)))</f>
        <v>10.483279</v>
      </c>
      <c r="CQ4" s="21">
        <f>IF(CQ$1&lt;INDEX('Valo FX'!$Q:$Q,MATCH($A4,'Valo FX'!$A:$A,0)),0,IF(CQ$1&lt;INDEX('Valo FX'!$R:$R,MATCH($A4,'Valo FX'!$A:$A,0)),INDEX(Base!$U:$U,MATCH($A4,Base!$A:$A,0)),IF(CQ$1=INDEX('Valo FX'!$R:$R,MATCH($A4,'Valo FX'!$A:$A,0)),INDEX(Base!$V:$V,MATCH($A4,Base!$A:$A,0)),0)))</f>
        <v>10.483279</v>
      </c>
      <c r="CR4" s="21">
        <f>IF(CR$1&lt;INDEX('Valo FX'!$Q:$Q,MATCH($A4,'Valo FX'!$A:$A,0)),0,IF(CR$1&lt;INDEX('Valo FX'!$R:$R,MATCH($A4,'Valo FX'!$A:$A,0)),INDEX(Base!$U:$U,MATCH($A4,Base!$A:$A,0)),IF(CR$1=INDEX('Valo FX'!$R:$R,MATCH($A4,'Valo FX'!$A:$A,0)),INDEX(Base!$V:$V,MATCH($A4,Base!$A:$A,0)),0)))</f>
        <v>10.483279</v>
      </c>
      <c r="CS4" s="21">
        <f>IF(CS$1&lt;INDEX('Valo FX'!$Q:$Q,MATCH($A4,'Valo FX'!$A:$A,0)),0,IF(CS$1&lt;INDEX('Valo FX'!$R:$R,MATCH($A4,'Valo FX'!$A:$A,0)),INDEX(Base!$U:$U,MATCH($A4,Base!$A:$A,0)),IF(CS$1=INDEX('Valo FX'!$R:$R,MATCH($A4,'Valo FX'!$A:$A,0)),INDEX(Base!$V:$V,MATCH($A4,Base!$A:$A,0)),0)))</f>
        <v>10.483279</v>
      </c>
      <c r="CT4" s="21">
        <f>IF(CT$1&lt;INDEX('Valo FX'!$Q:$Q,MATCH($A4,'Valo FX'!$A:$A,0)),0,IF(CT$1&lt;INDEX('Valo FX'!$R:$R,MATCH($A4,'Valo FX'!$A:$A,0)),INDEX(Base!$U:$U,MATCH($A4,Base!$A:$A,0)),IF(CT$1=INDEX('Valo FX'!$R:$R,MATCH($A4,'Valo FX'!$A:$A,0)),INDEX(Base!$V:$V,MATCH($A4,Base!$A:$A,0)),0)))</f>
        <v>10.483279</v>
      </c>
      <c r="CU4" s="21">
        <f>IF(CU$1&lt;INDEX('Valo FX'!$Q:$Q,MATCH($A4,'Valo FX'!$A:$A,0)),0,IF(CU$1&lt;INDEX('Valo FX'!$R:$R,MATCH($A4,'Valo FX'!$A:$A,0)),INDEX(Base!$U:$U,MATCH($A4,Base!$A:$A,0)),IF(CU$1=INDEX('Valo FX'!$R:$R,MATCH($A4,'Valo FX'!$A:$A,0)),INDEX(Base!$V:$V,MATCH($A4,Base!$A:$A,0)),0)))</f>
        <v>10.483279</v>
      </c>
      <c r="CV4" s="21">
        <f>IF(CV$1&lt;INDEX('Valo FX'!$Q:$Q,MATCH($A4,'Valo FX'!$A:$A,0)),0,IF(CV$1&lt;INDEX('Valo FX'!$R:$R,MATCH($A4,'Valo FX'!$A:$A,0)),INDEX(Base!$U:$U,MATCH($A4,Base!$A:$A,0)),IF(CV$1=INDEX('Valo FX'!$R:$R,MATCH($A4,'Valo FX'!$A:$A,0)),INDEX(Base!$V:$V,MATCH($A4,Base!$A:$A,0)),0)))</f>
        <v>10.483279</v>
      </c>
      <c r="CW4" s="21">
        <f>IF(CW$1&lt;INDEX('Valo FX'!$Q:$Q,MATCH($A4,'Valo FX'!$A:$A,0)),0,IF(CW$1&lt;INDEX('Valo FX'!$R:$R,MATCH($A4,'Valo FX'!$A:$A,0)),INDEX(Base!$U:$U,MATCH($A4,Base!$A:$A,0)),IF(CW$1=INDEX('Valo FX'!$R:$R,MATCH($A4,'Valo FX'!$A:$A,0)),INDEX(Base!$V:$V,MATCH($A4,Base!$A:$A,0)),0)))</f>
        <v>10.483279</v>
      </c>
      <c r="CX4" s="21">
        <f>IF(CX$1&lt;INDEX('Valo FX'!$Q:$Q,MATCH($A4,'Valo FX'!$A:$A,0)),0,IF(CX$1&lt;INDEX('Valo FX'!$R:$R,MATCH($A4,'Valo FX'!$A:$A,0)),INDEX(Base!$U:$U,MATCH($A4,Base!$A:$A,0)),IF(CX$1=INDEX('Valo FX'!$R:$R,MATCH($A4,'Valo FX'!$A:$A,0)),INDEX(Base!$V:$V,MATCH($A4,Base!$A:$A,0)),0)))</f>
        <v>10.483279</v>
      </c>
      <c r="CY4" s="21">
        <f>IF(CY$1&lt;INDEX('Valo FX'!$Q:$Q,MATCH($A4,'Valo FX'!$A:$A,0)),0,IF(CY$1&lt;INDEX('Valo FX'!$R:$R,MATCH($A4,'Valo FX'!$A:$A,0)),INDEX(Base!$U:$U,MATCH($A4,Base!$A:$A,0)),IF(CY$1=INDEX('Valo FX'!$R:$R,MATCH($A4,'Valo FX'!$A:$A,0)),INDEX(Base!$V:$V,MATCH($A4,Base!$A:$A,0)),0)))</f>
        <v>10.483279</v>
      </c>
      <c r="CZ4" s="21">
        <f>IF(CZ$1&lt;INDEX('Valo FX'!$Q:$Q,MATCH($A4,'Valo FX'!$A:$A,0)),0,IF(CZ$1&lt;INDEX('Valo FX'!$R:$R,MATCH($A4,'Valo FX'!$A:$A,0)),INDEX(Base!$U:$U,MATCH($A4,Base!$A:$A,0)),IF(CZ$1=INDEX('Valo FX'!$R:$R,MATCH($A4,'Valo FX'!$A:$A,0)),INDEX(Base!$V:$V,MATCH($A4,Base!$A:$A,0)),0)))</f>
        <v>10.483279</v>
      </c>
      <c r="DA4" s="21">
        <f>IF(DA$1&lt;INDEX('Valo FX'!$Q:$Q,MATCH($A4,'Valo FX'!$A:$A,0)),0,IF(DA$1&lt;INDEX('Valo FX'!$R:$R,MATCH($A4,'Valo FX'!$A:$A,0)),INDEX(Base!$U:$U,MATCH($A4,Base!$A:$A,0)),IF(DA$1=INDEX('Valo FX'!$R:$R,MATCH($A4,'Valo FX'!$A:$A,0)),INDEX(Base!$V:$V,MATCH($A4,Base!$A:$A,0)),0)))</f>
        <v>10.483279</v>
      </c>
      <c r="DB4" s="21">
        <f>IF(DB$1&lt;INDEX('Valo FX'!$Q:$Q,MATCH($A4,'Valo FX'!$A:$A,0)),0,IF(DB$1&lt;INDEX('Valo FX'!$R:$R,MATCH($A4,'Valo FX'!$A:$A,0)),INDEX(Base!$U:$U,MATCH($A4,Base!$A:$A,0)),IF(DB$1=INDEX('Valo FX'!$R:$R,MATCH($A4,'Valo FX'!$A:$A,0)),INDEX(Base!$V:$V,MATCH($A4,Base!$A:$A,0)),0)))</f>
        <v>10.483279</v>
      </c>
      <c r="DC4" s="21">
        <f>IF(DC$1&lt;INDEX('Valo FX'!$Q:$Q,MATCH($A4,'Valo FX'!$A:$A,0)),0,IF(DC$1&lt;INDEX('Valo FX'!$R:$R,MATCH($A4,'Valo FX'!$A:$A,0)),INDEX(Base!$U:$U,MATCH($A4,Base!$A:$A,0)),IF(DC$1=INDEX('Valo FX'!$R:$R,MATCH($A4,'Valo FX'!$A:$A,0)),INDEX(Base!$V:$V,MATCH($A4,Base!$A:$A,0)),0)))</f>
        <v>10.483279</v>
      </c>
      <c r="DD4" s="21">
        <f>IF(DD$1&lt;INDEX('Valo FX'!$Q:$Q,MATCH($A4,'Valo FX'!$A:$A,0)),0,IF(DD$1&lt;INDEX('Valo FX'!$R:$R,MATCH($A4,'Valo FX'!$A:$A,0)),INDEX(Base!$U:$U,MATCH($A4,Base!$A:$A,0)),IF(DD$1=INDEX('Valo FX'!$R:$R,MATCH($A4,'Valo FX'!$A:$A,0)),INDEX(Base!$V:$V,MATCH($A4,Base!$A:$A,0)),0)))</f>
        <v>10.483279</v>
      </c>
      <c r="DE4" s="21">
        <f>IF(DE$1&lt;INDEX('Valo FX'!$Q:$Q,MATCH($A4,'Valo FX'!$A:$A,0)),0,IF(DE$1&lt;INDEX('Valo FX'!$R:$R,MATCH($A4,'Valo FX'!$A:$A,0)),INDEX(Base!$U:$U,MATCH($A4,Base!$A:$A,0)),IF(DE$1=INDEX('Valo FX'!$R:$R,MATCH($A4,'Valo FX'!$A:$A,0)),INDEX(Base!$V:$V,MATCH($A4,Base!$A:$A,0)),0)))</f>
        <v>10.483279</v>
      </c>
      <c r="DF4" s="21">
        <f>IF(DF$1&lt;INDEX('Valo FX'!$Q:$Q,MATCH($A4,'Valo FX'!$A:$A,0)),0,IF(DF$1&lt;INDEX('Valo FX'!$R:$R,MATCH($A4,'Valo FX'!$A:$A,0)),INDEX(Base!$U:$U,MATCH($A4,Base!$A:$A,0)),IF(DF$1=INDEX('Valo FX'!$R:$R,MATCH($A4,'Valo FX'!$A:$A,0)),INDEX(Base!$V:$V,MATCH($A4,Base!$A:$A,0)),0)))</f>
        <v>10.483279</v>
      </c>
      <c r="DG4" s="21">
        <f>IF(DG$1&lt;INDEX('Valo FX'!$Q:$Q,MATCH($A4,'Valo FX'!$A:$A,0)),0,IF(DG$1&lt;INDEX('Valo FX'!$R:$R,MATCH($A4,'Valo FX'!$A:$A,0)),INDEX(Base!$U:$U,MATCH($A4,Base!$A:$A,0)),IF(DG$1=INDEX('Valo FX'!$R:$R,MATCH($A4,'Valo FX'!$A:$A,0)),INDEX(Base!$V:$V,MATCH($A4,Base!$A:$A,0)),0)))</f>
        <v>10.483279</v>
      </c>
      <c r="DH4" s="21">
        <f>IF(DH$1&lt;INDEX('Valo FX'!$Q:$Q,MATCH($A4,'Valo FX'!$A:$A,0)),0,IF(DH$1&lt;INDEX('Valo FX'!$R:$R,MATCH($A4,'Valo FX'!$A:$A,0)),INDEX(Base!$U:$U,MATCH($A4,Base!$A:$A,0)),IF(DH$1=INDEX('Valo FX'!$R:$R,MATCH($A4,'Valo FX'!$A:$A,0)),INDEX(Base!$V:$V,MATCH($A4,Base!$A:$A,0)),0)))</f>
        <v>10.483279</v>
      </c>
      <c r="DI4" s="21">
        <f>IF(DI$1&lt;INDEX('Valo FX'!$Q:$Q,MATCH($A4,'Valo FX'!$A:$A,0)),0,IF(DI$1&lt;INDEX('Valo FX'!$R:$R,MATCH($A4,'Valo FX'!$A:$A,0)),INDEX(Base!$U:$U,MATCH($A4,Base!$A:$A,0)),IF(DI$1=INDEX('Valo FX'!$R:$R,MATCH($A4,'Valo FX'!$A:$A,0)),INDEX(Base!$V:$V,MATCH($A4,Base!$A:$A,0)),0)))</f>
        <v>10.483279</v>
      </c>
      <c r="DJ4" s="21">
        <f>IF(DJ$1&lt;INDEX('Valo FX'!$Q:$Q,MATCH($A4,'Valo FX'!$A:$A,0)),0,IF(DJ$1&lt;INDEX('Valo FX'!$R:$R,MATCH($A4,'Valo FX'!$A:$A,0)),INDEX(Base!$U:$U,MATCH($A4,Base!$A:$A,0)),IF(DJ$1=INDEX('Valo FX'!$R:$R,MATCH($A4,'Valo FX'!$A:$A,0)),INDEX(Base!$V:$V,MATCH($A4,Base!$A:$A,0)),0)))</f>
        <v>10.483279</v>
      </c>
      <c r="DK4" s="21">
        <f>IF(DK$1&lt;INDEX('Valo FX'!$Q:$Q,MATCH($A4,'Valo FX'!$A:$A,0)),0,IF(DK$1&lt;INDEX('Valo FX'!$R:$R,MATCH($A4,'Valo FX'!$A:$A,0)),INDEX(Base!$U:$U,MATCH($A4,Base!$A:$A,0)),IF(DK$1=INDEX('Valo FX'!$R:$R,MATCH($A4,'Valo FX'!$A:$A,0)),INDEX(Base!$V:$V,MATCH($A4,Base!$A:$A,0)),0)))</f>
        <v>10.483279</v>
      </c>
      <c r="DL4" s="21">
        <f>IF(DL$1&lt;INDEX('Valo FX'!$Q:$Q,MATCH($A4,'Valo FX'!$A:$A,0)),0,IF(DL$1&lt;INDEX('Valo FX'!$R:$R,MATCH($A4,'Valo FX'!$A:$A,0)),INDEX(Base!$U:$U,MATCH($A4,Base!$A:$A,0)),IF(DL$1=INDEX('Valo FX'!$R:$R,MATCH($A4,'Valo FX'!$A:$A,0)),INDEX(Base!$V:$V,MATCH($A4,Base!$A:$A,0)),0)))</f>
        <v>10.483279</v>
      </c>
      <c r="DM4" s="21">
        <f>IF(DM$1&lt;INDEX('Valo FX'!$Q:$Q,MATCH($A4,'Valo FX'!$A:$A,0)),0,IF(DM$1&lt;INDEX('Valo FX'!$R:$R,MATCH($A4,'Valo FX'!$A:$A,0)),INDEX(Base!$U:$U,MATCH($A4,Base!$A:$A,0)),IF(DM$1=INDEX('Valo FX'!$R:$R,MATCH($A4,'Valo FX'!$A:$A,0)),INDEX(Base!$V:$V,MATCH($A4,Base!$A:$A,0)),0)))</f>
        <v>10.483279</v>
      </c>
      <c r="DN4" s="21">
        <f>IF(DN$1&lt;INDEX('Valo FX'!$Q:$Q,MATCH($A4,'Valo FX'!$A:$A,0)),0,IF(DN$1&lt;INDEX('Valo FX'!$R:$R,MATCH($A4,'Valo FX'!$A:$A,0)),INDEX(Base!$U:$U,MATCH($A4,Base!$A:$A,0)),IF(DN$1=INDEX('Valo FX'!$R:$R,MATCH($A4,'Valo FX'!$A:$A,0)),INDEX(Base!$V:$V,MATCH($A4,Base!$A:$A,0)),0)))</f>
        <v>10.483279</v>
      </c>
      <c r="DO4" s="21">
        <f>IF(DO$1&lt;INDEX('Valo FX'!$Q:$Q,MATCH($A4,'Valo FX'!$A:$A,0)),0,IF(DO$1&lt;INDEX('Valo FX'!$R:$R,MATCH($A4,'Valo FX'!$A:$A,0)),INDEX(Base!$U:$U,MATCH($A4,Base!$A:$A,0)),IF(DO$1=INDEX('Valo FX'!$R:$R,MATCH($A4,'Valo FX'!$A:$A,0)),INDEX(Base!$V:$V,MATCH($A4,Base!$A:$A,0)),0)))</f>
        <v>10.483279</v>
      </c>
      <c r="DP4" s="21">
        <f>IF(DP$1&lt;INDEX('Valo FX'!$Q:$Q,MATCH($A4,'Valo FX'!$A:$A,0)),0,IF(DP$1&lt;INDEX('Valo FX'!$R:$R,MATCH($A4,'Valo FX'!$A:$A,0)),INDEX(Base!$U:$U,MATCH($A4,Base!$A:$A,0)),IF(DP$1=INDEX('Valo FX'!$R:$R,MATCH($A4,'Valo FX'!$A:$A,0)),INDEX(Base!$V:$V,MATCH($A4,Base!$A:$A,0)),0)))</f>
        <v>10.483279</v>
      </c>
      <c r="DQ4" s="21">
        <f>IF(DQ$1&lt;INDEX('Valo FX'!$Q:$Q,MATCH($A4,'Valo FX'!$A:$A,0)),0,IF(DQ$1&lt;INDEX('Valo FX'!$R:$R,MATCH($A4,'Valo FX'!$A:$A,0)),INDEX(Base!$U:$U,MATCH($A4,Base!$A:$A,0)),IF(DQ$1=INDEX('Valo FX'!$R:$R,MATCH($A4,'Valo FX'!$A:$A,0)),INDEX(Base!$V:$V,MATCH($A4,Base!$A:$A,0)),0)))</f>
        <v>10.483279</v>
      </c>
      <c r="DR4" s="21">
        <f>IF(DR$1&lt;INDEX('Valo FX'!$Q:$Q,MATCH($A4,'Valo FX'!$A:$A,0)),0,IF(DR$1&lt;INDEX('Valo FX'!$R:$R,MATCH($A4,'Valo FX'!$A:$A,0)),INDEX(Base!$U:$U,MATCH($A4,Base!$A:$A,0)),IF(DR$1=INDEX('Valo FX'!$R:$R,MATCH($A4,'Valo FX'!$A:$A,0)),INDEX(Base!$V:$V,MATCH($A4,Base!$A:$A,0)),0)))</f>
        <v>10.483279</v>
      </c>
      <c r="DS4" s="21">
        <f>IF(DS$1&lt;INDEX('Valo FX'!$Q:$Q,MATCH($A4,'Valo FX'!$A:$A,0)),0,IF(DS$1&lt;INDEX('Valo FX'!$R:$R,MATCH($A4,'Valo FX'!$A:$A,0)),INDEX(Base!$U:$U,MATCH($A4,Base!$A:$A,0)),IF(DS$1=INDEX('Valo FX'!$R:$R,MATCH($A4,'Valo FX'!$A:$A,0)),INDEX(Base!$V:$V,MATCH($A4,Base!$A:$A,0)),0)))</f>
        <v>10.483279</v>
      </c>
      <c r="DT4" s="21">
        <f>IF(DT$1&lt;INDEX('Valo FX'!$Q:$Q,MATCH($A4,'Valo FX'!$A:$A,0)),0,IF(DT$1&lt;INDEX('Valo FX'!$R:$R,MATCH($A4,'Valo FX'!$A:$A,0)),INDEX(Base!$U:$U,MATCH($A4,Base!$A:$A,0)),IF(DT$1=INDEX('Valo FX'!$R:$R,MATCH($A4,'Valo FX'!$A:$A,0)),INDEX(Base!$V:$V,MATCH($A4,Base!$A:$A,0)),0)))</f>
        <v>10.483279</v>
      </c>
      <c r="DU4" s="21">
        <f>IF(DU$1&lt;INDEX('Valo FX'!$Q:$Q,MATCH($A4,'Valo FX'!$A:$A,0)),0,IF(DU$1&lt;INDEX('Valo FX'!$R:$R,MATCH($A4,'Valo FX'!$A:$A,0)),INDEX(Base!$U:$U,MATCH($A4,Base!$A:$A,0)),IF(DU$1=INDEX('Valo FX'!$R:$R,MATCH($A4,'Valo FX'!$A:$A,0)),INDEX(Base!$V:$V,MATCH($A4,Base!$A:$A,0)),0)))</f>
        <v>10.483279</v>
      </c>
      <c r="DV4" s="21">
        <f>IF(DV$1&lt;INDEX('Valo FX'!$Q:$Q,MATCH($A4,'Valo FX'!$A:$A,0)),0,IF(DV$1&lt;INDEX('Valo FX'!$R:$R,MATCH($A4,'Valo FX'!$A:$A,0)),INDEX(Base!$U:$U,MATCH($A4,Base!$A:$A,0)),IF(DV$1=INDEX('Valo FX'!$R:$R,MATCH($A4,'Valo FX'!$A:$A,0)),INDEX(Base!$V:$V,MATCH($A4,Base!$A:$A,0)),0)))</f>
        <v>10.483279</v>
      </c>
      <c r="DW4" s="21">
        <f>IF(DW$1&lt;INDEX('Valo FX'!$Q:$Q,MATCH($A4,'Valo FX'!$A:$A,0)),0,IF(DW$1&lt;INDEX('Valo FX'!$R:$R,MATCH($A4,'Valo FX'!$A:$A,0)),INDEX(Base!$U:$U,MATCH($A4,Base!$A:$A,0)),IF(DW$1=INDEX('Valo FX'!$R:$R,MATCH($A4,'Valo FX'!$A:$A,0)),INDEX(Base!$V:$V,MATCH($A4,Base!$A:$A,0)),0)))</f>
        <v>10.483279</v>
      </c>
      <c r="DX4" s="21">
        <f>IF(DX$1&lt;INDEX('Valo FX'!$Q:$Q,MATCH($A4,'Valo FX'!$A:$A,0)),0,IF(DX$1&lt;INDEX('Valo FX'!$R:$R,MATCH($A4,'Valo FX'!$A:$A,0)),INDEX(Base!$U:$U,MATCH($A4,Base!$A:$A,0)),IF(DX$1=INDEX('Valo FX'!$R:$R,MATCH($A4,'Valo FX'!$A:$A,0)),INDEX(Base!$V:$V,MATCH($A4,Base!$A:$A,0)),0)))</f>
        <v>10.483279</v>
      </c>
      <c r="DY4" s="21">
        <f>IF(DY$1&lt;INDEX('Valo FX'!$Q:$Q,MATCH($A4,'Valo FX'!$A:$A,0)),0,IF(DY$1&lt;INDEX('Valo FX'!$R:$R,MATCH($A4,'Valo FX'!$A:$A,0)),INDEX(Base!$U:$U,MATCH($A4,Base!$A:$A,0)),IF(DY$1=INDEX('Valo FX'!$R:$R,MATCH($A4,'Valo FX'!$A:$A,0)),INDEX(Base!$V:$V,MATCH($A4,Base!$A:$A,0)),0)))</f>
        <v>10.483279</v>
      </c>
      <c r="DZ4" s="21">
        <f>IF(DZ$1&lt;INDEX('Valo FX'!$Q:$Q,MATCH($A4,'Valo FX'!$A:$A,0)),0,IF(DZ$1&lt;INDEX('Valo FX'!$R:$R,MATCH($A4,'Valo FX'!$A:$A,0)),INDEX(Base!$U:$U,MATCH($A4,Base!$A:$A,0)),IF(DZ$1=INDEX('Valo FX'!$R:$R,MATCH($A4,'Valo FX'!$A:$A,0)),INDEX(Base!$V:$V,MATCH($A4,Base!$A:$A,0)),0)))</f>
        <v>10.483279</v>
      </c>
      <c r="EA4" s="21">
        <f>IF(EA$1&lt;INDEX('Valo FX'!$Q:$Q,MATCH($A4,'Valo FX'!$A:$A,0)),0,IF(EA$1&lt;INDEX('Valo FX'!$R:$R,MATCH($A4,'Valo FX'!$A:$A,0)),INDEX(Base!$U:$U,MATCH($A4,Base!$A:$A,0)),IF(EA$1=INDEX('Valo FX'!$R:$R,MATCH($A4,'Valo FX'!$A:$A,0)),INDEX(Base!$V:$V,MATCH($A4,Base!$A:$A,0)),0)))</f>
        <v>10.483279</v>
      </c>
      <c r="EB4" s="21">
        <f>IF(EB$1&lt;INDEX('Valo FX'!$Q:$Q,MATCH($A4,'Valo FX'!$A:$A,0)),0,IF(EB$1&lt;INDEX('Valo FX'!$R:$R,MATCH($A4,'Valo FX'!$A:$A,0)),INDEX(Base!$U:$U,MATCH($A4,Base!$A:$A,0)),IF(EB$1=INDEX('Valo FX'!$R:$R,MATCH($A4,'Valo FX'!$A:$A,0)),INDEX(Base!$V:$V,MATCH($A4,Base!$A:$A,0)),0)))</f>
        <v>10.483279</v>
      </c>
      <c r="EC4" s="21">
        <f>IF(EC$1&lt;INDEX('Valo FX'!$Q:$Q,MATCH($A4,'Valo FX'!$A:$A,0)),0,IF(EC$1&lt;INDEX('Valo FX'!$R:$R,MATCH($A4,'Valo FX'!$A:$A,0)),INDEX(Base!$U:$U,MATCH($A4,Base!$A:$A,0)),IF(EC$1=INDEX('Valo FX'!$R:$R,MATCH($A4,'Valo FX'!$A:$A,0)),INDEX(Base!$V:$V,MATCH($A4,Base!$A:$A,0)),0)))</f>
        <v>10.483279</v>
      </c>
      <c r="ED4" s="21">
        <f>IF(ED$1&lt;INDEX('Valo FX'!$Q:$Q,MATCH($A4,'Valo FX'!$A:$A,0)),0,IF(ED$1&lt;INDEX('Valo FX'!$R:$R,MATCH($A4,'Valo FX'!$A:$A,0)),INDEX(Base!$U:$U,MATCH($A4,Base!$A:$A,0)),IF(ED$1=INDEX('Valo FX'!$R:$R,MATCH($A4,'Valo FX'!$A:$A,0)),INDEX(Base!$V:$V,MATCH($A4,Base!$A:$A,0)),0)))</f>
        <v>10.483279</v>
      </c>
      <c r="EE4" s="21">
        <f>IF(EE$1&lt;INDEX('Valo FX'!$Q:$Q,MATCH($A4,'Valo FX'!$A:$A,0)),0,IF(EE$1&lt;INDEX('Valo FX'!$R:$R,MATCH($A4,'Valo FX'!$A:$A,0)),INDEX(Base!$U:$U,MATCH($A4,Base!$A:$A,0)),IF(EE$1=INDEX('Valo FX'!$R:$R,MATCH($A4,'Valo FX'!$A:$A,0)),INDEX(Base!$V:$V,MATCH($A4,Base!$A:$A,0)),0)))</f>
        <v>10.483279</v>
      </c>
      <c r="EF4" s="21">
        <f>IF(EF$1&lt;INDEX('Valo FX'!$Q:$Q,MATCH($A4,'Valo FX'!$A:$A,0)),0,IF(EF$1&lt;INDEX('Valo FX'!$R:$R,MATCH($A4,'Valo FX'!$A:$A,0)),INDEX(Base!$U:$U,MATCH($A4,Base!$A:$A,0)),IF(EF$1=INDEX('Valo FX'!$R:$R,MATCH($A4,'Valo FX'!$A:$A,0)),INDEX(Base!$V:$V,MATCH($A4,Base!$A:$A,0)),0)))</f>
        <v>10.483279</v>
      </c>
      <c r="EG4" s="21">
        <f>IF(EG$1&lt;INDEX('Valo FX'!$Q:$Q,MATCH($A4,'Valo FX'!$A:$A,0)),0,IF(EG$1&lt;INDEX('Valo FX'!$R:$R,MATCH($A4,'Valo FX'!$A:$A,0)),INDEX(Base!$U:$U,MATCH($A4,Base!$A:$A,0)),IF(EG$1=INDEX('Valo FX'!$R:$R,MATCH($A4,'Valo FX'!$A:$A,0)),INDEX(Base!$V:$V,MATCH($A4,Base!$A:$A,0)),0)))</f>
        <v>10.483279</v>
      </c>
      <c r="EH4" s="21">
        <f>IF(EH$1&lt;INDEX('Valo FX'!$Q:$Q,MATCH($A4,'Valo FX'!$A:$A,0)),0,IF(EH$1&lt;INDEX('Valo FX'!$R:$R,MATCH($A4,'Valo FX'!$A:$A,0)),INDEX(Base!$U:$U,MATCH($A4,Base!$A:$A,0)),IF(EH$1=INDEX('Valo FX'!$R:$R,MATCH($A4,'Valo FX'!$A:$A,0)),INDEX(Base!$V:$V,MATCH($A4,Base!$A:$A,0)),0)))</f>
        <v>10.483279</v>
      </c>
      <c r="EI4" s="21">
        <f>IF(EI$1&lt;INDEX('Valo FX'!$Q:$Q,MATCH($A4,'Valo FX'!$A:$A,0)),0,IF(EI$1&lt;INDEX('Valo FX'!$R:$R,MATCH($A4,'Valo FX'!$A:$A,0)),INDEX(Base!$U:$U,MATCH($A4,Base!$A:$A,0)),IF(EI$1=INDEX('Valo FX'!$R:$R,MATCH($A4,'Valo FX'!$A:$A,0)),INDEX(Base!$V:$V,MATCH($A4,Base!$A:$A,0)),0)))</f>
        <v>10.483279</v>
      </c>
      <c r="EJ4" s="21">
        <f>IF(EJ$1&lt;INDEX('Valo FX'!$Q:$Q,MATCH($A4,'Valo FX'!$A:$A,0)),0,IF(EJ$1&lt;INDEX('Valo FX'!$R:$R,MATCH($A4,'Valo FX'!$A:$A,0)),INDEX(Base!$U:$U,MATCH($A4,Base!$A:$A,0)),IF(EJ$1=INDEX('Valo FX'!$R:$R,MATCH($A4,'Valo FX'!$A:$A,0)),INDEX(Base!$V:$V,MATCH($A4,Base!$A:$A,0)),0)))</f>
        <v>10.483279</v>
      </c>
      <c r="EK4" s="21">
        <f>IF(EK$1&lt;INDEX('Valo FX'!$Q:$Q,MATCH($A4,'Valo FX'!$A:$A,0)),0,IF(EK$1&lt;INDEX('Valo FX'!$R:$R,MATCH($A4,'Valo FX'!$A:$A,0)),INDEX(Base!$U:$U,MATCH($A4,Base!$A:$A,0)),IF(EK$1=INDEX('Valo FX'!$R:$R,MATCH($A4,'Valo FX'!$A:$A,0)),INDEX(Base!$V:$V,MATCH($A4,Base!$A:$A,0)),0)))</f>
        <v>10.483279</v>
      </c>
      <c r="EL4" s="21">
        <f>IF(EL$1&lt;INDEX('Valo FX'!$Q:$Q,MATCH($A4,'Valo FX'!$A:$A,0)),0,IF(EL$1&lt;INDEX('Valo FX'!$R:$R,MATCH($A4,'Valo FX'!$A:$A,0)),INDEX(Base!$U:$U,MATCH($A4,Base!$A:$A,0)),IF(EL$1=INDEX('Valo FX'!$R:$R,MATCH($A4,'Valo FX'!$A:$A,0)),INDEX(Base!$V:$V,MATCH($A4,Base!$A:$A,0)),0)))</f>
        <v>10.483279</v>
      </c>
      <c r="EM4" s="21">
        <f>IF(EM$1&lt;INDEX('Valo FX'!$Q:$Q,MATCH($A4,'Valo FX'!$A:$A,0)),0,IF(EM$1&lt;INDEX('Valo FX'!$R:$R,MATCH($A4,'Valo FX'!$A:$A,0)),INDEX(Base!$U:$U,MATCH($A4,Base!$A:$A,0)),IF(EM$1=INDEX('Valo FX'!$R:$R,MATCH($A4,'Valo FX'!$A:$A,0)),INDEX(Base!$V:$V,MATCH($A4,Base!$A:$A,0)),0)))</f>
        <v>10.483279</v>
      </c>
      <c r="EN4" s="21">
        <f>IF(EN$1&lt;INDEX('Valo FX'!$Q:$Q,MATCH($A4,'Valo FX'!$A:$A,0)),0,IF(EN$1&lt;INDEX('Valo FX'!$R:$R,MATCH($A4,'Valo FX'!$A:$A,0)),INDEX(Base!$U:$U,MATCH($A4,Base!$A:$A,0)),IF(EN$1=INDEX('Valo FX'!$R:$R,MATCH($A4,'Valo FX'!$A:$A,0)),INDEX(Base!$V:$V,MATCH($A4,Base!$A:$A,0)),0)))</f>
        <v>10.483279</v>
      </c>
      <c r="EO4" s="21">
        <f>IF(EO$1&lt;INDEX('Valo FX'!$Q:$Q,MATCH($A4,'Valo FX'!$A:$A,0)),0,IF(EO$1&lt;INDEX('Valo FX'!$R:$R,MATCH($A4,'Valo FX'!$A:$A,0)),INDEX(Base!$U:$U,MATCH($A4,Base!$A:$A,0)),IF(EO$1=INDEX('Valo FX'!$R:$R,MATCH($A4,'Valo FX'!$A:$A,0)),INDEX(Base!$V:$V,MATCH($A4,Base!$A:$A,0)),0)))</f>
        <v>10.483279</v>
      </c>
      <c r="EP4" s="21">
        <f>IF(EP$1&lt;INDEX('Valo FX'!$Q:$Q,MATCH($A4,'Valo FX'!$A:$A,0)),0,IF(EP$1&lt;INDEX('Valo FX'!$R:$R,MATCH($A4,'Valo FX'!$A:$A,0)),INDEX(Base!$U:$U,MATCH($A4,Base!$A:$A,0)),IF(EP$1=INDEX('Valo FX'!$R:$R,MATCH($A4,'Valo FX'!$A:$A,0)),INDEX(Base!$V:$V,MATCH($A4,Base!$A:$A,0)),0)))</f>
        <v>10.483279</v>
      </c>
      <c r="EQ4" s="21">
        <f>IF(EQ$1&lt;INDEX('Valo FX'!$Q:$Q,MATCH($A4,'Valo FX'!$A:$A,0)),0,IF(EQ$1&lt;INDEX('Valo FX'!$R:$R,MATCH($A4,'Valo FX'!$A:$A,0)),INDEX(Base!$U:$U,MATCH($A4,Base!$A:$A,0)),IF(EQ$1=INDEX('Valo FX'!$R:$R,MATCH($A4,'Valo FX'!$A:$A,0)),INDEX(Base!$V:$V,MATCH($A4,Base!$A:$A,0)),0)))</f>
        <v>10.483279</v>
      </c>
      <c r="ER4" s="21">
        <f>IF(ER$1&lt;INDEX('Valo FX'!$Q:$Q,MATCH($A4,'Valo FX'!$A:$A,0)),0,IF(ER$1&lt;INDEX('Valo FX'!$R:$R,MATCH($A4,'Valo FX'!$A:$A,0)),INDEX(Base!$U:$U,MATCH($A4,Base!$A:$A,0)),IF(ER$1=INDEX('Valo FX'!$R:$R,MATCH($A4,'Valo FX'!$A:$A,0)),INDEX(Base!$V:$V,MATCH($A4,Base!$A:$A,0)),0)))</f>
        <v>10.483279</v>
      </c>
      <c r="ES4" s="21">
        <f>IF(ES$1&lt;INDEX('Valo FX'!$Q:$Q,MATCH($A4,'Valo FX'!$A:$A,0)),0,IF(ES$1&lt;INDEX('Valo FX'!$R:$R,MATCH($A4,'Valo FX'!$A:$A,0)),INDEX(Base!$U:$U,MATCH($A4,Base!$A:$A,0)),IF(ES$1=INDEX('Valo FX'!$R:$R,MATCH($A4,'Valo FX'!$A:$A,0)),INDEX(Base!$V:$V,MATCH($A4,Base!$A:$A,0)),0)))</f>
        <v>10.483279</v>
      </c>
      <c r="ET4" s="21">
        <f>IF(ET$1&lt;INDEX('Valo FX'!$Q:$Q,MATCH($A4,'Valo FX'!$A:$A,0)),0,IF(ET$1&lt;INDEX('Valo FX'!$R:$R,MATCH($A4,'Valo FX'!$A:$A,0)),INDEX(Base!$U:$U,MATCH($A4,Base!$A:$A,0)),IF(ET$1=INDEX('Valo FX'!$R:$R,MATCH($A4,'Valo FX'!$A:$A,0)),INDEX(Base!$V:$V,MATCH($A4,Base!$A:$A,0)),0)))</f>
        <v>10.483279</v>
      </c>
      <c r="EU4" s="21">
        <f>IF(EU$1&lt;INDEX('Valo FX'!$Q:$Q,MATCH($A4,'Valo FX'!$A:$A,0)),0,IF(EU$1&lt;INDEX('Valo FX'!$R:$R,MATCH($A4,'Valo FX'!$A:$A,0)),INDEX(Base!$U:$U,MATCH($A4,Base!$A:$A,0)),IF(EU$1=INDEX('Valo FX'!$R:$R,MATCH($A4,'Valo FX'!$A:$A,0)),INDEX(Base!$V:$V,MATCH($A4,Base!$A:$A,0)),0)))</f>
        <v>10.483279</v>
      </c>
      <c r="EV4" s="21">
        <f>IF(EV$1&lt;INDEX('Valo FX'!$Q:$Q,MATCH($A4,'Valo FX'!$A:$A,0)),0,IF(EV$1&lt;INDEX('Valo FX'!$R:$R,MATCH($A4,'Valo FX'!$A:$A,0)),INDEX(Base!$U:$U,MATCH($A4,Base!$A:$A,0)),IF(EV$1=INDEX('Valo FX'!$R:$R,MATCH($A4,'Valo FX'!$A:$A,0)),INDEX(Base!$V:$V,MATCH($A4,Base!$A:$A,0)),0)))</f>
        <v>10.483279</v>
      </c>
      <c r="EW4" s="21">
        <f>IF(EW$1&lt;INDEX('Valo FX'!$Q:$Q,MATCH($A4,'Valo FX'!$A:$A,0)),0,IF(EW$1&lt;INDEX('Valo FX'!$R:$R,MATCH($A4,'Valo FX'!$A:$A,0)),INDEX(Base!$U:$U,MATCH($A4,Base!$A:$A,0)),IF(EW$1=INDEX('Valo FX'!$R:$R,MATCH($A4,'Valo FX'!$A:$A,0)),INDEX(Base!$V:$V,MATCH($A4,Base!$A:$A,0)),0)))</f>
        <v>10.483279</v>
      </c>
      <c r="EX4" s="21">
        <f>IF(EX$1&lt;INDEX('Valo FX'!$Q:$Q,MATCH($A4,'Valo FX'!$A:$A,0)),0,IF(EX$1&lt;INDEX('Valo FX'!$R:$R,MATCH($A4,'Valo FX'!$A:$A,0)),INDEX(Base!$U:$U,MATCH($A4,Base!$A:$A,0)),IF(EX$1=INDEX('Valo FX'!$R:$R,MATCH($A4,'Valo FX'!$A:$A,0)),INDEX(Base!$V:$V,MATCH($A4,Base!$A:$A,0)),0)))</f>
        <v>10.483279</v>
      </c>
      <c r="EY4" s="21">
        <f>IF(EY$1&lt;INDEX('Valo FX'!$Q:$Q,MATCH($A4,'Valo FX'!$A:$A,0)),0,IF(EY$1&lt;INDEX('Valo FX'!$R:$R,MATCH($A4,'Valo FX'!$A:$A,0)),INDEX(Base!$U:$U,MATCH($A4,Base!$A:$A,0)),IF(EY$1=INDEX('Valo FX'!$R:$R,MATCH($A4,'Valo FX'!$A:$A,0)),INDEX(Base!$V:$V,MATCH($A4,Base!$A:$A,0)),0)))</f>
        <v>10.483279</v>
      </c>
      <c r="EZ4" s="21">
        <f>IF(EZ$1&lt;INDEX('Valo FX'!$Q:$Q,MATCH($A4,'Valo FX'!$A:$A,0)),0,IF(EZ$1&lt;INDEX('Valo FX'!$R:$R,MATCH($A4,'Valo FX'!$A:$A,0)),INDEX(Base!$U:$U,MATCH($A4,Base!$A:$A,0)),IF(EZ$1=INDEX('Valo FX'!$R:$R,MATCH($A4,'Valo FX'!$A:$A,0)),INDEX(Base!$V:$V,MATCH($A4,Base!$A:$A,0)),0)))</f>
        <v>10.483279</v>
      </c>
      <c r="FA4" s="21">
        <f>IF(FA$1&lt;INDEX('Valo FX'!$Q:$Q,MATCH($A4,'Valo FX'!$A:$A,0)),0,IF(FA$1&lt;INDEX('Valo FX'!$R:$R,MATCH($A4,'Valo FX'!$A:$A,0)),INDEX(Base!$U:$U,MATCH($A4,Base!$A:$A,0)),IF(FA$1=INDEX('Valo FX'!$R:$R,MATCH($A4,'Valo FX'!$A:$A,0)),INDEX(Base!$V:$V,MATCH($A4,Base!$A:$A,0)),0)))</f>
        <v>10.483279</v>
      </c>
      <c r="FB4" s="21">
        <f>IF(FB$1&lt;INDEX('Valo FX'!$Q:$Q,MATCH($A4,'Valo FX'!$A:$A,0)),0,IF(FB$1&lt;INDEX('Valo FX'!$R:$R,MATCH($A4,'Valo FX'!$A:$A,0)),INDEX(Base!$U:$U,MATCH($A4,Base!$A:$A,0)),IF(FB$1=INDEX('Valo FX'!$R:$R,MATCH($A4,'Valo FX'!$A:$A,0)),INDEX(Base!$V:$V,MATCH($A4,Base!$A:$A,0)),0)))</f>
        <v>10.483279</v>
      </c>
      <c r="FC4" s="21">
        <f>IF(FC$1&lt;INDEX('Valo FX'!$Q:$Q,MATCH($A4,'Valo FX'!$A:$A,0)),0,IF(FC$1&lt;INDEX('Valo FX'!$R:$R,MATCH($A4,'Valo FX'!$A:$A,0)),INDEX(Base!$U:$U,MATCH($A4,Base!$A:$A,0)),IF(FC$1=INDEX('Valo FX'!$R:$R,MATCH($A4,'Valo FX'!$A:$A,0)),INDEX(Base!$V:$V,MATCH($A4,Base!$A:$A,0)),0)))</f>
        <v>10.483279</v>
      </c>
      <c r="FD4" s="21">
        <f>IF(FD$1&lt;INDEX('Valo FX'!$Q:$Q,MATCH($A4,'Valo FX'!$A:$A,0)),0,IF(FD$1&lt;INDEX('Valo FX'!$R:$R,MATCH($A4,'Valo FX'!$A:$A,0)),INDEX(Base!$U:$U,MATCH($A4,Base!$A:$A,0)),IF(FD$1=INDEX('Valo FX'!$R:$R,MATCH($A4,'Valo FX'!$A:$A,0)),INDEX(Base!$V:$V,MATCH($A4,Base!$A:$A,0)),0)))</f>
        <v>10.483279</v>
      </c>
      <c r="FE4" s="21">
        <f>IF(FE$1&lt;INDEX('Valo FX'!$Q:$Q,MATCH($A4,'Valo FX'!$A:$A,0)),0,IF(FE$1&lt;INDEX('Valo FX'!$R:$R,MATCH($A4,'Valo FX'!$A:$A,0)),INDEX(Base!$U:$U,MATCH($A4,Base!$A:$A,0)),IF(FE$1=INDEX('Valo FX'!$R:$R,MATCH($A4,'Valo FX'!$A:$A,0)),INDEX(Base!$V:$V,MATCH($A4,Base!$A:$A,0)),0)))</f>
        <v>10.483279</v>
      </c>
      <c r="FF4" s="21">
        <f>IF(FF$1&lt;INDEX('Valo FX'!$Q:$Q,MATCH($A4,'Valo FX'!$A:$A,0)),0,IF(FF$1&lt;INDEX('Valo FX'!$R:$R,MATCH($A4,'Valo FX'!$A:$A,0)),INDEX(Base!$U:$U,MATCH($A4,Base!$A:$A,0)),IF(FF$1=INDEX('Valo FX'!$R:$R,MATCH($A4,'Valo FX'!$A:$A,0)),INDEX(Base!$V:$V,MATCH($A4,Base!$A:$A,0)),0)))</f>
        <v>10.483279</v>
      </c>
      <c r="FG4" s="21">
        <f>IF(FG$1&lt;INDEX('Valo FX'!$Q:$Q,MATCH($A4,'Valo FX'!$A:$A,0)),0,IF(FG$1&lt;INDEX('Valo FX'!$R:$R,MATCH($A4,'Valo FX'!$A:$A,0)),INDEX(Base!$U:$U,MATCH($A4,Base!$A:$A,0)),IF(FG$1=INDEX('Valo FX'!$R:$R,MATCH($A4,'Valo FX'!$A:$A,0)),INDEX(Base!$V:$V,MATCH($A4,Base!$A:$A,0)),0)))</f>
        <v>10.483279</v>
      </c>
      <c r="FH4" s="21">
        <f>IF(FH$1&lt;INDEX('Valo FX'!$Q:$Q,MATCH($A4,'Valo FX'!$A:$A,0)),0,IF(FH$1&lt;INDEX('Valo FX'!$R:$R,MATCH($A4,'Valo FX'!$A:$A,0)),INDEX(Base!$U:$U,MATCH($A4,Base!$A:$A,0)),IF(FH$1=INDEX('Valo FX'!$R:$R,MATCH($A4,'Valo FX'!$A:$A,0)),INDEX(Base!$V:$V,MATCH($A4,Base!$A:$A,0)),0)))</f>
        <v>10.483279</v>
      </c>
      <c r="FI4" s="21">
        <f>IF(FI$1&lt;INDEX('Valo FX'!$Q:$Q,MATCH($A4,'Valo FX'!$A:$A,0)),0,IF(FI$1&lt;INDEX('Valo FX'!$R:$R,MATCH($A4,'Valo FX'!$A:$A,0)),INDEX(Base!$U:$U,MATCH($A4,Base!$A:$A,0)),IF(FI$1=INDEX('Valo FX'!$R:$R,MATCH($A4,'Valo FX'!$A:$A,0)),INDEX(Base!$V:$V,MATCH($A4,Base!$A:$A,0)),0)))</f>
        <v>10.483279</v>
      </c>
      <c r="FJ4" s="21">
        <f>IF(FJ$1&lt;INDEX('Valo FX'!$Q:$Q,MATCH($A4,'Valo FX'!$A:$A,0)),0,IF(FJ$1&lt;INDEX('Valo FX'!$R:$R,MATCH($A4,'Valo FX'!$A:$A,0)),INDEX(Base!$U:$U,MATCH($A4,Base!$A:$A,0)),IF(FJ$1=INDEX('Valo FX'!$R:$R,MATCH($A4,'Valo FX'!$A:$A,0)),INDEX(Base!$V:$V,MATCH($A4,Base!$A:$A,0)),0)))</f>
        <v>10.483279</v>
      </c>
      <c r="FK4" s="21">
        <f>IF(FK$1&lt;INDEX('Valo FX'!$Q:$Q,MATCH($A4,'Valo FX'!$A:$A,0)),0,IF(FK$1&lt;INDEX('Valo FX'!$R:$R,MATCH($A4,'Valo FX'!$A:$A,0)),INDEX(Base!$U:$U,MATCH($A4,Base!$A:$A,0)),IF(FK$1=INDEX('Valo FX'!$R:$R,MATCH($A4,'Valo FX'!$A:$A,0)),INDEX(Base!$V:$V,MATCH($A4,Base!$A:$A,0)),0)))</f>
        <v>10.483279</v>
      </c>
      <c r="FL4" s="21">
        <f>IF(FL$1&lt;INDEX('Valo FX'!$Q:$Q,MATCH($A4,'Valo FX'!$A:$A,0)),0,IF(FL$1&lt;INDEX('Valo FX'!$R:$R,MATCH($A4,'Valo FX'!$A:$A,0)),INDEX(Base!$U:$U,MATCH($A4,Base!$A:$A,0)),IF(FL$1=INDEX('Valo FX'!$R:$R,MATCH($A4,'Valo FX'!$A:$A,0)),INDEX(Base!$V:$V,MATCH($A4,Base!$A:$A,0)),0)))</f>
        <v>10.483279</v>
      </c>
      <c r="FM4" s="21">
        <f>IF(FM$1&lt;INDEX('Valo FX'!$Q:$Q,MATCH($A4,'Valo FX'!$A:$A,0)),0,IF(FM$1&lt;INDEX('Valo FX'!$R:$R,MATCH($A4,'Valo FX'!$A:$A,0)),INDEX(Base!$U:$U,MATCH($A4,Base!$A:$A,0)),IF(FM$1=INDEX('Valo FX'!$R:$R,MATCH($A4,'Valo FX'!$A:$A,0)),INDEX(Base!$V:$V,MATCH($A4,Base!$A:$A,0)),0)))</f>
        <v>10.483279</v>
      </c>
      <c r="FN4" s="21">
        <f>IF(FN$1&lt;INDEX('Valo FX'!$Q:$Q,MATCH($A4,'Valo FX'!$A:$A,0)),0,IF(FN$1&lt;INDEX('Valo FX'!$R:$R,MATCH($A4,'Valo FX'!$A:$A,0)),INDEX(Base!$U:$U,MATCH($A4,Base!$A:$A,0)),IF(FN$1=INDEX('Valo FX'!$R:$R,MATCH($A4,'Valo FX'!$A:$A,0)),INDEX(Base!$V:$V,MATCH($A4,Base!$A:$A,0)),0)))</f>
        <v>10.483279</v>
      </c>
      <c r="FO4" s="21">
        <f>IF(FO$1&lt;INDEX('Valo FX'!$Q:$Q,MATCH($A4,'Valo FX'!$A:$A,0)),0,IF(FO$1&lt;INDEX('Valo FX'!$R:$R,MATCH($A4,'Valo FX'!$A:$A,0)),INDEX(Base!$U:$U,MATCH($A4,Base!$A:$A,0)),IF(FO$1=INDEX('Valo FX'!$R:$R,MATCH($A4,'Valo FX'!$A:$A,0)),INDEX(Base!$V:$V,MATCH($A4,Base!$A:$A,0)),0)))</f>
        <v>10.483279</v>
      </c>
      <c r="FP4" s="21">
        <f>IF(FP$1&lt;INDEX('Valo FX'!$Q:$Q,MATCH($A4,'Valo FX'!$A:$A,0)),0,IF(FP$1&lt;INDEX('Valo FX'!$R:$R,MATCH($A4,'Valo FX'!$A:$A,0)),INDEX(Base!$U:$U,MATCH($A4,Base!$A:$A,0)),IF(FP$1=INDEX('Valo FX'!$R:$R,MATCH($A4,'Valo FX'!$A:$A,0)),INDEX(Base!$V:$V,MATCH($A4,Base!$A:$A,0)),0)))</f>
        <v>10.483279</v>
      </c>
      <c r="FQ4" s="21">
        <f>IF(FQ$1&lt;INDEX('Valo FX'!$Q:$Q,MATCH($A4,'Valo FX'!$A:$A,0)),0,IF(FQ$1&lt;INDEX('Valo FX'!$R:$R,MATCH($A4,'Valo FX'!$A:$A,0)),INDEX(Base!$U:$U,MATCH($A4,Base!$A:$A,0)),IF(FQ$1=INDEX('Valo FX'!$R:$R,MATCH($A4,'Valo FX'!$A:$A,0)),INDEX(Base!$V:$V,MATCH($A4,Base!$A:$A,0)),0)))</f>
        <v>10.483279</v>
      </c>
      <c r="FR4" s="21">
        <f>IF(FR$1&lt;INDEX('Valo FX'!$Q:$Q,MATCH($A4,'Valo FX'!$A:$A,0)),0,IF(FR$1&lt;INDEX('Valo FX'!$R:$R,MATCH($A4,'Valo FX'!$A:$A,0)),INDEX(Base!$U:$U,MATCH($A4,Base!$A:$A,0)),IF(FR$1=INDEX('Valo FX'!$R:$R,MATCH($A4,'Valo FX'!$A:$A,0)),INDEX(Base!$V:$V,MATCH($A4,Base!$A:$A,0)),0)))</f>
        <v>10.483279</v>
      </c>
      <c r="FS4" s="21">
        <f>IF(FS$1&lt;INDEX('Valo FX'!$Q:$Q,MATCH($A4,'Valo FX'!$A:$A,0)),0,IF(FS$1&lt;INDEX('Valo FX'!$R:$R,MATCH($A4,'Valo FX'!$A:$A,0)),INDEX(Base!$U:$U,MATCH($A4,Base!$A:$A,0)),IF(FS$1=INDEX('Valo FX'!$R:$R,MATCH($A4,'Valo FX'!$A:$A,0)),INDEX(Base!$V:$V,MATCH($A4,Base!$A:$A,0)),0)))</f>
        <v>10.483279</v>
      </c>
      <c r="FT4" s="21">
        <f>IF(FT$1&lt;INDEX('Valo FX'!$Q:$Q,MATCH($A4,'Valo FX'!$A:$A,0)),0,IF(FT$1&lt;INDEX('Valo FX'!$R:$R,MATCH($A4,'Valo FX'!$A:$A,0)),INDEX(Base!$U:$U,MATCH($A4,Base!$A:$A,0)),IF(FT$1=INDEX('Valo FX'!$R:$R,MATCH($A4,'Valo FX'!$A:$A,0)),INDEX(Base!$V:$V,MATCH($A4,Base!$A:$A,0)),0)))</f>
        <v>10.483279</v>
      </c>
      <c r="FU4" s="21">
        <f>IF(FU$1&lt;INDEX('Valo FX'!$Q:$Q,MATCH($A4,'Valo FX'!$A:$A,0)),0,IF(FU$1&lt;INDEX('Valo FX'!$R:$R,MATCH($A4,'Valo FX'!$A:$A,0)),INDEX(Base!$U:$U,MATCH($A4,Base!$A:$A,0)),IF(FU$1=INDEX('Valo FX'!$R:$R,MATCH($A4,'Valo FX'!$A:$A,0)),INDEX(Base!$V:$V,MATCH($A4,Base!$A:$A,0)),0)))</f>
        <v>10.483279</v>
      </c>
      <c r="FV4" s="21">
        <f>IF(FV$1&lt;INDEX('Valo FX'!$Q:$Q,MATCH($A4,'Valo FX'!$A:$A,0)),0,IF(FV$1&lt;INDEX('Valo FX'!$R:$R,MATCH($A4,'Valo FX'!$A:$A,0)),INDEX(Base!$U:$U,MATCH($A4,Base!$A:$A,0)),IF(FV$1=INDEX('Valo FX'!$R:$R,MATCH($A4,'Valo FX'!$A:$A,0)),INDEX(Base!$V:$V,MATCH($A4,Base!$A:$A,0)),0)))</f>
        <v>10.483279</v>
      </c>
      <c r="FW4" s="21">
        <f>IF(FW$1&lt;INDEX('Valo FX'!$Q:$Q,MATCH($A4,'Valo FX'!$A:$A,0)),0,IF(FW$1&lt;INDEX('Valo FX'!$R:$R,MATCH($A4,'Valo FX'!$A:$A,0)),INDEX(Base!$U:$U,MATCH($A4,Base!$A:$A,0)),IF(FW$1=INDEX('Valo FX'!$R:$R,MATCH($A4,'Valo FX'!$A:$A,0)),INDEX(Base!$V:$V,MATCH($A4,Base!$A:$A,0)),0)))</f>
        <v>10.483279</v>
      </c>
      <c r="FX4" s="21">
        <f>IF(FX$1&lt;INDEX('Valo FX'!$Q:$Q,MATCH($A4,'Valo FX'!$A:$A,0)),0,IF(FX$1&lt;INDEX('Valo FX'!$R:$R,MATCH($A4,'Valo FX'!$A:$A,0)),INDEX(Base!$U:$U,MATCH($A4,Base!$A:$A,0)),IF(FX$1=INDEX('Valo FX'!$R:$R,MATCH($A4,'Valo FX'!$A:$A,0)),INDEX(Base!$V:$V,MATCH($A4,Base!$A:$A,0)),0)))</f>
        <v>10.483279</v>
      </c>
      <c r="FY4" s="21">
        <f>IF(FY$1&lt;INDEX('Valo FX'!$Q:$Q,MATCH($A4,'Valo FX'!$A:$A,0)),0,IF(FY$1&lt;INDEX('Valo FX'!$R:$R,MATCH($A4,'Valo FX'!$A:$A,0)),INDEX(Base!$U:$U,MATCH($A4,Base!$A:$A,0)),IF(FY$1=INDEX('Valo FX'!$R:$R,MATCH($A4,'Valo FX'!$A:$A,0)),INDEX(Base!$V:$V,MATCH($A4,Base!$A:$A,0)),0)))</f>
        <v>10.483279</v>
      </c>
      <c r="FZ4" s="21">
        <f>IF(FZ$1&lt;INDEX('Valo FX'!$Q:$Q,MATCH($A4,'Valo FX'!$A:$A,0)),0,IF(FZ$1&lt;INDEX('Valo FX'!$R:$R,MATCH($A4,'Valo FX'!$A:$A,0)),INDEX(Base!$U:$U,MATCH($A4,Base!$A:$A,0)),IF(FZ$1=INDEX('Valo FX'!$R:$R,MATCH($A4,'Valo FX'!$A:$A,0)),INDEX(Base!$V:$V,MATCH($A4,Base!$A:$A,0)),0)))</f>
        <v>10.483279</v>
      </c>
      <c r="GA4" s="21">
        <f>IF(GA$1&lt;INDEX('Valo FX'!$Q:$Q,MATCH($A4,'Valo FX'!$A:$A,0)),0,IF(GA$1&lt;INDEX('Valo FX'!$R:$R,MATCH($A4,'Valo FX'!$A:$A,0)),INDEX(Base!$U:$U,MATCH($A4,Base!$A:$A,0)),IF(GA$1=INDEX('Valo FX'!$R:$R,MATCH($A4,'Valo FX'!$A:$A,0)),INDEX(Base!$V:$V,MATCH($A4,Base!$A:$A,0)),0)))</f>
        <v>10.483279</v>
      </c>
      <c r="GB4" s="21">
        <f>IF(GB$1&lt;INDEX('Valo FX'!$Q:$Q,MATCH($A4,'Valo FX'!$A:$A,0)),0,IF(GB$1&lt;INDEX('Valo FX'!$R:$R,MATCH($A4,'Valo FX'!$A:$A,0)),INDEX(Base!$U:$U,MATCH($A4,Base!$A:$A,0)),IF(GB$1=INDEX('Valo FX'!$R:$R,MATCH($A4,'Valo FX'!$A:$A,0)),INDEX(Base!$V:$V,MATCH($A4,Base!$A:$A,0)),0)))</f>
        <v>10.483279</v>
      </c>
      <c r="GC4" s="21">
        <f>IF(GC$1&lt;INDEX('Valo FX'!$Q:$Q,MATCH($A4,'Valo FX'!$A:$A,0)),0,IF(GC$1&lt;INDEX('Valo FX'!$R:$R,MATCH($A4,'Valo FX'!$A:$A,0)),INDEX(Base!$U:$U,MATCH($A4,Base!$A:$A,0)),IF(GC$1=INDEX('Valo FX'!$R:$R,MATCH($A4,'Valo FX'!$A:$A,0)),INDEX(Base!$V:$V,MATCH($A4,Base!$A:$A,0)),0)))</f>
        <v>10.483279</v>
      </c>
      <c r="GD4" s="21">
        <f>IF(GD$1&lt;INDEX('Valo FX'!$Q:$Q,MATCH($A4,'Valo FX'!$A:$A,0)),0,IF(GD$1&lt;INDEX('Valo FX'!$R:$R,MATCH($A4,'Valo FX'!$A:$A,0)),INDEX(Base!$U:$U,MATCH($A4,Base!$A:$A,0)),IF(GD$1=INDEX('Valo FX'!$R:$R,MATCH($A4,'Valo FX'!$A:$A,0)),INDEX(Base!$V:$V,MATCH($A4,Base!$A:$A,0)),0)))</f>
        <v>10.483279</v>
      </c>
      <c r="GE4" s="21">
        <f>IF(GE$1&lt;INDEX('Valo FX'!$Q:$Q,MATCH($A4,'Valo FX'!$A:$A,0)),0,IF(GE$1&lt;INDEX('Valo FX'!$R:$R,MATCH($A4,'Valo FX'!$A:$A,0)),INDEX(Base!$U:$U,MATCH($A4,Base!$A:$A,0)),IF(GE$1=INDEX('Valo FX'!$R:$R,MATCH($A4,'Valo FX'!$A:$A,0)),INDEX(Base!$V:$V,MATCH($A4,Base!$A:$A,0)),0)))</f>
        <v>10.483279</v>
      </c>
      <c r="GF4" s="21">
        <f>IF(GF$1&lt;INDEX('Valo FX'!$Q:$Q,MATCH($A4,'Valo FX'!$A:$A,0)),0,IF(GF$1&lt;INDEX('Valo FX'!$R:$R,MATCH($A4,'Valo FX'!$A:$A,0)),INDEX(Base!$U:$U,MATCH($A4,Base!$A:$A,0)),IF(GF$1=INDEX('Valo FX'!$R:$R,MATCH($A4,'Valo FX'!$A:$A,0)),INDEX(Base!$V:$V,MATCH($A4,Base!$A:$A,0)),0)))</f>
        <v>10.483279</v>
      </c>
      <c r="GG4" s="21">
        <f>IF(GG$1&lt;INDEX('Valo FX'!$Q:$Q,MATCH($A4,'Valo FX'!$A:$A,0)),0,IF(GG$1&lt;INDEX('Valo FX'!$R:$R,MATCH($A4,'Valo FX'!$A:$A,0)),INDEX(Base!$U:$U,MATCH($A4,Base!$A:$A,0)),IF(GG$1=INDEX('Valo FX'!$R:$R,MATCH($A4,'Valo FX'!$A:$A,0)),INDEX(Base!$V:$V,MATCH($A4,Base!$A:$A,0)),0)))</f>
        <v>10.483279</v>
      </c>
      <c r="GH4" s="21">
        <f>IF(GH$1&lt;INDEX('Valo FX'!$Q:$Q,MATCH($A4,'Valo FX'!$A:$A,0)),0,IF(GH$1&lt;INDEX('Valo FX'!$R:$R,MATCH($A4,'Valo FX'!$A:$A,0)),INDEX(Base!$U:$U,MATCH($A4,Base!$A:$A,0)),IF(GH$1=INDEX('Valo FX'!$R:$R,MATCH($A4,'Valo FX'!$A:$A,0)),INDEX(Base!$V:$V,MATCH($A4,Base!$A:$A,0)),0)))</f>
        <v>10.483279</v>
      </c>
      <c r="GI4" s="21">
        <f>IF(GI$1&lt;INDEX('Valo FX'!$Q:$Q,MATCH($A4,'Valo FX'!$A:$A,0)),0,IF(GI$1&lt;INDEX('Valo FX'!$R:$R,MATCH($A4,'Valo FX'!$A:$A,0)),INDEX(Base!$U:$U,MATCH($A4,Base!$A:$A,0)),IF(GI$1=INDEX('Valo FX'!$R:$R,MATCH($A4,'Valo FX'!$A:$A,0)),INDEX(Base!$V:$V,MATCH($A4,Base!$A:$A,0)),0)))</f>
        <v>10.483279</v>
      </c>
      <c r="GJ4" s="21">
        <f>IF(GJ$1&lt;INDEX('Valo FX'!$Q:$Q,MATCH($A4,'Valo FX'!$A:$A,0)),0,IF(GJ$1&lt;INDEX('Valo FX'!$R:$R,MATCH($A4,'Valo FX'!$A:$A,0)),INDEX(Base!$U:$U,MATCH($A4,Base!$A:$A,0)),IF(GJ$1=INDEX('Valo FX'!$R:$R,MATCH($A4,'Valo FX'!$A:$A,0)),INDEX(Base!$V:$V,MATCH($A4,Base!$A:$A,0)),0)))</f>
        <v>10.483279</v>
      </c>
      <c r="GK4" s="21">
        <f>IF(GK$1&lt;INDEX('Valo FX'!$Q:$Q,MATCH($A4,'Valo FX'!$A:$A,0)),0,IF(GK$1&lt;INDEX('Valo FX'!$R:$R,MATCH($A4,'Valo FX'!$A:$A,0)),INDEX(Base!$U:$U,MATCH($A4,Base!$A:$A,0)),IF(GK$1=INDEX('Valo FX'!$R:$R,MATCH($A4,'Valo FX'!$A:$A,0)),INDEX(Base!$V:$V,MATCH($A4,Base!$A:$A,0)),0)))</f>
        <v>10.483279</v>
      </c>
      <c r="GL4" s="21">
        <f>IF(GL$1&lt;INDEX('Valo FX'!$Q:$Q,MATCH($A4,'Valo FX'!$A:$A,0)),0,IF(GL$1&lt;INDEX('Valo FX'!$R:$R,MATCH($A4,'Valo FX'!$A:$A,0)),INDEX(Base!$U:$U,MATCH($A4,Base!$A:$A,0)),IF(GL$1=INDEX('Valo FX'!$R:$R,MATCH($A4,'Valo FX'!$A:$A,0)),INDEX(Base!$V:$V,MATCH($A4,Base!$A:$A,0)),0)))</f>
        <v>10.483279</v>
      </c>
      <c r="GM4" s="21">
        <f>IF(GM$1&lt;INDEX('Valo FX'!$Q:$Q,MATCH($A4,'Valo FX'!$A:$A,0)),0,IF(GM$1&lt;INDEX('Valo FX'!$R:$R,MATCH($A4,'Valo FX'!$A:$A,0)),INDEX(Base!$U:$U,MATCH($A4,Base!$A:$A,0)),IF(GM$1=INDEX('Valo FX'!$R:$R,MATCH($A4,'Valo FX'!$A:$A,0)),INDEX(Base!$V:$V,MATCH($A4,Base!$A:$A,0)),0)))</f>
        <v>10.483279</v>
      </c>
      <c r="GN4" s="21">
        <f>IF(GN$1&lt;INDEX('Valo FX'!$Q:$Q,MATCH($A4,'Valo FX'!$A:$A,0)),0,IF(GN$1&lt;INDEX('Valo FX'!$R:$R,MATCH($A4,'Valo FX'!$A:$A,0)),INDEX(Base!$U:$U,MATCH($A4,Base!$A:$A,0)),IF(GN$1=INDEX('Valo FX'!$R:$R,MATCH($A4,'Valo FX'!$A:$A,0)),INDEX(Base!$V:$V,MATCH($A4,Base!$A:$A,0)),0)))</f>
        <v>10.483279</v>
      </c>
      <c r="GO4" s="21">
        <f>IF(GO$1&lt;INDEX('Valo FX'!$Q:$Q,MATCH($A4,'Valo FX'!$A:$A,0)),0,IF(GO$1&lt;INDEX('Valo FX'!$R:$R,MATCH($A4,'Valo FX'!$A:$A,0)),INDEX(Base!$U:$U,MATCH($A4,Base!$A:$A,0)),IF(GO$1=INDEX('Valo FX'!$R:$R,MATCH($A4,'Valo FX'!$A:$A,0)),INDEX(Base!$V:$V,MATCH($A4,Base!$A:$A,0)),0)))</f>
        <v>10.483279</v>
      </c>
      <c r="GP4" s="21">
        <f>IF(GP$1&lt;INDEX('Valo FX'!$Q:$Q,MATCH($A4,'Valo FX'!$A:$A,0)),0,IF(GP$1&lt;INDEX('Valo FX'!$R:$R,MATCH($A4,'Valo FX'!$A:$A,0)),INDEX(Base!$U:$U,MATCH($A4,Base!$A:$A,0)),IF(GP$1=INDEX('Valo FX'!$R:$R,MATCH($A4,'Valo FX'!$A:$A,0)),INDEX(Base!$V:$V,MATCH($A4,Base!$A:$A,0)),0)))</f>
        <v>10.483279</v>
      </c>
      <c r="GQ4" s="21">
        <f>IF(GQ$1&lt;INDEX('Valo FX'!$Q:$Q,MATCH($A4,'Valo FX'!$A:$A,0)),0,IF(GQ$1&lt;INDEX('Valo FX'!$R:$R,MATCH($A4,'Valo FX'!$A:$A,0)),INDEX(Base!$U:$U,MATCH($A4,Base!$A:$A,0)),IF(GQ$1=INDEX('Valo FX'!$R:$R,MATCH($A4,'Valo FX'!$A:$A,0)),INDEX(Base!$V:$V,MATCH($A4,Base!$A:$A,0)),0)))</f>
        <v>10.483279</v>
      </c>
      <c r="GR4" s="21">
        <f>IF(GR$1&lt;INDEX('Valo FX'!$Q:$Q,MATCH($A4,'Valo FX'!$A:$A,0)),0,IF(GR$1&lt;INDEX('Valo FX'!$R:$R,MATCH($A4,'Valo FX'!$A:$A,0)),INDEX(Base!$U:$U,MATCH($A4,Base!$A:$A,0)),IF(GR$1=INDEX('Valo FX'!$R:$R,MATCH($A4,'Valo FX'!$A:$A,0)),INDEX(Base!$V:$V,MATCH($A4,Base!$A:$A,0)),0)))</f>
        <v>10.483279</v>
      </c>
      <c r="GS4" s="21">
        <f>IF(GS$1&lt;INDEX('Valo FX'!$Q:$Q,MATCH($A4,'Valo FX'!$A:$A,0)),0,IF(GS$1&lt;INDEX('Valo FX'!$R:$R,MATCH($A4,'Valo FX'!$A:$A,0)),INDEX(Base!$U:$U,MATCH($A4,Base!$A:$A,0)),IF(GS$1=INDEX('Valo FX'!$R:$R,MATCH($A4,'Valo FX'!$A:$A,0)),INDEX(Base!$V:$V,MATCH($A4,Base!$A:$A,0)),0)))</f>
        <v>10.483279</v>
      </c>
      <c r="GT4" s="21">
        <f>IF(GT$1&lt;INDEX('Valo FX'!$Q:$Q,MATCH($A4,'Valo FX'!$A:$A,0)),0,IF(GT$1&lt;INDEX('Valo FX'!$R:$R,MATCH($A4,'Valo FX'!$A:$A,0)),INDEX(Base!$U:$U,MATCH($A4,Base!$A:$A,0)),IF(GT$1=INDEX('Valo FX'!$R:$R,MATCH($A4,'Valo FX'!$A:$A,0)),INDEX(Base!$V:$V,MATCH($A4,Base!$A:$A,0)),0)))</f>
        <v>10.483279</v>
      </c>
      <c r="GU4" s="21">
        <f>IF(GU$1&lt;INDEX('Valo FX'!$Q:$Q,MATCH($A4,'Valo FX'!$A:$A,0)),0,IF(GU$1&lt;INDEX('Valo FX'!$R:$R,MATCH($A4,'Valo FX'!$A:$A,0)),INDEX(Base!$U:$U,MATCH($A4,Base!$A:$A,0)),IF(GU$1=INDEX('Valo FX'!$R:$R,MATCH($A4,'Valo FX'!$A:$A,0)),INDEX(Base!$V:$V,MATCH($A4,Base!$A:$A,0)),0)))</f>
        <v>10.483279</v>
      </c>
      <c r="GV4" s="21">
        <f>IF(GV$1&lt;INDEX('Valo FX'!$Q:$Q,MATCH($A4,'Valo FX'!$A:$A,0)),0,IF(GV$1&lt;INDEX('Valo FX'!$R:$R,MATCH($A4,'Valo FX'!$A:$A,0)),INDEX(Base!$U:$U,MATCH($A4,Base!$A:$A,0)),IF(GV$1=INDEX('Valo FX'!$R:$R,MATCH($A4,'Valo FX'!$A:$A,0)),INDEX(Base!$V:$V,MATCH($A4,Base!$A:$A,0)),0)))</f>
        <v>10.483279</v>
      </c>
      <c r="GW4" s="21">
        <f>IF(GW$1&lt;INDEX('Valo FX'!$Q:$Q,MATCH($A4,'Valo FX'!$A:$A,0)),0,IF(GW$1&lt;INDEX('Valo FX'!$R:$R,MATCH($A4,'Valo FX'!$A:$A,0)),INDEX(Base!$U:$U,MATCH($A4,Base!$A:$A,0)),IF(GW$1=INDEX('Valo FX'!$R:$R,MATCH($A4,'Valo FX'!$A:$A,0)),INDEX(Base!$V:$V,MATCH($A4,Base!$A:$A,0)),0)))</f>
        <v>10.483279</v>
      </c>
      <c r="GX4" s="21">
        <f>IF(GX$1&lt;INDEX('Valo FX'!$Q:$Q,MATCH($A4,'Valo FX'!$A:$A,0)),0,IF(GX$1&lt;INDEX('Valo FX'!$R:$R,MATCH($A4,'Valo FX'!$A:$A,0)),INDEX(Base!$U:$U,MATCH($A4,Base!$A:$A,0)),IF(GX$1=INDEX('Valo FX'!$R:$R,MATCH($A4,'Valo FX'!$A:$A,0)),INDEX(Base!$V:$V,MATCH($A4,Base!$A:$A,0)),0)))</f>
        <v>10.483279</v>
      </c>
      <c r="GY4" s="21">
        <f>IF(GY$1&lt;INDEX('Valo FX'!$Q:$Q,MATCH($A4,'Valo FX'!$A:$A,0)),0,IF(GY$1&lt;INDEX('Valo FX'!$R:$R,MATCH($A4,'Valo FX'!$A:$A,0)),INDEX(Base!$U:$U,MATCH($A4,Base!$A:$A,0)),IF(GY$1=INDEX('Valo FX'!$R:$R,MATCH($A4,'Valo FX'!$A:$A,0)),INDEX(Base!$V:$V,MATCH($A4,Base!$A:$A,0)),0)))</f>
        <v>10.483279</v>
      </c>
      <c r="GZ4" s="21">
        <f>IF(GZ$1&lt;INDEX('Valo FX'!$Q:$Q,MATCH($A4,'Valo FX'!$A:$A,0)),0,IF(GZ$1&lt;INDEX('Valo FX'!$R:$R,MATCH($A4,'Valo FX'!$A:$A,0)),INDEX(Base!$U:$U,MATCH($A4,Base!$A:$A,0)),IF(GZ$1=INDEX('Valo FX'!$R:$R,MATCH($A4,'Valo FX'!$A:$A,0)),INDEX(Base!$V:$V,MATCH($A4,Base!$A:$A,0)),0)))</f>
        <v>10.483279</v>
      </c>
      <c r="HA4" s="21">
        <f>IF(HA$1&lt;INDEX('Valo FX'!$Q:$Q,MATCH($A4,'Valo FX'!$A:$A,0)),0,IF(HA$1&lt;INDEX('Valo FX'!$R:$R,MATCH($A4,'Valo FX'!$A:$A,0)),INDEX(Base!$U:$U,MATCH($A4,Base!$A:$A,0)),IF(HA$1=INDEX('Valo FX'!$R:$R,MATCH($A4,'Valo FX'!$A:$A,0)),INDEX(Base!$V:$V,MATCH($A4,Base!$A:$A,0)),0)))</f>
        <v>10.483279</v>
      </c>
      <c r="HB4" s="21">
        <f>IF(HB$1&lt;INDEX('Valo FX'!$Q:$Q,MATCH($A4,'Valo FX'!$A:$A,0)),0,IF(HB$1&lt;INDEX('Valo FX'!$R:$R,MATCH($A4,'Valo FX'!$A:$A,0)),INDEX(Base!$U:$U,MATCH($A4,Base!$A:$A,0)),IF(HB$1=INDEX('Valo FX'!$R:$R,MATCH($A4,'Valo FX'!$A:$A,0)),INDEX(Base!$V:$V,MATCH($A4,Base!$A:$A,0)),0)))</f>
        <v>10.483279</v>
      </c>
      <c r="HC4" s="21">
        <f>IF(HC$1&lt;INDEX('Valo FX'!$Q:$Q,MATCH($A4,'Valo FX'!$A:$A,0)),0,IF(HC$1&lt;INDEX('Valo FX'!$R:$R,MATCH($A4,'Valo FX'!$A:$A,0)),INDEX(Base!$U:$U,MATCH($A4,Base!$A:$A,0)),IF(HC$1=INDEX('Valo FX'!$R:$R,MATCH($A4,'Valo FX'!$A:$A,0)),INDEX(Base!$V:$V,MATCH($A4,Base!$A:$A,0)),0)))</f>
        <v>10.483279</v>
      </c>
      <c r="HD4" s="21">
        <f>IF(HD$1&lt;INDEX('Valo FX'!$Q:$Q,MATCH($A4,'Valo FX'!$A:$A,0)),0,IF(HD$1&lt;INDEX('Valo FX'!$R:$R,MATCH($A4,'Valo FX'!$A:$A,0)),INDEX(Base!$U:$U,MATCH($A4,Base!$A:$A,0)),IF(HD$1=INDEX('Valo FX'!$R:$R,MATCH($A4,'Valo FX'!$A:$A,0)),INDEX(Base!$V:$V,MATCH($A4,Base!$A:$A,0)),0)))</f>
        <v>10.483279</v>
      </c>
      <c r="HE4" s="21">
        <f>IF(HE$1&lt;INDEX('Valo FX'!$Q:$Q,MATCH($A4,'Valo FX'!$A:$A,0)),0,IF(HE$1&lt;INDEX('Valo FX'!$R:$R,MATCH($A4,'Valo FX'!$A:$A,0)),INDEX(Base!$U:$U,MATCH($A4,Base!$A:$A,0)),IF(HE$1=INDEX('Valo FX'!$R:$R,MATCH($A4,'Valo FX'!$A:$A,0)),INDEX(Base!$V:$V,MATCH($A4,Base!$A:$A,0)),0)))</f>
        <v>10.483279</v>
      </c>
      <c r="HF4" s="21">
        <f>IF(HF$1&lt;INDEX('Valo FX'!$Q:$Q,MATCH($A4,'Valo FX'!$A:$A,0)),0,IF(HF$1&lt;INDEX('Valo FX'!$R:$R,MATCH($A4,'Valo FX'!$A:$A,0)),INDEX(Base!$U:$U,MATCH($A4,Base!$A:$A,0)),IF(HF$1=INDEX('Valo FX'!$R:$R,MATCH($A4,'Valo FX'!$A:$A,0)),INDEX(Base!$V:$V,MATCH($A4,Base!$A:$A,0)),0)))</f>
        <v>10.483279</v>
      </c>
      <c r="HG4" s="21">
        <f>IF(HG$1&lt;INDEX('Valo FX'!$Q:$Q,MATCH($A4,'Valo FX'!$A:$A,0)),0,IF(HG$1&lt;INDEX('Valo FX'!$R:$R,MATCH($A4,'Valo FX'!$A:$A,0)),INDEX(Base!$U:$U,MATCH($A4,Base!$A:$A,0)),IF(HG$1=INDEX('Valo FX'!$R:$R,MATCH($A4,'Valo FX'!$A:$A,0)),INDEX(Base!$V:$V,MATCH($A4,Base!$A:$A,0)),0)))</f>
        <v>10.483279</v>
      </c>
      <c r="HH4" s="21">
        <f>IF(HH$1&lt;INDEX('Valo FX'!$Q:$Q,MATCH($A4,'Valo FX'!$A:$A,0)),0,IF(HH$1&lt;INDEX('Valo FX'!$R:$R,MATCH($A4,'Valo FX'!$A:$A,0)),INDEX(Base!$U:$U,MATCH($A4,Base!$A:$A,0)),IF(HH$1=INDEX('Valo FX'!$R:$R,MATCH($A4,'Valo FX'!$A:$A,0)),INDEX(Base!$V:$V,MATCH($A4,Base!$A:$A,0)),0)))</f>
        <v>10.483279</v>
      </c>
      <c r="HI4" s="21">
        <f>IF(HI$1&lt;INDEX('Valo FX'!$Q:$Q,MATCH($A4,'Valo FX'!$A:$A,0)),0,IF(HI$1&lt;INDEX('Valo FX'!$R:$R,MATCH($A4,'Valo FX'!$A:$A,0)),INDEX(Base!$U:$U,MATCH($A4,Base!$A:$A,0)),IF(HI$1=INDEX('Valo FX'!$R:$R,MATCH($A4,'Valo FX'!$A:$A,0)),INDEX(Base!$V:$V,MATCH($A4,Base!$A:$A,0)),0)))</f>
        <v>10.483279</v>
      </c>
      <c r="HJ4" s="21">
        <f>IF(HJ$1&lt;INDEX('Valo FX'!$Q:$Q,MATCH($A4,'Valo FX'!$A:$A,0)),0,IF(HJ$1&lt;INDEX('Valo FX'!$R:$R,MATCH($A4,'Valo FX'!$A:$A,0)),INDEX(Base!$U:$U,MATCH($A4,Base!$A:$A,0)),IF(HJ$1=INDEX('Valo FX'!$R:$R,MATCH($A4,'Valo FX'!$A:$A,0)),INDEX(Base!$V:$V,MATCH($A4,Base!$A:$A,0)),0)))</f>
        <v>10.483279</v>
      </c>
      <c r="HK4" s="21">
        <f>IF(HK$1&lt;INDEX('Valo FX'!$Q:$Q,MATCH($A4,'Valo FX'!$A:$A,0)),0,IF(HK$1&lt;INDEX('Valo FX'!$R:$R,MATCH($A4,'Valo FX'!$A:$A,0)),INDEX(Base!$U:$U,MATCH($A4,Base!$A:$A,0)),IF(HK$1=INDEX('Valo FX'!$R:$R,MATCH($A4,'Valo FX'!$A:$A,0)),INDEX(Base!$V:$V,MATCH($A4,Base!$A:$A,0)),0)))</f>
        <v>10.483279</v>
      </c>
      <c r="HL4" s="21">
        <f>IF(HL$1&lt;INDEX('Valo FX'!$Q:$Q,MATCH($A4,'Valo FX'!$A:$A,0)),0,IF(HL$1&lt;INDEX('Valo FX'!$R:$R,MATCH($A4,'Valo FX'!$A:$A,0)),INDEX(Base!$U:$U,MATCH($A4,Base!$A:$A,0)),IF(HL$1=INDEX('Valo FX'!$R:$R,MATCH($A4,'Valo FX'!$A:$A,0)),INDEX(Base!$V:$V,MATCH($A4,Base!$A:$A,0)),0)))</f>
        <v>10.483279</v>
      </c>
      <c r="HM4" s="21">
        <f>IF(HM$1&lt;INDEX('Valo FX'!$Q:$Q,MATCH($A4,'Valo FX'!$A:$A,0)),0,IF(HM$1&lt;INDEX('Valo FX'!$R:$R,MATCH($A4,'Valo FX'!$A:$A,0)),INDEX(Base!$U:$U,MATCH($A4,Base!$A:$A,0)),IF(HM$1=INDEX('Valo FX'!$R:$R,MATCH($A4,'Valo FX'!$A:$A,0)),INDEX(Base!$V:$V,MATCH($A4,Base!$A:$A,0)),0)))</f>
        <v>10.483279</v>
      </c>
      <c r="HN4" s="21">
        <f>IF(HN$1&lt;INDEX('Valo FX'!$Q:$Q,MATCH($A4,'Valo FX'!$A:$A,0)),0,IF(HN$1&lt;INDEX('Valo FX'!$R:$R,MATCH($A4,'Valo FX'!$A:$A,0)),INDEX(Base!$U:$U,MATCH($A4,Base!$A:$A,0)),IF(HN$1=INDEX('Valo FX'!$R:$R,MATCH($A4,'Valo FX'!$A:$A,0)),INDEX(Base!$V:$V,MATCH($A4,Base!$A:$A,0)),0)))</f>
        <v>10.483279</v>
      </c>
      <c r="HO4" s="21">
        <f>IF(HO$1&lt;INDEX('Valo FX'!$Q:$Q,MATCH($A4,'Valo FX'!$A:$A,0)),0,IF(HO$1&lt;INDEX('Valo FX'!$R:$R,MATCH($A4,'Valo FX'!$A:$A,0)),INDEX(Base!$U:$U,MATCH($A4,Base!$A:$A,0)),IF(HO$1=INDEX('Valo FX'!$R:$R,MATCH($A4,'Valo FX'!$A:$A,0)),INDEX(Base!$V:$V,MATCH($A4,Base!$A:$A,0)),0)))</f>
        <v>10.483279</v>
      </c>
      <c r="HP4" s="21">
        <f>IF(HP$1&lt;INDEX('Valo FX'!$Q:$Q,MATCH($A4,'Valo FX'!$A:$A,0)),0,IF(HP$1&lt;INDEX('Valo FX'!$R:$R,MATCH($A4,'Valo FX'!$A:$A,0)),INDEX(Base!$U:$U,MATCH($A4,Base!$A:$A,0)),IF(HP$1=INDEX('Valo FX'!$R:$R,MATCH($A4,'Valo FX'!$A:$A,0)),INDEX(Base!$V:$V,MATCH($A4,Base!$A:$A,0)),0)))</f>
        <v>10.483279</v>
      </c>
      <c r="HQ4" s="21">
        <f>IF(HQ$1&lt;INDEX('Valo FX'!$Q:$Q,MATCH($A4,'Valo FX'!$A:$A,0)),0,IF(HQ$1&lt;INDEX('Valo FX'!$R:$R,MATCH($A4,'Valo FX'!$A:$A,0)),INDEX(Base!$U:$U,MATCH($A4,Base!$A:$A,0)),IF(HQ$1=INDEX('Valo FX'!$R:$R,MATCH($A4,'Valo FX'!$A:$A,0)),INDEX(Base!$V:$V,MATCH($A4,Base!$A:$A,0)),0)))</f>
        <v>10.483279</v>
      </c>
      <c r="HR4" s="21">
        <f>IF(HR$1&lt;INDEX('Valo FX'!$Q:$Q,MATCH($A4,'Valo FX'!$A:$A,0)),0,IF(HR$1&lt;INDEX('Valo FX'!$R:$R,MATCH($A4,'Valo FX'!$A:$A,0)),INDEX(Base!$U:$U,MATCH($A4,Base!$A:$A,0)),IF(HR$1=INDEX('Valo FX'!$R:$R,MATCH($A4,'Valo FX'!$A:$A,0)),INDEX(Base!$V:$V,MATCH($A4,Base!$A:$A,0)),0)))</f>
        <v>10.483279</v>
      </c>
      <c r="HS4" s="21">
        <f>IF(HS$1&lt;INDEX('Valo FX'!$Q:$Q,MATCH($A4,'Valo FX'!$A:$A,0)),0,IF(HS$1&lt;INDEX('Valo FX'!$R:$R,MATCH($A4,'Valo FX'!$A:$A,0)),INDEX(Base!$U:$U,MATCH($A4,Base!$A:$A,0)),IF(HS$1=INDEX('Valo FX'!$R:$R,MATCH($A4,'Valo FX'!$A:$A,0)),INDEX(Base!$V:$V,MATCH($A4,Base!$A:$A,0)),0)))</f>
        <v>10.483279</v>
      </c>
      <c r="HT4" s="21">
        <f>IF(HT$1&lt;INDEX('Valo FX'!$Q:$Q,MATCH($A4,'Valo FX'!$A:$A,0)),0,IF(HT$1&lt;INDEX('Valo FX'!$R:$R,MATCH($A4,'Valo FX'!$A:$A,0)),INDEX(Base!$U:$U,MATCH($A4,Base!$A:$A,0)),IF(HT$1=INDEX('Valo FX'!$R:$R,MATCH($A4,'Valo FX'!$A:$A,0)),INDEX(Base!$V:$V,MATCH($A4,Base!$A:$A,0)),0)))</f>
        <v>10.483279</v>
      </c>
      <c r="HU4" s="21">
        <f>IF(HU$1&lt;INDEX('Valo FX'!$Q:$Q,MATCH($A4,'Valo FX'!$A:$A,0)),0,IF(HU$1&lt;INDEX('Valo FX'!$R:$R,MATCH($A4,'Valo FX'!$A:$A,0)),INDEX(Base!$U:$U,MATCH($A4,Base!$A:$A,0)),IF(HU$1=INDEX('Valo FX'!$R:$R,MATCH($A4,'Valo FX'!$A:$A,0)),INDEX(Base!$V:$V,MATCH($A4,Base!$A:$A,0)),0)))</f>
        <v>10.483279</v>
      </c>
      <c r="HV4" s="21">
        <f>IF(HV$1&lt;INDEX('Valo FX'!$Q:$Q,MATCH($A4,'Valo FX'!$A:$A,0)),0,IF(HV$1&lt;INDEX('Valo FX'!$R:$R,MATCH($A4,'Valo FX'!$A:$A,0)),INDEX(Base!$U:$U,MATCH($A4,Base!$A:$A,0)),IF(HV$1=INDEX('Valo FX'!$R:$R,MATCH($A4,'Valo FX'!$A:$A,0)),INDEX(Base!$V:$V,MATCH($A4,Base!$A:$A,0)),0)))</f>
        <v>10.483279</v>
      </c>
      <c r="HW4" s="21">
        <f>IF(HW$1&lt;INDEX('Valo FX'!$Q:$Q,MATCH($A4,'Valo FX'!$A:$A,0)),0,IF(HW$1&lt;INDEX('Valo FX'!$R:$R,MATCH($A4,'Valo FX'!$A:$A,0)),INDEX(Base!$U:$U,MATCH($A4,Base!$A:$A,0)),IF(HW$1=INDEX('Valo FX'!$R:$R,MATCH($A4,'Valo FX'!$A:$A,0)),INDEX(Base!$V:$V,MATCH($A4,Base!$A:$A,0)),0)))</f>
        <v>10.483279</v>
      </c>
      <c r="HX4" s="21">
        <f>IF(HX$1&lt;INDEX('Valo FX'!$Q:$Q,MATCH($A4,'Valo FX'!$A:$A,0)),0,IF(HX$1&lt;INDEX('Valo FX'!$R:$R,MATCH($A4,'Valo FX'!$A:$A,0)),INDEX(Base!$U:$U,MATCH($A4,Base!$A:$A,0)),IF(HX$1=INDEX('Valo FX'!$R:$R,MATCH($A4,'Valo FX'!$A:$A,0)),INDEX(Base!$V:$V,MATCH($A4,Base!$A:$A,0)),0)))</f>
        <v>10.483279</v>
      </c>
      <c r="HY4" s="21">
        <f>IF(HY$1&lt;INDEX('Valo FX'!$Q:$Q,MATCH($A4,'Valo FX'!$A:$A,0)),0,IF(HY$1&lt;INDEX('Valo FX'!$R:$R,MATCH($A4,'Valo FX'!$A:$A,0)),INDEX(Base!$U:$U,MATCH($A4,Base!$A:$A,0)),IF(HY$1=INDEX('Valo FX'!$R:$R,MATCH($A4,'Valo FX'!$A:$A,0)),INDEX(Base!$V:$V,MATCH($A4,Base!$A:$A,0)),0)))</f>
        <v>10.483279</v>
      </c>
      <c r="HZ4" s="21">
        <f>IF(HZ$1&lt;INDEX('Valo FX'!$Q:$Q,MATCH($A4,'Valo FX'!$A:$A,0)),0,IF(HZ$1&lt;INDEX('Valo FX'!$R:$R,MATCH($A4,'Valo FX'!$A:$A,0)),INDEX(Base!$U:$U,MATCH($A4,Base!$A:$A,0)),IF(HZ$1=INDEX('Valo FX'!$R:$R,MATCH($A4,'Valo FX'!$A:$A,0)),INDEX(Base!$V:$V,MATCH($A4,Base!$A:$A,0)),0)))</f>
        <v>10.483279</v>
      </c>
      <c r="IA4" s="21">
        <f>IF(IA$1&lt;INDEX('Valo FX'!$Q:$Q,MATCH($A4,'Valo FX'!$A:$A,0)),0,IF(IA$1&lt;INDEX('Valo FX'!$R:$R,MATCH($A4,'Valo FX'!$A:$A,0)),INDEX(Base!$U:$U,MATCH($A4,Base!$A:$A,0)),IF(IA$1=INDEX('Valo FX'!$R:$R,MATCH($A4,'Valo FX'!$A:$A,0)),INDEX(Base!$V:$V,MATCH($A4,Base!$A:$A,0)),0)))</f>
        <v>10.483279</v>
      </c>
      <c r="IB4" s="21">
        <f>IF(IB$1&lt;INDEX('Valo FX'!$Q:$Q,MATCH($A4,'Valo FX'!$A:$A,0)),0,IF(IB$1&lt;INDEX('Valo FX'!$R:$R,MATCH($A4,'Valo FX'!$A:$A,0)),INDEX(Base!$U:$U,MATCH($A4,Base!$A:$A,0)),IF(IB$1=INDEX('Valo FX'!$R:$R,MATCH($A4,'Valo FX'!$A:$A,0)),INDEX(Base!$V:$V,MATCH($A4,Base!$A:$A,0)),0)))</f>
        <v>10.483279</v>
      </c>
      <c r="IC4" s="21">
        <f>IF(IC$1&lt;INDEX('Valo FX'!$Q:$Q,MATCH($A4,'Valo FX'!$A:$A,0)),0,IF(IC$1&lt;INDEX('Valo FX'!$R:$R,MATCH($A4,'Valo FX'!$A:$A,0)),INDEX(Base!$U:$U,MATCH($A4,Base!$A:$A,0)),IF(IC$1=INDEX('Valo FX'!$R:$R,MATCH($A4,'Valo FX'!$A:$A,0)),INDEX(Base!$V:$V,MATCH($A4,Base!$A:$A,0)),0)))</f>
        <v>10.483279</v>
      </c>
      <c r="ID4" s="21">
        <f>IF(ID$1&lt;INDEX('Valo FX'!$Q:$Q,MATCH($A4,'Valo FX'!$A:$A,0)),0,IF(ID$1&lt;INDEX('Valo FX'!$R:$R,MATCH($A4,'Valo FX'!$A:$A,0)),INDEX(Base!$U:$U,MATCH($A4,Base!$A:$A,0)),IF(ID$1=INDEX('Valo FX'!$R:$R,MATCH($A4,'Valo FX'!$A:$A,0)),INDEX(Base!$V:$V,MATCH($A4,Base!$A:$A,0)),0)))</f>
        <v>10.483279</v>
      </c>
      <c r="IE4" s="21">
        <f>IF(IE$1&lt;INDEX('Valo FX'!$Q:$Q,MATCH($A4,'Valo FX'!$A:$A,0)),0,IF(IE$1&lt;INDEX('Valo FX'!$R:$R,MATCH($A4,'Valo FX'!$A:$A,0)),INDEX(Base!$U:$U,MATCH($A4,Base!$A:$A,0)),IF(IE$1=INDEX('Valo FX'!$R:$R,MATCH($A4,'Valo FX'!$A:$A,0)),INDEX(Base!$V:$V,MATCH($A4,Base!$A:$A,0)),0)))</f>
        <v>10.483279</v>
      </c>
      <c r="IF4" s="21">
        <f>IF(IF$1&lt;INDEX('Valo FX'!$Q:$Q,MATCH($A4,'Valo FX'!$A:$A,0)),0,IF(IF$1&lt;INDEX('Valo FX'!$R:$R,MATCH($A4,'Valo FX'!$A:$A,0)),INDEX(Base!$U:$U,MATCH($A4,Base!$A:$A,0)),IF(IF$1=INDEX('Valo FX'!$R:$R,MATCH($A4,'Valo FX'!$A:$A,0)),INDEX(Base!$V:$V,MATCH($A4,Base!$A:$A,0)),0)))</f>
        <v>10.483279</v>
      </c>
      <c r="IG4" s="21">
        <f>IF(IG$1&lt;INDEX('Valo FX'!$Q:$Q,MATCH($A4,'Valo FX'!$A:$A,0)),0,IF(IG$1&lt;INDEX('Valo FX'!$R:$R,MATCH($A4,'Valo FX'!$A:$A,0)),INDEX(Base!$U:$U,MATCH($A4,Base!$A:$A,0)),IF(IG$1=INDEX('Valo FX'!$R:$R,MATCH($A4,'Valo FX'!$A:$A,0)),INDEX(Base!$V:$V,MATCH($A4,Base!$A:$A,0)),0)))</f>
        <v>10.483279</v>
      </c>
      <c r="IH4" s="21">
        <f>IF(IH$1&lt;INDEX('Valo FX'!$Q:$Q,MATCH($A4,'Valo FX'!$A:$A,0)),0,IF(IH$1&lt;INDEX('Valo FX'!$R:$R,MATCH($A4,'Valo FX'!$A:$A,0)),INDEX(Base!$U:$U,MATCH($A4,Base!$A:$A,0)),IF(IH$1=INDEX('Valo FX'!$R:$R,MATCH($A4,'Valo FX'!$A:$A,0)),INDEX(Base!$V:$V,MATCH($A4,Base!$A:$A,0)),0)))</f>
        <v>10.483279</v>
      </c>
      <c r="II4" s="21">
        <f>IF(II$1&lt;INDEX('Valo FX'!$Q:$Q,MATCH($A4,'Valo FX'!$A:$A,0)),0,IF(II$1&lt;INDEX('Valo FX'!$R:$R,MATCH($A4,'Valo FX'!$A:$A,0)),INDEX(Base!$U:$U,MATCH($A4,Base!$A:$A,0)),IF(II$1=INDEX('Valo FX'!$R:$R,MATCH($A4,'Valo FX'!$A:$A,0)),INDEX(Base!$V:$V,MATCH($A4,Base!$A:$A,0)),0)))</f>
        <v>10.483279</v>
      </c>
      <c r="IJ4" s="21">
        <f>IF(IJ$1&lt;INDEX('Valo FX'!$Q:$Q,MATCH($A4,'Valo FX'!$A:$A,0)),0,IF(IJ$1&lt;INDEX('Valo FX'!$R:$R,MATCH($A4,'Valo FX'!$A:$A,0)),INDEX(Base!$U:$U,MATCH($A4,Base!$A:$A,0)),IF(IJ$1=INDEX('Valo FX'!$R:$R,MATCH($A4,'Valo FX'!$A:$A,0)),INDEX(Base!$V:$V,MATCH($A4,Base!$A:$A,0)),0)))</f>
        <v>10.483279</v>
      </c>
      <c r="IK4" s="21">
        <f>IF(IK$1&lt;INDEX('Valo FX'!$Q:$Q,MATCH($A4,'Valo FX'!$A:$A,0)),0,IF(IK$1&lt;INDEX('Valo FX'!$R:$R,MATCH($A4,'Valo FX'!$A:$A,0)),INDEX(Base!$U:$U,MATCH($A4,Base!$A:$A,0)),IF(IK$1=INDEX('Valo FX'!$R:$R,MATCH($A4,'Valo FX'!$A:$A,0)),INDEX(Base!$V:$V,MATCH($A4,Base!$A:$A,0)),0)))</f>
        <v>10.483279</v>
      </c>
      <c r="IL4" s="21">
        <f>IF(IL$1&lt;INDEX('Valo FX'!$Q:$Q,MATCH($A4,'Valo FX'!$A:$A,0)),0,IF(IL$1&lt;INDEX('Valo FX'!$R:$R,MATCH($A4,'Valo FX'!$A:$A,0)),INDEX(Base!$U:$U,MATCH($A4,Base!$A:$A,0)),IF(IL$1=INDEX('Valo FX'!$R:$R,MATCH($A4,'Valo FX'!$A:$A,0)),INDEX(Base!$V:$V,MATCH($A4,Base!$A:$A,0)),0)))</f>
        <v>10.483279</v>
      </c>
      <c r="IM4" s="21">
        <f>IF(IM$1&lt;INDEX('Valo FX'!$Q:$Q,MATCH($A4,'Valo FX'!$A:$A,0)),0,IF(IM$1&lt;INDEX('Valo FX'!$R:$R,MATCH($A4,'Valo FX'!$A:$A,0)),INDEX(Base!$U:$U,MATCH($A4,Base!$A:$A,0)),IF(IM$1=INDEX('Valo FX'!$R:$R,MATCH($A4,'Valo FX'!$A:$A,0)),INDEX(Base!$V:$V,MATCH($A4,Base!$A:$A,0)),0)))</f>
        <v>10.483279</v>
      </c>
      <c r="IN4" s="21">
        <f>IF(IN$1&lt;INDEX('Valo FX'!$Q:$Q,MATCH($A4,'Valo FX'!$A:$A,0)),0,IF(IN$1&lt;INDEX('Valo FX'!$R:$R,MATCH($A4,'Valo FX'!$A:$A,0)),INDEX(Base!$U:$U,MATCH($A4,Base!$A:$A,0)),IF(IN$1=INDEX('Valo FX'!$R:$R,MATCH($A4,'Valo FX'!$A:$A,0)),INDEX(Base!$V:$V,MATCH($A4,Base!$A:$A,0)),0)))</f>
        <v>10.483279</v>
      </c>
      <c r="IO4" s="21">
        <f>IF(IO$1&lt;INDEX('Valo FX'!$Q:$Q,MATCH($A4,'Valo FX'!$A:$A,0)),0,IF(IO$1&lt;INDEX('Valo FX'!$R:$R,MATCH($A4,'Valo FX'!$A:$A,0)),INDEX(Base!$U:$U,MATCH($A4,Base!$A:$A,0)),IF(IO$1=INDEX('Valo FX'!$R:$R,MATCH($A4,'Valo FX'!$A:$A,0)),INDEX(Base!$V:$V,MATCH($A4,Base!$A:$A,0)),0)))</f>
        <v>10.483279</v>
      </c>
      <c r="IP4" s="21">
        <f>IF(IP$1&lt;INDEX('Valo FX'!$Q:$Q,MATCH($A4,'Valo FX'!$A:$A,0)),0,IF(IP$1&lt;INDEX('Valo FX'!$R:$R,MATCH($A4,'Valo FX'!$A:$A,0)),INDEX(Base!$U:$U,MATCH($A4,Base!$A:$A,0)),IF(IP$1=INDEX('Valo FX'!$R:$R,MATCH($A4,'Valo FX'!$A:$A,0)),INDEX(Base!$V:$V,MATCH($A4,Base!$A:$A,0)),0)))</f>
        <v>10.483279</v>
      </c>
      <c r="IQ4" s="21">
        <f>IF(IQ$1&lt;INDEX('Valo FX'!$Q:$Q,MATCH($A4,'Valo FX'!$A:$A,0)),0,IF(IQ$1&lt;INDEX('Valo FX'!$R:$R,MATCH($A4,'Valo FX'!$A:$A,0)),INDEX(Base!$U:$U,MATCH($A4,Base!$A:$A,0)),IF(IQ$1=INDEX('Valo FX'!$R:$R,MATCH($A4,'Valo FX'!$A:$A,0)),INDEX(Base!$V:$V,MATCH($A4,Base!$A:$A,0)),0)))</f>
        <v>10.483279</v>
      </c>
      <c r="IR4" s="21">
        <f>IF(IR$1&lt;INDEX('Valo FX'!$Q:$Q,MATCH($A4,'Valo FX'!$A:$A,0)),0,IF(IR$1&lt;INDEX('Valo FX'!$R:$R,MATCH($A4,'Valo FX'!$A:$A,0)),INDEX(Base!$U:$U,MATCH($A4,Base!$A:$A,0)),IF(IR$1=INDEX('Valo FX'!$R:$R,MATCH($A4,'Valo FX'!$A:$A,0)),INDEX(Base!$V:$V,MATCH($A4,Base!$A:$A,0)),0)))</f>
        <v>10.483279</v>
      </c>
      <c r="IS4" s="21">
        <f>IF(IS$1&lt;INDEX('Valo FX'!$Q:$Q,MATCH($A4,'Valo FX'!$A:$A,0)),0,IF(IS$1&lt;INDEX('Valo FX'!$R:$R,MATCH($A4,'Valo FX'!$A:$A,0)),INDEX(Base!$U:$U,MATCH($A4,Base!$A:$A,0)),IF(IS$1=INDEX('Valo FX'!$R:$R,MATCH($A4,'Valo FX'!$A:$A,0)),INDEX(Base!$V:$V,MATCH($A4,Base!$A:$A,0)),0)))</f>
        <v>10.483279</v>
      </c>
      <c r="IT4" s="21">
        <f>IF(IT$1&lt;INDEX('Valo FX'!$Q:$Q,MATCH($A4,'Valo FX'!$A:$A,0)),0,IF(IT$1&lt;INDEX('Valo FX'!$R:$R,MATCH($A4,'Valo FX'!$A:$A,0)),INDEX(Base!$U:$U,MATCH($A4,Base!$A:$A,0)),IF(IT$1=INDEX('Valo FX'!$R:$R,MATCH($A4,'Valo FX'!$A:$A,0)),INDEX(Base!$V:$V,MATCH($A4,Base!$A:$A,0)),0)))</f>
        <v>10.483279</v>
      </c>
      <c r="IU4" s="21">
        <f>IF(IU$1&lt;INDEX('Valo FX'!$Q:$Q,MATCH($A4,'Valo FX'!$A:$A,0)),0,IF(IU$1&lt;INDEX('Valo FX'!$R:$R,MATCH($A4,'Valo FX'!$A:$A,0)),INDEX(Base!$U:$U,MATCH($A4,Base!$A:$A,0)),IF(IU$1=INDEX('Valo FX'!$R:$R,MATCH($A4,'Valo FX'!$A:$A,0)),INDEX(Base!$V:$V,MATCH($A4,Base!$A:$A,0)),0)))</f>
        <v>10.483279</v>
      </c>
      <c r="IV4" s="21">
        <f>IF(IV$1&lt;INDEX('Valo FX'!$Q:$Q,MATCH($A4,'Valo FX'!$A:$A,0)),0,IF(IV$1&lt;INDEX('Valo FX'!$R:$R,MATCH($A4,'Valo FX'!$A:$A,0)),INDEX(Base!$U:$U,MATCH($A4,Base!$A:$A,0)),IF(IV$1=INDEX('Valo FX'!$R:$R,MATCH($A4,'Valo FX'!$A:$A,0)),INDEX(Base!$V:$V,MATCH($A4,Base!$A:$A,0)),0)))</f>
        <v>10.483279</v>
      </c>
      <c r="IW4" s="21">
        <f>IF(IW$1&lt;INDEX('Valo FX'!$Q:$Q,MATCH($A4,'Valo FX'!$A:$A,0)),0,IF(IW$1&lt;INDEX('Valo FX'!$R:$R,MATCH($A4,'Valo FX'!$A:$A,0)),INDEX(Base!$U:$U,MATCH($A4,Base!$A:$A,0)),IF(IW$1=INDEX('Valo FX'!$R:$R,MATCH($A4,'Valo FX'!$A:$A,0)),INDEX(Base!$V:$V,MATCH($A4,Base!$A:$A,0)),0)))</f>
        <v>10.483279</v>
      </c>
      <c r="IX4" s="21">
        <f>IF(IX$1&lt;INDEX('Valo FX'!$Q:$Q,MATCH($A4,'Valo FX'!$A:$A,0)),0,IF(IX$1&lt;INDEX('Valo FX'!$R:$R,MATCH($A4,'Valo FX'!$A:$A,0)),INDEX(Base!$U:$U,MATCH($A4,Base!$A:$A,0)),IF(IX$1=INDEX('Valo FX'!$R:$R,MATCH($A4,'Valo FX'!$A:$A,0)),INDEX(Base!$V:$V,MATCH($A4,Base!$A:$A,0)),0)))</f>
        <v>10.483279</v>
      </c>
      <c r="IY4" s="21">
        <f>IF(IY$1&lt;INDEX('Valo FX'!$Q:$Q,MATCH($A4,'Valo FX'!$A:$A,0)),0,IF(IY$1&lt;INDEX('Valo FX'!$R:$R,MATCH($A4,'Valo FX'!$A:$A,0)),INDEX(Base!$U:$U,MATCH($A4,Base!$A:$A,0)),IF(IY$1=INDEX('Valo FX'!$R:$R,MATCH($A4,'Valo FX'!$A:$A,0)),INDEX(Base!$V:$V,MATCH($A4,Base!$A:$A,0)),0)))</f>
        <v>10.483279</v>
      </c>
      <c r="IZ4" s="21">
        <f>IF(IZ$1&lt;INDEX('Valo FX'!$Q:$Q,MATCH($A4,'Valo FX'!$A:$A,0)),0,IF(IZ$1&lt;INDEX('Valo FX'!$R:$R,MATCH($A4,'Valo FX'!$A:$A,0)),INDEX(Base!$U:$U,MATCH($A4,Base!$A:$A,0)),IF(IZ$1=INDEX('Valo FX'!$R:$R,MATCH($A4,'Valo FX'!$A:$A,0)),INDEX(Base!$V:$V,MATCH($A4,Base!$A:$A,0)),0)))</f>
        <v>10.483279</v>
      </c>
      <c r="JA4" s="21">
        <f>IF(JA$1&lt;INDEX('Valo FX'!$Q:$Q,MATCH($A4,'Valo FX'!$A:$A,0)),0,IF(JA$1&lt;INDEX('Valo FX'!$R:$R,MATCH($A4,'Valo FX'!$A:$A,0)),INDEX(Base!$U:$U,MATCH($A4,Base!$A:$A,0)),IF(JA$1=INDEX('Valo FX'!$R:$R,MATCH($A4,'Valo FX'!$A:$A,0)),INDEX(Base!$V:$V,MATCH($A4,Base!$A:$A,0)),0)))</f>
        <v>10.483279</v>
      </c>
      <c r="JB4" s="21">
        <f>IF(JB$1&lt;INDEX('Valo FX'!$Q:$Q,MATCH($A4,'Valo FX'!$A:$A,0)),0,IF(JB$1&lt;INDEX('Valo FX'!$R:$R,MATCH($A4,'Valo FX'!$A:$A,0)),INDEX(Base!$U:$U,MATCH($A4,Base!$A:$A,0)),IF(JB$1=INDEX('Valo FX'!$R:$R,MATCH($A4,'Valo FX'!$A:$A,0)),INDEX(Base!$V:$V,MATCH($A4,Base!$A:$A,0)),0)))</f>
        <v>10.483279</v>
      </c>
      <c r="JC4" s="21">
        <f>IF(JC$1&lt;INDEX('Valo FX'!$Q:$Q,MATCH($A4,'Valo FX'!$A:$A,0)),0,IF(JC$1&lt;INDEX('Valo FX'!$R:$R,MATCH($A4,'Valo FX'!$A:$A,0)),INDEX(Base!$U:$U,MATCH($A4,Base!$A:$A,0)),IF(JC$1=INDEX('Valo FX'!$R:$R,MATCH($A4,'Valo FX'!$A:$A,0)),INDEX(Base!$V:$V,MATCH($A4,Base!$A:$A,0)),0)))</f>
        <v>10.483279</v>
      </c>
      <c r="JD4" s="21">
        <f>IF(JD$1&lt;INDEX('Valo FX'!$Q:$Q,MATCH($A4,'Valo FX'!$A:$A,0)),0,IF(JD$1&lt;INDEX('Valo FX'!$R:$R,MATCH($A4,'Valo FX'!$A:$A,0)),INDEX(Base!$U:$U,MATCH($A4,Base!$A:$A,0)),IF(JD$1=INDEX('Valo FX'!$R:$R,MATCH($A4,'Valo FX'!$A:$A,0)),INDEX(Base!$V:$V,MATCH($A4,Base!$A:$A,0)),0)))</f>
        <v>10.483279</v>
      </c>
      <c r="JE4" s="21">
        <f>IF(JE$1&lt;INDEX('Valo FX'!$Q:$Q,MATCH($A4,'Valo FX'!$A:$A,0)),0,IF(JE$1&lt;INDEX('Valo FX'!$R:$R,MATCH($A4,'Valo FX'!$A:$A,0)),INDEX(Base!$U:$U,MATCH($A4,Base!$A:$A,0)),IF(JE$1=INDEX('Valo FX'!$R:$R,MATCH($A4,'Valo FX'!$A:$A,0)),INDEX(Base!$V:$V,MATCH($A4,Base!$A:$A,0)),0)))</f>
        <v>10.483279</v>
      </c>
      <c r="JF4" s="21">
        <f>IF(JF$1&lt;INDEX('Valo FX'!$Q:$Q,MATCH($A4,'Valo FX'!$A:$A,0)),0,IF(JF$1&lt;INDEX('Valo FX'!$R:$R,MATCH($A4,'Valo FX'!$A:$A,0)),INDEX(Base!$U:$U,MATCH($A4,Base!$A:$A,0)),IF(JF$1=INDEX('Valo FX'!$R:$R,MATCH($A4,'Valo FX'!$A:$A,0)),INDEX(Base!$V:$V,MATCH($A4,Base!$A:$A,0)),0)))</f>
        <v>10.483279</v>
      </c>
      <c r="JG4" s="21">
        <f>IF(JG$1&lt;INDEX('Valo FX'!$Q:$Q,MATCH($A4,'Valo FX'!$A:$A,0)),0,IF(JG$1&lt;INDEX('Valo FX'!$R:$R,MATCH($A4,'Valo FX'!$A:$A,0)),INDEX(Base!$U:$U,MATCH($A4,Base!$A:$A,0)),IF(JG$1=INDEX('Valo FX'!$R:$R,MATCH($A4,'Valo FX'!$A:$A,0)),INDEX(Base!$V:$V,MATCH($A4,Base!$A:$A,0)),0)))</f>
        <v>10.483279</v>
      </c>
      <c r="JH4" s="21">
        <f>IF(JH$1&lt;INDEX('Valo FX'!$Q:$Q,MATCH($A4,'Valo FX'!$A:$A,0)),0,IF(JH$1&lt;INDEX('Valo FX'!$R:$R,MATCH($A4,'Valo FX'!$A:$A,0)),INDEX(Base!$U:$U,MATCH($A4,Base!$A:$A,0)),IF(JH$1=INDEX('Valo FX'!$R:$R,MATCH($A4,'Valo FX'!$A:$A,0)),INDEX(Base!$V:$V,MATCH($A4,Base!$A:$A,0)),0)))</f>
        <v>10.483279</v>
      </c>
      <c r="JI4" s="21">
        <f>IF(JI$1&lt;INDEX('Valo FX'!$Q:$Q,MATCH($A4,'Valo FX'!$A:$A,0)),0,IF(JI$1&lt;INDEX('Valo FX'!$R:$R,MATCH($A4,'Valo FX'!$A:$A,0)),INDEX(Base!$U:$U,MATCH($A4,Base!$A:$A,0)),IF(JI$1=INDEX('Valo FX'!$R:$R,MATCH($A4,'Valo FX'!$A:$A,0)),INDEX(Base!$V:$V,MATCH($A4,Base!$A:$A,0)),0)))</f>
        <v>10.483279</v>
      </c>
      <c r="JJ4" s="21">
        <f>IF(JJ$1&lt;INDEX('Valo FX'!$Q:$Q,MATCH($A4,'Valo FX'!$A:$A,0)),0,IF(JJ$1&lt;INDEX('Valo FX'!$R:$R,MATCH($A4,'Valo FX'!$A:$A,0)),INDEX(Base!$U:$U,MATCH($A4,Base!$A:$A,0)),IF(JJ$1=INDEX('Valo FX'!$R:$R,MATCH($A4,'Valo FX'!$A:$A,0)),INDEX(Base!$V:$V,MATCH($A4,Base!$A:$A,0)),0)))</f>
        <v>10.483279</v>
      </c>
      <c r="JK4" s="21">
        <f>IF(JK$1&lt;INDEX('Valo FX'!$Q:$Q,MATCH($A4,'Valo FX'!$A:$A,0)),0,IF(JK$1&lt;INDEX('Valo FX'!$R:$R,MATCH($A4,'Valo FX'!$A:$A,0)),INDEX(Base!$U:$U,MATCH($A4,Base!$A:$A,0)),IF(JK$1=INDEX('Valo FX'!$R:$R,MATCH($A4,'Valo FX'!$A:$A,0)),INDEX(Base!$V:$V,MATCH($A4,Base!$A:$A,0)),0)))</f>
        <v>10.483279</v>
      </c>
      <c r="JL4" s="21">
        <f>IF(JL$1&lt;INDEX('Valo FX'!$Q:$Q,MATCH($A4,'Valo FX'!$A:$A,0)),0,IF(JL$1&lt;INDEX('Valo FX'!$R:$R,MATCH($A4,'Valo FX'!$A:$A,0)),INDEX(Base!$U:$U,MATCH($A4,Base!$A:$A,0)),IF(JL$1=INDEX('Valo FX'!$R:$R,MATCH($A4,'Valo FX'!$A:$A,0)),INDEX(Base!$V:$V,MATCH($A4,Base!$A:$A,0)),0)))</f>
        <v>10.483279</v>
      </c>
      <c r="JM4" s="21">
        <f>IF(JM$1&lt;INDEX('Valo FX'!$Q:$Q,MATCH($A4,'Valo FX'!$A:$A,0)),0,IF(JM$1&lt;INDEX('Valo FX'!$R:$R,MATCH($A4,'Valo FX'!$A:$A,0)),INDEX(Base!$U:$U,MATCH($A4,Base!$A:$A,0)),IF(JM$1=INDEX('Valo FX'!$R:$R,MATCH($A4,'Valo FX'!$A:$A,0)),INDEX(Base!$V:$V,MATCH($A4,Base!$A:$A,0)),0)))</f>
        <v>10.483279</v>
      </c>
      <c r="JN4" s="21">
        <f>IF(JN$1&lt;INDEX('Valo FX'!$Q:$Q,MATCH($A4,'Valo FX'!$A:$A,0)),0,IF(JN$1&lt;INDEX('Valo FX'!$R:$R,MATCH($A4,'Valo FX'!$A:$A,0)),INDEX(Base!$U:$U,MATCH($A4,Base!$A:$A,0)),IF(JN$1=INDEX('Valo FX'!$R:$R,MATCH($A4,'Valo FX'!$A:$A,0)),INDEX(Base!$V:$V,MATCH($A4,Base!$A:$A,0)),0)))</f>
        <v>10.483279</v>
      </c>
      <c r="JO4" s="21">
        <f>IF(JO$1&lt;INDEX('Valo FX'!$Q:$Q,MATCH($A4,'Valo FX'!$A:$A,0)),0,IF(JO$1&lt;INDEX('Valo FX'!$R:$R,MATCH($A4,'Valo FX'!$A:$A,0)),INDEX(Base!$U:$U,MATCH($A4,Base!$A:$A,0)),IF(JO$1=INDEX('Valo FX'!$R:$R,MATCH($A4,'Valo FX'!$A:$A,0)),INDEX(Base!$V:$V,MATCH($A4,Base!$A:$A,0)),0)))</f>
        <v>10.483279</v>
      </c>
      <c r="JP4" s="21">
        <f>IF(JP$1&lt;INDEX('Valo FX'!$Q:$Q,MATCH($A4,'Valo FX'!$A:$A,0)),0,IF(JP$1&lt;INDEX('Valo FX'!$R:$R,MATCH($A4,'Valo FX'!$A:$A,0)),INDEX(Base!$U:$U,MATCH($A4,Base!$A:$A,0)),IF(JP$1=INDEX('Valo FX'!$R:$R,MATCH($A4,'Valo FX'!$A:$A,0)),INDEX(Base!$V:$V,MATCH($A4,Base!$A:$A,0)),0)))</f>
        <v>10.483279</v>
      </c>
      <c r="JQ4" s="21">
        <f>IF(JQ$1&lt;INDEX('Valo FX'!$Q:$Q,MATCH($A4,'Valo FX'!$A:$A,0)),0,IF(JQ$1&lt;INDEX('Valo FX'!$R:$R,MATCH($A4,'Valo FX'!$A:$A,0)),INDEX(Base!$U:$U,MATCH($A4,Base!$A:$A,0)),IF(JQ$1=INDEX('Valo FX'!$R:$R,MATCH($A4,'Valo FX'!$A:$A,0)),INDEX(Base!$V:$V,MATCH($A4,Base!$A:$A,0)),0)))</f>
        <v>10.483279</v>
      </c>
      <c r="JR4" s="21">
        <f>IF(JR$1&lt;INDEX('Valo FX'!$Q:$Q,MATCH($A4,'Valo FX'!$A:$A,0)),0,IF(JR$1&lt;INDEX('Valo FX'!$R:$R,MATCH($A4,'Valo FX'!$A:$A,0)),INDEX(Base!$U:$U,MATCH($A4,Base!$A:$A,0)),IF(JR$1=INDEX('Valo FX'!$R:$R,MATCH($A4,'Valo FX'!$A:$A,0)),INDEX(Base!$V:$V,MATCH($A4,Base!$A:$A,0)),0)))</f>
        <v>10.483279</v>
      </c>
      <c r="JS4" s="21">
        <f>IF(JS$1&lt;INDEX('Valo FX'!$Q:$Q,MATCH($A4,'Valo FX'!$A:$A,0)),0,IF(JS$1&lt;INDEX('Valo FX'!$R:$R,MATCH($A4,'Valo FX'!$A:$A,0)),INDEX(Base!$U:$U,MATCH($A4,Base!$A:$A,0)),IF(JS$1=INDEX('Valo FX'!$R:$R,MATCH($A4,'Valo FX'!$A:$A,0)),INDEX(Base!$V:$V,MATCH($A4,Base!$A:$A,0)),0)))</f>
        <v>10.483279</v>
      </c>
      <c r="JT4" s="21">
        <f>IF(JT$1&lt;INDEX('Valo FX'!$Q:$Q,MATCH($A4,'Valo FX'!$A:$A,0)),0,IF(JT$1&lt;INDEX('Valo FX'!$R:$R,MATCH($A4,'Valo FX'!$A:$A,0)),INDEX(Base!$U:$U,MATCH($A4,Base!$A:$A,0)),IF(JT$1=INDEX('Valo FX'!$R:$R,MATCH($A4,'Valo FX'!$A:$A,0)),INDEX(Base!$V:$V,MATCH($A4,Base!$A:$A,0)),0)))</f>
        <v>10.483279</v>
      </c>
      <c r="JU4" s="21">
        <f>IF(JU$1&lt;INDEX('Valo FX'!$Q:$Q,MATCH($A4,'Valo FX'!$A:$A,0)),0,IF(JU$1&lt;INDEX('Valo FX'!$R:$R,MATCH($A4,'Valo FX'!$A:$A,0)),INDEX(Base!$U:$U,MATCH($A4,Base!$A:$A,0)),IF(JU$1=INDEX('Valo FX'!$R:$R,MATCH($A4,'Valo FX'!$A:$A,0)),INDEX(Base!$V:$V,MATCH($A4,Base!$A:$A,0)),0)))</f>
        <v>10.483279</v>
      </c>
      <c r="JV4" s="21">
        <f>IF(JV$1&lt;INDEX('Valo FX'!$Q:$Q,MATCH($A4,'Valo FX'!$A:$A,0)),0,IF(JV$1&lt;INDEX('Valo FX'!$R:$R,MATCH($A4,'Valo FX'!$A:$A,0)),INDEX(Base!$U:$U,MATCH($A4,Base!$A:$A,0)),IF(JV$1=INDEX('Valo FX'!$R:$R,MATCH($A4,'Valo FX'!$A:$A,0)),INDEX(Base!$V:$V,MATCH($A4,Base!$A:$A,0)),0)))</f>
        <v>10.483279</v>
      </c>
      <c r="JW4" s="21">
        <f>IF(JW$1&lt;INDEX('Valo FX'!$Q:$Q,MATCH($A4,'Valo FX'!$A:$A,0)),0,IF(JW$1&lt;INDEX('Valo FX'!$R:$R,MATCH($A4,'Valo FX'!$A:$A,0)),INDEX(Base!$U:$U,MATCH($A4,Base!$A:$A,0)),IF(JW$1=INDEX('Valo FX'!$R:$R,MATCH($A4,'Valo FX'!$A:$A,0)),INDEX(Base!$V:$V,MATCH($A4,Base!$A:$A,0)),0)))</f>
        <v>10.483279</v>
      </c>
      <c r="JX4" s="21">
        <f>IF(JX$1&lt;INDEX('Valo FX'!$Q:$Q,MATCH($A4,'Valo FX'!$A:$A,0)),0,IF(JX$1&lt;INDEX('Valo FX'!$R:$R,MATCH($A4,'Valo FX'!$A:$A,0)),INDEX(Base!$U:$U,MATCH($A4,Base!$A:$A,0)),IF(JX$1=INDEX('Valo FX'!$R:$R,MATCH($A4,'Valo FX'!$A:$A,0)),INDEX(Base!$V:$V,MATCH($A4,Base!$A:$A,0)),0)))</f>
        <v>10.483279</v>
      </c>
      <c r="JY4" s="21">
        <f>IF(JY$1&lt;INDEX('Valo FX'!$Q:$Q,MATCH($A4,'Valo FX'!$A:$A,0)),0,IF(JY$1&lt;INDEX('Valo FX'!$R:$R,MATCH($A4,'Valo FX'!$A:$A,0)),INDEX(Base!$U:$U,MATCH($A4,Base!$A:$A,0)),IF(JY$1=INDEX('Valo FX'!$R:$R,MATCH($A4,'Valo FX'!$A:$A,0)),INDEX(Base!$V:$V,MATCH($A4,Base!$A:$A,0)),0)))</f>
        <v>10.483279</v>
      </c>
      <c r="JZ4" s="21">
        <f>IF(JZ$1&lt;INDEX('Valo FX'!$Q:$Q,MATCH($A4,'Valo FX'!$A:$A,0)),0,IF(JZ$1&lt;INDEX('Valo FX'!$R:$R,MATCH($A4,'Valo FX'!$A:$A,0)),INDEX(Base!$U:$U,MATCH($A4,Base!$A:$A,0)),IF(JZ$1=INDEX('Valo FX'!$R:$R,MATCH($A4,'Valo FX'!$A:$A,0)),INDEX(Base!$V:$V,MATCH($A4,Base!$A:$A,0)),0)))</f>
        <v>10.483279</v>
      </c>
      <c r="KA4" s="21">
        <f>IF(KA$1&lt;INDEX('Valo FX'!$Q:$Q,MATCH($A4,'Valo FX'!$A:$A,0)),0,IF(KA$1&lt;INDEX('Valo FX'!$R:$R,MATCH($A4,'Valo FX'!$A:$A,0)),INDEX(Base!$U:$U,MATCH($A4,Base!$A:$A,0)),IF(KA$1=INDEX('Valo FX'!$R:$R,MATCH($A4,'Valo FX'!$A:$A,0)),INDEX(Base!$V:$V,MATCH($A4,Base!$A:$A,0)),0)))</f>
        <v>10.483279</v>
      </c>
      <c r="KB4" s="21">
        <f>IF(KB$1&lt;INDEX('Valo FX'!$Q:$Q,MATCH($A4,'Valo FX'!$A:$A,0)),0,IF(KB$1&lt;INDEX('Valo FX'!$R:$R,MATCH($A4,'Valo FX'!$A:$A,0)),INDEX(Base!$U:$U,MATCH($A4,Base!$A:$A,0)),IF(KB$1=INDEX('Valo FX'!$R:$R,MATCH($A4,'Valo FX'!$A:$A,0)),INDEX(Base!$V:$V,MATCH($A4,Base!$A:$A,0)),0)))</f>
        <v>10.483279</v>
      </c>
      <c r="KC4" s="21">
        <f>IF(KC$1&lt;INDEX('Valo FX'!$Q:$Q,MATCH($A4,'Valo FX'!$A:$A,0)),0,IF(KC$1&lt;INDEX('Valo FX'!$R:$R,MATCH($A4,'Valo FX'!$A:$A,0)),INDEX(Base!$U:$U,MATCH($A4,Base!$A:$A,0)),IF(KC$1=INDEX('Valo FX'!$R:$R,MATCH($A4,'Valo FX'!$A:$A,0)),INDEX(Base!$V:$V,MATCH($A4,Base!$A:$A,0)),0)))</f>
        <v>10.483279</v>
      </c>
      <c r="KD4" s="21">
        <f>IF(KD$1&lt;INDEX('Valo FX'!$Q:$Q,MATCH($A4,'Valo FX'!$A:$A,0)),0,IF(KD$1&lt;INDEX('Valo FX'!$R:$R,MATCH($A4,'Valo FX'!$A:$A,0)),INDEX(Base!$U:$U,MATCH($A4,Base!$A:$A,0)),IF(KD$1=INDEX('Valo FX'!$R:$R,MATCH($A4,'Valo FX'!$A:$A,0)),INDEX(Base!$V:$V,MATCH($A4,Base!$A:$A,0)),0)))</f>
        <v>10.483279</v>
      </c>
      <c r="KE4" s="21">
        <f>IF(KE$1&lt;INDEX('Valo FX'!$Q:$Q,MATCH($A4,'Valo FX'!$A:$A,0)),0,IF(KE$1&lt;INDEX('Valo FX'!$R:$R,MATCH($A4,'Valo FX'!$A:$A,0)),INDEX(Base!$U:$U,MATCH($A4,Base!$A:$A,0)),IF(KE$1=INDEX('Valo FX'!$R:$R,MATCH($A4,'Valo FX'!$A:$A,0)),INDEX(Base!$V:$V,MATCH($A4,Base!$A:$A,0)),0)))</f>
        <v>10.483279</v>
      </c>
      <c r="KF4" s="21">
        <f>IF(KF$1&lt;INDEX('Valo FX'!$Q:$Q,MATCH($A4,'Valo FX'!$A:$A,0)),0,IF(KF$1&lt;INDEX('Valo FX'!$R:$R,MATCH($A4,'Valo FX'!$A:$A,0)),INDEX(Base!$U:$U,MATCH($A4,Base!$A:$A,0)),IF(KF$1=INDEX('Valo FX'!$R:$R,MATCH($A4,'Valo FX'!$A:$A,0)),INDEX(Base!$V:$V,MATCH($A4,Base!$A:$A,0)),0)))</f>
        <v>10.483279</v>
      </c>
      <c r="KG4" s="21">
        <f>IF(KG$1&lt;INDEX('Valo FX'!$Q:$Q,MATCH($A4,'Valo FX'!$A:$A,0)),0,IF(KG$1&lt;INDEX('Valo FX'!$R:$R,MATCH($A4,'Valo FX'!$A:$A,0)),INDEX(Base!$U:$U,MATCH($A4,Base!$A:$A,0)),IF(KG$1=INDEX('Valo FX'!$R:$R,MATCH($A4,'Valo FX'!$A:$A,0)),INDEX(Base!$V:$V,MATCH($A4,Base!$A:$A,0)),0)))</f>
        <v>10.483279</v>
      </c>
      <c r="KH4" s="21">
        <f>IF(KH$1&lt;INDEX('Valo FX'!$Q:$Q,MATCH($A4,'Valo FX'!$A:$A,0)),0,IF(KH$1&lt;INDEX('Valo FX'!$R:$R,MATCH($A4,'Valo FX'!$A:$A,0)),INDEX(Base!$U:$U,MATCH($A4,Base!$A:$A,0)),IF(KH$1=INDEX('Valo FX'!$R:$R,MATCH($A4,'Valo FX'!$A:$A,0)),INDEX(Base!$V:$V,MATCH($A4,Base!$A:$A,0)),0)))</f>
        <v>10.483279</v>
      </c>
      <c r="KI4" s="21">
        <f>IF(KI$1&lt;INDEX('Valo FX'!$Q:$Q,MATCH($A4,'Valo FX'!$A:$A,0)),0,IF(KI$1&lt;INDEX('Valo FX'!$R:$R,MATCH($A4,'Valo FX'!$A:$A,0)),INDEX(Base!$U:$U,MATCH($A4,Base!$A:$A,0)),IF(KI$1=INDEX('Valo FX'!$R:$R,MATCH($A4,'Valo FX'!$A:$A,0)),INDEX(Base!$V:$V,MATCH($A4,Base!$A:$A,0)),0)))</f>
        <v>10.483279</v>
      </c>
      <c r="KJ4" s="21">
        <f>IF(KJ$1&lt;INDEX('Valo FX'!$Q:$Q,MATCH($A4,'Valo FX'!$A:$A,0)),0,IF(KJ$1&lt;INDEX('Valo FX'!$R:$R,MATCH($A4,'Valo FX'!$A:$A,0)),INDEX(Base!$U:$U,MATCH($A4,Base!$A:$A,0)),IF(KJ$1=INDEX('Valo FX'!$R:$R,MATCH($A4,'Valo FX'!$A:$A,0)),INDEX(Base!$V:$V,MATCH($A4,Base!$A:$A,0)),0)))</f>
        <v>10.483279</v>
      </c>
      <c r="KK4" s="21">
        <f>IF(KK$1&lt;INDEX('Valo FX'!$Q:$Q,MATCH($A4,'Valo FX'!$A:$A,0)),0,IF(KK$1&lt;INDEX('Valo FX'!$R:$R,MATCH($A4,'Valo FX'!$A:$A,0)),INDEX(Base!$U:$U,MATCH($A4,Base!$A:$A,0)),IF(KK$1=INDEX('Valo FX'!$R:$R,MATCH($A4,'Valo FX'!$A:$A,0)),INDEX(Base!$V:$V,MATCH($A4,Base!$A:$A,0)),0)))</f>
        <v>10.483279</v>
      </c>
      <c r="KL4" s="21">
        <f>IF(KL$1&lt;INDEX('Valo FX'!$Q:$Q,MATCH($A4,'Valo FX'!$A:$A,0)),0,IF(KL$1&lt;INDEX('Valo FX'!$R:$R,MATCH($A4,'Valo FX'!$A:$A,0)),INDEX(Base!$U:$U,MATCH($A4,Base!$A:$A,0)),IF(KL$1=INDEX('Valo FX'!$R:$R,MATCH($A4,'Valo FX'!$A:$A,0)),INDEX(Base!$V:$V,MATCH($A4,Base!$A:$A,0)),0)))</f>
        <v>10.483279</v>
      </c>
      <c r="KM4" s="21">
        <f>IF(KM$1&lt;INDEX('Valo FX'!$Q:$Q,MATCH($A4,'Valo FX'!$A:$A,0)),0,IF(KM$1&lt;INDEX('Valo FX'!$R:$R,MATCH($A4,'Valo FX'!$A:$A,0)),INDEX(Base!$U:$U,MATCH($A4,Base!$A:$A,0)),IF(KM$1=INDEX('Valo FX'!$R:$R,MATCH($A4,'Valo FX'!$A:$A,0)),INDEX(Base!$V:$V,MATCH($A4,Base!$A:$A,0)),0)))</f>
        <v>10.483279</v>
      </c>
      <c r="KN4" s="21">
        <f>IF(KN$1&lt;INDEX('Valo FX'!$Q:$Q,MATCH($A4,'Valo FX'!$A:$A,0)),0,IF(KN$1&lt;INDEX('Valo FX'!$R:$R,MATCH($A4,'Valo FX'!$A:$A,0)),INDEX(Base!$U:$U,MATCH($A4,Base!$A:$A,0)),IF(KN$1=INDEX('Valo FX'!$R:$R,MATCH($A4,'Valo FX'!$A:$A,0)),INDEX(Base!$V:$V,MATCH($A4,Base!$A:$A,0)),0)))</f>
        <v>10.483279</v>
      </c>
      <c r="KO4" s="21">
        <f>IF(KO$1&lt;INDEX('Valo FX'!$Q:$Q,MATCH($A4,'Valo FX'!$A:$A,0)),0,IF(KO$1&lt;INDEX('Valo FX'!$R:$R,MATCH($A4,'Valo FX'!$A:$A,0)),INDEX(Base!$U:$U,MATCH($A4,Base!$A:$A,0)),IF(KO$1=INDEX('Valo FX'!$R:$R,MATCH($A4,'Valo FX'!$A:$A,0)),INDEX(Base!$V:$V,MATCH($A4,Base!$A:$A,0)),0)))</f>
        <v>10.483279</v>
      </c>
      <c r="KP4" s="21">
        <f>IF(KP$1&lt;INDEX('Valo FX'!$Q:$Q,MATCH($A4,'Valo FX'!$A:$A,0)),0,IF(KP$1&lt;INDEX('Valo FX'!$R:$R,MATCH($A4,'Valo FX'!$A:$A,0)),INDEX(Base!$U:$U,MATCH($A4,Base!$A:$A,0)),IF(KP$1=INDEX('Valo FX'!$R:$R,MATCH($A4,'Valo FX'!$A:$A,0)),INDEX(Base!$V:$V,MATCH($A4,Base!$A:$A,0)),0)))</f>
        <v>10.483279</v>
      </c>
      <c r="KQ4" s="21">
        <f>IF(KQ$1&lt;INDEX('Valo FX'!$Q:$Q,MATCH($A4,'Valo FX'!$A:$A,0)),0,IF(KQ$1&lt;INDEX('Valo FX'!$R:$R,MATCH($A4,'Valo FX'!$A:$A,0)),INDEX(Base!$U:$U,MATCH($A4,Base!$A:$A,0)),IF(KQ$1=INDEX('Valo FX'!$R:$R,MATCH($A4,'Valo FX'!$A:$A,0)),INDEX(Base!$V:$V,MATCH($A4,Base!$A:$A,0)),0)))</f>
        <v>10.483279</v>
      </c>
      <c r="KR4" s="21">
        <f>IF(KR$1&lt;INDEX('Valo FX'!$Q:$Q,MATCH($A4,'Valo FX'!$A:$A,0)),0,IF(KR$1&lt;INDEX('Valo FX'!$R:$R,MATCH($A4,'Valo FX'!$A:$A,0)),INDEX(Base!$U:$U,MATCH($A4,Base!$A:$A,0)),IF(KR$1=INDEX('Valo FX'!$R:$R,MATCH($A4,'Valo FX'!$A:$A,0)),INDEX(Base!$V:$V,MATCH($A4,Base!$A:$A,0)),0)))</f>
        <v>10.483279</v>
      </c>
      <c r="KS4" s="21">
        <f>IF(KS$1&lt;INDEX('Valo FX'!$Q:$Q,MATCH($A4,'Valo FX'!$A:$A,0)),0,IF(KS$1&lt;INDEX('Valo FX'!$R:$R,MATCH($A4,'Valo FX'!$A:$A,0)),INDEX(Base!$U:$U,MATCH($A4,Base!$A:$A,0)),IF(KS$1=INDEX('Valo FX'!$R:$R,MATCH($A4,'Valo FX'!$A:$A,0)),INDEX(Base!$V:$V,MATCH($A4,Base!$A:$A,0)),0)))</f>
        <v>10.483279</v>
      </c>
      <c r="KT4" s="21">
        <f>IF(KT$1&lt;INDEX('Valo FX'!$Q:$Q,MATCH($A4,'Valo FX'!$A:$A,0)),0,IF(KT$1&lt;INDEX('Valo FX'!$R:$R,MATCH($A4,'Valo FX'!$A:$A,0)),INDEX(Base!$U:$U,MATCH($A4,Base!$A:$A,0)),IF(KT$1=INDEX('Valo FX'!$R:$R,MATCH($A4,'Valo FX'!$A:$A,0)),INDEX(Base!$V:$V,MATCH($A4,Base!$A:$A,0)),0)))</f>
        <v>10.483279</v>
      </c>
      <c r="KU4" s="21">
        <f>IF(KU$1&lt;INDEX('Valo FX'!$Q:$Q,MATCH($A4,'Valo FX'!$A:$A,0)),0,IF(KU$1&lt;INDEX('Valo FX'!$R:$R,MATCH($A4,'Valo FX'!$A:$A,0)),INDEX(Base!$U:$U,MATCH($A4,Base!$A:$A,0)),IF(KU$1=INDEX('Valo FX'!$R:$R,MATCH($A4,'Valo FX'!$A:$A,0)),INDEX(Base!$V:$V,MATCH($A4,Base!$A:$A,0)),0)))</f>
        <v>10.483279</v>
      </c>
      <c r="KV4" s="21">
        <f>IF(KV$1&lt;INDEX('Valo FX'!$Q:$Q,MATCH($A4,'Valo FX'!$A:$A,0)),0,IF(KV$1&lt;INDEX('Valo FX'!$R:$R,MATCH($A4,'Valo FX'!$A:$A,0)),INDEX(Base!$U:$U,MATCH($A4,Base!$A:$A,0)),IF(KV$1=INDEX('Valo FX'!$R:$R,MATCH($A4,'Valo FX'!$A:$A,0)),INDEX(Base!$V:$V,MATCH($A4,Base!$A:$A,0)),0)))</f>
        <v>10.483279</v>
      </c>
      <c r="KW4" s="21">
        <f>IF(KW$1&lt;INDEX('Valo FX'!$Q:$Q,MATCH($A4,'Valo FX'!$A:$A,0)),0,IF(KW$1&lt;INDEX('Valo FX'!$R:$R,MATCH($A4,'Valo FX'!$A:$A,0)),INDEX(Base!$U:$U,MATCH($A4,Base!$A:$A,0)),IF(KW$1=INDEX('Valo FX'!$R:$R,MATCH($A4,'Valo FX'!$A:$A,0)),INDEX(Base!$V:$V,MATCH($A4,Base!$A:$A,0)),0)))</f>
        <v>10.483279</v>
      </c>
      <c r="KX4" s="21">
        <f>IF(KX$1&lt;INDEX('Valo FX'!$Q:$Q,MATCH($A4,'Valo FX'!$A:$A,0)),0,IF(KX$1&lt;INDEX('Valo FX'!$R:$R,MATCH($A4,'Valo FX'!$A:$A,0)),INDEX(Base!$U:$U,MATCH($A4,Base!$A:$A,0)),IF(KX$1=INDEX('Valo FX'!$R:$R,MATCH($A4,'Valo FX'!$A:$A,0)),INDEX(Base!$V:$V,MATCH($A4,Base!$A:$A,0)),0)))</f>
        <v>10.483279</v>
      </c>
      <c r="KY4" s="21">
        <f>IF(KY$1&lt;INDEX('Valo FX'!$Q:$Q,MATCH($A4,'Valo FX'!$A:$A,0)),0,IF(KY$1&lt;INDEX('Valo FX'!$R:$R,MATCH($A4,'Valo FX'!$A:$A,0)),INDEX(Base!$U:$U,MATCH($A4,Base!$A:$A,0)),IF(KY$1=INDEX('Valo FX'!$R:$R,MATCH($A4,'Valo FX'!$A:$A,0)),INDEX(Base!$V:$V,MATCH($A4,Base!$A:$A,0)),0)))</f>
        <v>10.483279</v>
      </c>
      <c r="KZ4" s="21">
        <f>IF(KZ$1&lt;INDEX('Valo FX'!$Q:$Q,MATCH($A4,'Valo FX'!$A:$A,0)),0,IF(KZ$1&lt;INDEX('Valo FX'!$R:$R,MATCH($A4,'Valo FX'!$A:$A,0)),INDEX(Base!$U:$U,MATCH($A4,Base!$A:$A,0)),IF(KZ$1=INDEX('Valo FX'!$R:$R,MATCH($A4,'Valo FX'!$A:$A,0)),INDEX(Base!$V:$V,MATCH($A4,Base!$A:$A,0)),0)))</f>
        <v>10.483279</v>
      </c>
      <c r="LA4" s="21">
        <f>IF(LA$1&lt;INDEX('Valo FX'!$Q:$Q,MATCH($A4,'Valo FX'!$A:$A,0)),0,IF(LA$1&lt;INDEX('Valo FX'!$R:$R,MATCH($A4,'Valo FX'!$A:$A,0)),INDEX(Base!$U:$U,MATCH($A4,Base!$A:$A,0)),IF(LA$1=INDEX('Valo FX'!$R:$R,MATCH($A4,'Valo FX'!$A:$A,0)),INDEX(Base!$V:$V,MATCH($A4,Base!$A:$A,0)),0)))</f>
        <v>10.483279</v>
      </c>
      <c r="LB4" s="21">
        <f>IF(LB$1&lt;INDEX('Valo FX'!$Q:$Q,MATCH($A4,'Valo FX'!$A:$A,0)),0,IF(LB$1&lt;INDEX('Valo FX'!$R:$R,MATCH($A4,'Valo FX'!$A:$A,0)),INDEX(Base!$U:$U,MATCH($A4,Base!$A:$A,0)),IF(LB$1=INDEX('Valo FX'!$R:$R,MATCH($A4,'Valo FX'!$A:$A,0)),INDEX(Base!$V:$V,MATCH($A4,Base!$A:$A,0)),0)))</f>
        <v>10.483279</v>
      </c>
      <c r="LC4" s="21">
        <f>IF(LC$1&lt;INDEX('Valo FX'!$Q:$Q,MATCH($A4,'Valo FX'!$A:$A,0)),0,IF(LC$1&lt;INDEX('Valo FX'!$R:$R,MATCH($A4,'Valo FX'!$A:$A,0)),INDEX(Base!$U:$U,MATCH($A4,Base!$A:$A,0)),IF(LC$1=INDEX('Valo FX'!$R:$R,MATCH($A4,'Valo FX'!$A:$A,0)),INDEX(Base!$V:$V,MATCH($A4,Base!$A:$A,0)),0)))</f>
        <v>10.483279</v>
      </c>
      <c r="LD4" s="21">
        <f>IF(LD$1&lt;INDEX('Valo FX'!$Q:$Q,MATCH($A4,'Valo FX'!$A:$A,0)),0,IF(LD$1&lt;INDEX('Valo FX'!$R:$R,MATCH($A4,'Valo FX'!$A:$A,0)),INDEX(Base!$U:$U,MATCH($A4,Base!$A:$A,0)),IF(LD$1=INDEX('Valo FX'!$R:$R,MATCH($A4,'Valo FX'!$A:$A,0)),INDEX(Base!$V:$V,MATCH($A4,Base!$A:$A,0)),0)))</f>
        <v>10.483279</v>
      </c>
      <c r="LE4" s="21">
        <f>IF(LE$1&lt;INDEX('Valo FX'!$Q:$Q,MATCH($A4,'Valo FX'!$A:$A,0)),0,IF(LE$1&lt;INDEX('Valo FX'!$R:$R,MATCH($A4,'Valo FX'!$A:$A,0)),INDEX(Base!$U:$U,MATCH($A4,Base!$A:$A,0)),IF(LE$1=INDEX('Valo FX'!$R:$R,MATCH($A4,'Valo FX'!$A:$A,0)),INDEX(Base!$V:$V,MATCH($A4,Base!$A:$A,0)),0)))</f>
        <v>10.483279</v>
      </c>
      <c r="LF4" s="21">
        <f>IF(LF$1&lt;INDEX('Valo FX'!$Q:$Q,MATCH($A4,'Valo FX'!$A:$A,0)),0,IF(LF$1&lt;INDEX('Valo FX'!$R:$R,MATCH($A4,'Valo FX'!$A:$A,0)),INDEX(Base!$U:$U,MATCH($A4,Base!$A:$A,0)),IF(LF$1=INDEX('Valo FX'!$R:$R,MATCH($A4,'Valo FX'!$A:$A,0)),INDEX(Base!$V:$V,MATCH($A4,Base!$A:$A,0)),0)))</f>
        <v>10.483279</v>
      </c>
      <c r="LG4" s="21">
        <f>IF(LG$1&lt;INDEX('Valo FX'!$Q:$Q,MATCH($A4,'Valo FX'!$A:$A,0)),0,IF(LG$1&lt;INDEX('Valo FX'!$R:$R,MATCH($A4,'Valo FX'!$A:$A,0)),INDEX(Base!$U:$U,MATCH($A4,Base!$A:$A,0)),IF(LG$1=INDEX('Valo FX'!$R:$R,MATCH($A4,'Valo FX'!$A:$A,0)),INDEX(Base!$V:$V,MATCH($A4,Base!$A:$A,0)),0)))</f>
        <v>10.483279</v>
      </c>
      <c r="LH4" s="21">
        <f>IF(LH$1&lt;INDEX('Valo FX'!$Q:$Q,MATCH($A4,'Valo FX'!$A:$A,0)),0,IF(LH$1&lt;INDEX('Valo FX'!$R:$R,MATCH($A4,'Valo FX'!$A:$A,0)),INDEX(Base!$U:$U,MATCH($A4,Base!$A:$A,0)),IF(LH$1=INDEX('Valo FX'!$R:$R,MATCH($A4,'Valo FX'!$A:$A,0)),INDEX(Base!$V:$V,MATCH($A4,Base!$A:$A,0)),0)))</f>
        <v>10.483279</v>
      </c>
      <c r="LI4" s="21">
        <f>IF(LI$1&lt;INDEX('Valo FX'!$Q:$Q,MATCH($A4,'Valo FX'!$A:$A,0)),0,IF(LI$1&lt;INDEX('Valo FX'!$R:$R,MATCH($A4,'Valo FX'!$A:$A,0)),INDEX(Base!$U:$U,MATCH($A4,Base!$A:$A,0)),IF(LI$1=INDEX('Valo FX'!$R:$R,MATCH($A4,'Valo FX'!$A:$A,0)),INDEX(Base!$V:$V,MATCH($A4,Base!$A:$A,0)),0)))</f>
        <v>10.483279</v>
      </c>
      <c r="LJ4" s="21">
        <f>IF(LJ$1&lt;INDEX('Valo FX'!$Q:$Q,MATCH($A4,'Valo FX'!$A:$A,0)),0,IF(LJ$1&lt;INDEX('Valo FX'!$R:$R,MATCH($A4,'Valo FX'!$A:$A,0)),INDEX(Base!$U:$U,MATCH($A4,Base!$A:$A,0)),IF(LJ$1=INDEX('Valo FX'!$R:$R,MATCH($A4,'Valo FX'!$A:$A,0)),INDEX(Base!$V:$V,MATCH($A4,Base!$A:$A,0)),0)))</f>
        <v>10.483279</v>
      </c>
      <c r="LK4" s="21">
        <f>IF(LK$1&lt;INDEX('Valo FX'!$Q:$Q,MATCH($A4,'Valo FX'!$A:$A,0)),0,IF(LK$1&lt;INDEX('Valo FX'!$R:$R,MATCH($A4,'Valo FX'!$A:$A,0)),INDEX(Base!$U:$U,MATCH($A4,Base!$A:$A,0)),IF(LK$1=INDEX('Valo FX'!$R:$R,MATCH($A4,'Valo FX'!$A:$A,0)),INDEX(Base!$V:$V,MATCH($A4,Base!$A:$A,0)),0)))</f>
        <v>10.483279</v>
      </c>
      <c r="LL4" s="21">
        <f>IF(LL$1&lt;INDEX('Valo FX'!$Q:$Q,MATCH($A4,'Valo FX'!$A:$A,0)),0,IF(LL$1&lt;INDEX('Valo FX'!$R:$R,MATCH($A4,'Valo FX'!$A:$A,0)),INDEX(Base!$U:$U,MATCH($A4,Base!$A:$A,0)),IF(LL$1=INDEX('Valo FX'!$R:$R,MATCH($A4,'Valo FX'!$A:$A,0)),INDEX(Base!$V:$V,MATCH($A4,Base!$A:$A,0)),0)))</f>
        <v>10.483279</v>
      </c>
      <c r="LM4" s="21">
        <f>IF(LM$1&lt;INDEX('Valo FX'!$Q:$Q,MATCH($A4,'Valo FX'!$A:$A,0)),0,IF(LM$1&lt;INDEX('Valo FX'!$R:$R,MATCH($A4,'Valo FX'!$A:$A,0)),INDEX(Base!$U:$U,MATCH($A4,Base!$A:$A,0)),IF(LM$1=INDEX('Valo FX'!$R:$R,MATCH($A4,'Valo FX'!$A:$A,0)),INDEX(Base!$V:$V,MATCH($A4,Base!$A:$A,0)),0)))</f>
        <v>10.483279</v>
      </c>
      <c r="LN4" s="21">
        <f>IF(LN$1&lt;INDEX('Valo FX'!$Q:$Q,MATCH($A4,'Valo FX'!$A:$A,0)),0,IF(LN$1&lt;INDEX('Valo FX'!$R:$R,MATCH($A4,'Valo FX'!$A:$A,0)),INDEX(Base!$U:$U,MATCH($A4,Base!$A:$A,0)),IF(LN$1=INDEX('Valo FX'!$R:$R,MATCH($A4,'Valo FX'!$A:$A,0)),INDEX(Base!$V:$V,MATCH($A4,Base!$A:$A,0)),0)))</f>
        <v>10.483279</v>
      </c>
      <c r="LO4" s="21">
        <f>IF(LO$1&lt;INDEX('Valo FX'!$Q:$Q,MATCH($A4,'Valo FX'!$A:$A,0)),0,IF(LO$1&lt;INDEX('Valo FX'!$R:$R,MATCH($A4,'Valo FX'!$A:$A,0)),INDEX(Base!$U:$U,MATCH($A4,Base!$A:$A,0)),IF(LO$1=INDEX('Valo FX'!$R:$R,MATCH($A4,'Valo FX'!$A:$A,0)),INDEX(Base!$V:$V,MATCH($A4,Base!$A:$A,0)),0)))</f>
        <v>10.483279</v>
      </c>
      <c r="LP4" s="21">
        <f>IF(LP$1&lt;INDEX('Valo FX'!$Q:$Q,MATCH($A4,'Valo FX'!$A:$A,0)),0,IF(LP$1&lt;INDEX('Valo FX'!$R:$R,MATCH($A4,'Valo FX'!$A:$A,0)),INDEX(Base!$U:$U,MATCH($A4,Base!$A:$A,0)),IF(LP$1=INDEX('Valo FX'!$R:$R,MATCH($A4,'Valo FX'!$A:$A,0)),INDEX(Base!$V:$V,MATCH($A4,Base!$A:$A,0)),0)))</f>
        <v>10.483279</v>
      </c>
      <c r="LQ4" s="21">
        <f>IF(LQ$1&lt;INDEX('Valo FX'!$Q:$Q,MATCH($A4,'Valo FX'!$A:$A,0)),0,IF(LQ$1&lt;INDEX('Valo FX'!$R:$R,MATCH($A4,'Valo FX'!$A:$A,0)),INDEX(Base!$U:$U,MATCH($A4,Base!$A:$A,0)),IF(LQ$1=INDEX('Valo FX'!$R:$R,MATCH($A4,'Valo FX'!$A:$A,0)),INDEX(Base!$V:$V,MATCH($A4,Base!$A:$A,0)),0)))</f>
        <v>10.483279</v>
      </c>
      <c r="LR4" s="21">
        <f>IF(LR$1&lt;INDEX('Valo FX'!$Q:$Q,MATCH($A4,'Valo FX'!$A:$A,0)),0,IF(LR$1&lt;INDEX('Valo FX'!$R:$R,MATCH($A4,'Valo FX'!$A:$A,0)),INDEX(Base!$U:$U,MATCH($A4,Base!$A:$A,0)),IF(LR$1=INDEX('Valo FX'!$R:$R,MATCH($A4,'Valo FX'!$A:$A,0)),INDEX(Base!$V:$V,MATCH($A4,Base!$A:$A,0)),0)))</f>
        <v>10.483279</v>
      </c>
      <c r="LS4" s="21">
        <f>IF(LS$1&lt;INDEX('Valo FX'!$Q:$Q,MATCH($A4,'Valo FX'!$A:$A,0)),0,IF(LS$1&lt;INDEX('Valo FX'!$R:$R,MATCH($A4,'Valo FX'!$A:$A,0)),INDEX(Base!$U:$U,MATCH($A4,Base!$A:$A,0)),IF(LS$1=INDEX('Valo FX'!$R:$R,MATCH($A4,'Valo FX'!$A:$A,0)),INDEX(Base!$V:$V,MATCH($A4,Base!$A:$A,0)),0)))</f>
        <v>10.483279</v>
      </c>
      <c r="LT4" s="21">
        <f>IF(LT$1&lt;INDEX('Valo FX'!$Q:$Q,MATCH($A4,'Valo FX'!$A:$A,0)),0,IF(LT$1&lt;INDEX('Valo FX'!$R:$R,MATCH($A4,'Valo FX'!$A:$A,0)),INDEX(Base!$U:$U,MATCH($A4,Base!$A:$A,0)),IF(LT$1=INDEX('Valo FX'!$R:$R,MATCH($A4,'Valo FX'!$A:$A,0)),INDEX(Base!$V:$V,MATCH($A4,Base!$A:$A,0)),0)))</f>
        <v>10.483279</v>
      </c>
      <c r="LU4" s="21">
        <f>IF(LU$1&lt;INDEX('Valo FX'!$Q:$Q,MATCH($A4,'Valo FX'!$A:$A,0)),0,IF(LU$1&lt;INDEX('Valo FX'!$R:$R,MATCH($A4,'Valo FX'!$A:$A,0)),INDEX(Base!$U:$U,MATCH($A4,Base!$A:$A,0)),IF(LU$1=INDEX('Valo FX'!$R:$R,MATCH($A4,'Valo FX'!$A:$A,0)),INDEX(Base!$V:$V,MATCH($A4,Base!$A:$A,0)),0)))</f>
        <v>10.483279</v>
      </c>
      <c r="LV4" s="21">
        <f>IF(LV$1&lt;INDEX('Valo FX'!$Q:$Q,MATCH($A4,'Valo FX'!$A:$A,0)),0,IF(LV$1&lt;INDEX('Valo FX'!$R:$R,MATCH($A4,'Valo FX'!$A:$A,0)),INDEX(Base!$U:$U,MATCH($A4,Base!$A:$A,0)),IF(LV$1=INDEX('Valo FX'!$R:$R,MATCH($A4,'Valo FX'!$A:$A,0)),INDEX(Base!$V:$V,MATCH($A4,Base!$A:$A,0)),0)))</f>
        <v>10.483279</v>
      </c>
      <c r="LW4" s="21">
        <f>IF(LW$1&lt;INDEX('Valo FX'!$Q:$Q,MATCH($A4,'Valo FX'!$A:$A,0)),0,IF(LW$1&lt;INDEX('Valo FX'!$R:$R,MATCH($A4,'Valo FX'!$A:$A,0)),INDEX(Base!$U:$U,MATCH($A4,Base!$A:$A,0)),IF(LW$1=INDEX('Valo FX'!$R:$R,MATCH($A4,'Valo FX'!$A:$A,0)),INDEX(Base!$V:$V,MATCH($A4,Base!$A:$A,0)),0)))</f>
        <v>10.483279</v>
      </c>
      <c r="LX4" s="21">
        <f>IF(LX$1&lt;INDEX('Valo FX'!$Q:$Q,MATCH($A4,'Valo FX'!$A:$A,0)),0,IF(LX$1&lt;INDEX('Valo FX'!$R:$R,MATCH($A4,'Valo FX'!$A:$A,0)),INDEX(Base!$U:$U,MATCH($A4,Base!$A:$A,0)),IF(LX$1=INDEX('Valo FX'!$R:$R,MATCH($A4,'Valo FX'!$A:$A,0)),INDEX(Base!$V:$V,MATCH($A4,Base!$A:$A,0)),0)))</f>
        <v>10.483279</v>
      </c>
      <c r="LY4" s="21">
        <f>IF(LY$1&lt;INDEX('Valo FX'!$Q:$Q,MATCH($A4,'Valo FX'!$A:$A,0)),0,IF(LY$1&lt;INDEX('Valo FX'!$R:$R,MATCH($A4,'Valo FX'!$A:$A,0)),INDEX(Base!$U:$U,MATCH($A4,Base!$A:$A,0)),IF(LY$1=INDEX('Valo FX'!$R:$R,MATCH($A4,'Valo FX'!$A:$A,0)),INDEX(Base!$V:$V,MATCH($A4,Base!$A:$A,0)),0)))</f>
        <v>10.483279</v>
      </c>
      <c r="LZ4" s="21">
        <f>IF(LZ$1&lt;INDEX('Valo FX'!$Q:$Q,MATCH($A4,'Valo FX'!$A:$A,0)),0,IF(LZ$1&lt;INDEX('Valo FX'!$R:$R,MATCH($A4,'Valo FX'!$A:$A,0)),INDEX(Base!$U:$U,MATCH($A4,Base!$A:$A,0)),IF(LZ$1=INDEX('Valo FX'!$R:$R,MATCH($A4,'Valo FX'!$A:$A,0)),INDEX(Base!$V:$V,MATCH($A4,Base!$A:$A,0)),0)))</f>
        <v>10.483279</v>
      </c>
      <c r="MA4" s="21">
        <f>IF(MA$1&lt;INDEX('Valo FX'!$Q:$Q,MATCH($A4,'Valo FX'!$A:$A,0)),0,IF(MA$1&lt;INDEX('Valo FX'!$R:$R,MATCH($A4,'Valo FX'!$A:$A,0)),INDEX(Base!$U:$U,MATCH($A4,Base!$A:$A,0)),IF(MA$1=INDEX('Valo FX'!$R:$R,MATCH($A4,'Valo FX'!$A:$A,0)),INDEX(Base!$V:$V,MATCH($A4,Base!$A:$A,0)),0)))</f>
        <v>10.483279</v>
      </c>
      <c r="MB4" s="21">
        <f>IF(MB$1&lt;INDEX('Valo FX'!$Q:$Q,MATCH($A4,'Valo FX'!$A:$A,0)),0,IF(MB$1&lt;INDEX('Valo FX'!$R:$R,MATCH($A4,'Valo FX'!$A:$A,0)),INDEX(Base!$U:$U,MATCH($A4,Base!$A:$A,0)),IF(MB$1=INDEX('Valo FX'!$R:$R,MATCH($A4,'Valo FX'!$A:$A,0)),INDEX(Base!$V:$V,MATCH($A4,Base!$A:$A,0)),0)))</f>
        <v>10.483279</v>
      </c>
      <c r="MC4" s="21">
        <f>IF(MC$1&lt;INDEX('Valo FX'!$Q:$Q,MATCH($A4,'Valo FX'!$A:$A,0)),0,IF(MC$1&lt;INDEX('Valo FX'!$R:$R,MATCH($A4,'Valo FX'!$A:$A,0)),INDEX(Base!$U:$U,MATCH($A4,Base!$A:$A,0)),IF(MC$1=INDEX('Valo FX'!$R:$R,MATCH($A4,'Valo FX'!$A:$A,0)),INDEX(Base!$V:$V,MATCH($A4,Base!$A:$A,0)),0)))</f>
        <v>10.483279</v>
      </c>
      <c r="MD4" s="21">
        <f>IF(MD$1&lt;INDEX('Valo FX'!$Q:$Q,MATCH($A4,'Valo FX'!$A:$A,0)),0,IF(MD$1&lt;INDEX('Valo FX'!$R:$R,MATCH($A4,'Valo FX'!$A:$A,0)),INDEX(Base!$U:$U,MATCH($A4,Base!$A:$A,0)),IF(MD$1=INDEX('Valo FX'!$R:$R,MATCH($A4,'Valo FX'!$A:$A,0)),INDEX(Base!$V:$V,MATCH($A4,Base!$A:$A,0)),0)))</f>
        <v>10.483279</v>
      </c>
      <c r="ME4" s="21">
        <f>IF(ME$1&lt;INDEX('Valo FX'!$Q:$Q,MATCH($A4,'Valo FX'!$A:$A,0)),0,IF(ME$1&lt;INDEX('Valo FX'!$R:$R,MATCH($A4,'Valo FX'!$A:$A,0)),INDEX(Base!$U:$U,MATCH($A4,Base!$A:$A,0)),IF(ME$1=INDEX('Valo FX'!$R:$R,MATCH($A4,'Valo FX'!$A:$A,0)),INDEX(Base!$V:$V,MATCH($A4,Base!$A:$A,0)),0)))</f>
        <v>10.483279</v>
      </c>
      <c r="MF4" s="21">
        <f>IF(MF$1&lt;INDEX('Valo FX'!$Q:$Q,MATCH($A4,'Valo FX'!$A:$A,0)),0,IF(MF$1&lt;INDEX('Valo FX'!$R:$R,MATCH($A4,'Valo FX'!$A:$A,0)),INDEX(Base!$U:$U,MATCH($A4,Base!$A:$A,0)),IF(MF$1=INDEX('Valo FX'!$R:$R,MATCH($A4,'Valo FX'!$A:$A,0)),INDEX(Base!$V:$V,MATCH($A4,Base!$A:$A,0)),0)))</f>
        <v>10.483279</v>
      </c>
      <c r="MG4" s="21">
        <f>IF(MG$1&lt;INDEX('Valo FX'!$Q:$Q,MATCH($A4,'Valo FX'!$A:$A,0)),0,IF(MG$1&lt;INDEX('Valo FX'!$R:$R,MATCH($A4,'Valo FX'!$A:$A,0)),INDEX(Base!$U:$U,MATCH($A4,Base!$A:$A,0)),IF(MG$1=INDEX('Valo FX'!$R:$R,MATCH($A4,'Valo FX'!$A:$A,0)),INDEX(Base!$V:$V,MATCH($A4,Base!$A:$A,0)),0)))</f>
        <v>10.483279</v>
      </c>
      <c r="MH4" s="21">
        <f>IF(MH$1&lt;INDEX('Valo FX'!$Q:$Q,MATCH($A4,'Valo FX'!$A:$A,0)),0,IF(MH$1&lt;INDEX('Valo FX'!$R:$R,MATCH($A4,'Valo FX'!$A:$A,0)),INDEX(Base!$U:$U,MATCH($A4,Base!$A:$A,0)),IF(MH$1=INDEX('Valo FX'!$R:$R,MATCH($A4,'Valo FX'!$A:$A,0)),INDEX(Base!$V:$V,MATCH($A4,Base!$A:$A,0)),0)))</f>
        <v>10.483279</v>
      </c>
      <c r="MI4" s="21">
        <f>IF(MI$1&lt;INDEX('Valo FX'!$Q:$Q,MATCH($A4,'Valo FX'!$A:$A,0)),0,IF(MI$1&lt;INDEX('Valo FX'!$R:$R,MATCH($A4,'Valo FX'!$A:$A,0)),INDEX(Base!$U:$U,MATCH($A4,Base!$A:$A,0)),IF(MI$1=INDEX('Valo FX'!$R:$R,MATCH($A4,'Valo FX'!$A:$A,0)),INDEX(Base!$V:$V,MATCH($A4,Base!$A:$A,0)),0)))</f>
        <v>10.483279</v>
      </c>
      <c r="MJ4" s="21">
        <f>IF(MJ$1&lt;INDEX('Valo FX'!$Q:$Q,MATCH($A4,'Valo FX'!$A:$A,0)),0,IF(MJ$1&lt;INDEX('Valo FX'!$R:$R,MATCH($A4,'Valo FX'!$A:$A,0)),INDEX(Base!$U:$U,MATCH($A4,Base!$A:$A,0)),IF(MJ$1=INDEX('Valo FX'!$R:$R,MATCH($A4,'Valo FX'!$A:$A,0)),INDEX(Base!$V:$V,MATCH($A4,Base!$A:$A,0)),0)))</f>
        <v>10.483279</v>
      </c>
      <c r="MK4" s="21">
        <f>IF(MK$1&lt;INDEX('Valo FX'!$Q:$Q,MATCH($A4,'Valo FX'!$A:$A,0)),0,IF(MK$1&lt;INDEX('Valo FX'!$R:$R,MATCH($A4,'Valo FX'!$A:$A,0)),INDEX(Base!$U:$U,MATCH($A4,Base!$A:$A,0)),IF(MK$1=INDEX('Valo FX'!$R:$R,MATCH($A4,'Valo FX'!$A:$A,0)),INDEX(Base!$V:$V,MATCH($A4,Base!$A:$A,0)),0)))</f>
        <v>10.483279</v>
      </c>
      <c r="ML4" s="21">
        <f>IF(ML$1&lt;INDEX('Valo FX'!$Q:$Q,MATCH($A4,'Valo FX'!$A:$A,0)),0,IF(ML$1&lt;INDEX('Valo FX'!$R:$R,MATCH($A4,'Valo FX'!$A:$A,0)),INDEX(Base!$U:$U,MATCH($A4,Base!$A:$A,0)),IF(ML$1=INDEX('Valo FX'!$R:$R,MATCH($A4,'Valo FX'!$A:$A,0)),INDEX(Base!$V:$V,MATCH($A4,Base!$A:$A,0)),0)))</f>
        <v>10.483279</v>
      </c>
      <c r="MM4" s="21">
        <f>IF(MM$1&lt;INDEX('Valo FX'!$Q:$Q,MATCH($A4,'Valo FX'!$A:$A,0)),0,IF(MM$1&lt;INDEX('Valo FX'!$R:$R,MATCH($A4,'Valo FX'!$A:$A,0)),INDEX(Base!$U:$U,MATCH($A4,Base!$A:$A,0)),IF(MM$1=INDEX('Valo FX'!$R:$R,MATCH($A4,'Valo FX'!$A:$A,0)),INDEX(Base!$V:$V,MATCH($A4,Base!$A:$A,0)),0)))</f>
        <v>10.483279</v>
      </c>
      <c r="MN4" s="21">
        <f>IF(MN$1&lt;INDEX('Valo FX'!$Q:$Q,MATCH($A4,'Valo FX'!$A:$A,0)),0,IF(MN$1&lt;INDEX('Valo FX'!$R:$R,MATCH($A4,'Valo FX'!$A:$A,0)),INDEX(Base!$U:$U,MATCH($A4,Base!$A:$A,0)),IF(MN$1=INDEX('Valo FX'!$R:$R,MATCH($A4,'Valo FX'!$A:$A,0)),INDEX(Base!$V:$V,MATCH($A4,Base!$A:$A,0)),0)))</f>
        <v>10.483279</v>
      </c>
      <c r="MO4" s="21">
        <f>IF(MO$1&lt;INDEX('Valo FX'!$Q:$Q,MATCH($A4,'Valo FX'!$A:$A,0)),0,IF(MO$1&lt;INDEX('Valo FX'!$R:$R,MATCH($A4,'Valo FX'!$A:$A,0)),INDEX(Base!$U:$U,MATCH($A4,Base!$A:$A,0)),IF(MO$1=INDEX('Valo FX'!$R:$R,MATCH($A4,'Valo FX'!$A:$A,0)),INDEX(Base!$V:$V,MATCH($A4,Base!$A:$A,0)),0)))</f>
        <v>10.483279</v>
      </c>
      <c r="MP4" s="21">
        <f>IF(MP$1&lt;INDEX('Valo FX'!$Q:$Q,MATCH($A4,'Valo FX'!$A:$A,0)),0,IF(MP$1&lt;INDEX('Valo FX'!$R:$R,MATCH($A4,'Valo FX'!$A:$A,0)),INDEX(Base!$U:$U,MATCH($A4,Base!$A:$A,0)),IF(MP$1=INDEX('Valo FX'!$R:$R,MATCH($A4,'Valo FX'!$A:$A,0)),INDEX(Base!$V:$V,MATCH($A4,Base!$A:$A,0)),0)))</f>
        <v>10.483279</v>
      </c>
      <c r="MQ4" s="21">
        <f>IF(MQ$1&lt;INDEX('Valo FX'!$Q:$Q,MATCH($A4,'Valo FX'!$A:$A,0)),0,IF(MQ$1&lt;INDEX('Valo FX'!$R:$R,MATCH($A4,'Valo FX'!$A:$A,0)),INDEX(Base!$U:$U,MATCH($A4,Base!$A:$A,0)),IF(MQ$1=INDEX('Valo FX'!$R:$R,MATCH($A4,'Valo FX'!$A:$A,0)),INDEX(Base!$V:$V,MATCH($A4,Base!$A:$A,0)),0)))</f>
        <v>10.483279</v>
      </c>
      <c r="MR4" s="21">
        <f>IF(MR$1&lt;INDEX('Valo FX'!$Q:$Q,MATCH($A4,'Valo FX'!$A:$A,0)),0,IF(MR$1&lt;INDEX('Valo FX'!$R:$R,MATCH($A4,'Valo FX'!$A:$A,0)),INDEX(Base!$U:$U,MATCH($A4,Base!$A:$A,0)),IF(MR$1=INDEX('Valo FX'!$R:$R,MATCH($A4,'Valo FX'!$A:$A,0)),INDEX(Base!$V:$V,MATCH($A4,Base!$A:$A,0)),0)))</f>
        <v>10.483279</v>
      </c>
      <c r="MS4" s="21">
        <f>IF(MS$1&lt;INDEX('Valo FX'!$Q:$Q,MATCH($A4,'Valo FX'!$A:$A,0)),0,IF(MS$1&lt;INDEX('Valo FX'!$R:$R,MATCH($A4,'Valo FX'!$A:$A,0)),INDEX(Base!$U:$U,MATCH($A4,Base!$A:$A,0)),IF(MS$1=INDEX('Valo FX'!$R:$R,MATCH($A4,'Valo FX'!$A:$A,0)),INDEX(Base!$V:$V,MATCH($A4,Base!$A:$A,0)),0)))</f>
        <v>10.483279</v>
      </c>
      <c r="MT4" s="21">
        <f>IF(MT$1&lt;INDEX('Valo FX'!$Q:$Q,MATCH($A4,'Valo FX'!$A:$A,0)),0,IF(MT$1&lt;INDEX('Valo FX'!$R:$R,MATCH($A4,'Valo FX'!$A:$A,0)),INDEX(Base!$U:$U,MATCH($A4,Base!$A:$A,0)),IF(MT$1=INDEX('Valo FX'!$R:$R,MATCH($A4,'Valo FX'!$A:$A,0)),INDEX(Base!$V:$V,MATCH($A4,Base!$A:$A,0)),0)))</f>
        <v>10.483279</v>
      </c>
      <c r="MU4" s="21">
        <f>IF(MU$1&lt;INDEX('Valo FX'!$Q:$Q,MATCH($A4,'Valo FX'!$A:$A,0)),0,IF(MU$1&lt;INDEX('Valo FX'!$R:$R,MATCH($A4,'Valo FX'!$A:$A,0)),INDEX(Base!$U:$U,MATCH($A4,Base!$A:$A,0)),IF(MU$1=INDEX('Valo FX'!$R:$R,MATCH($A4,'Valo FX'!$A:$A,0)),INDEX(Base!$V:$V,MATCH($A4,Base!$A:$A,0)),0)))</f>
        <v>10.483279</v>
      </c>
      <c r="MV4" s="21">
        <f>IF(MV$1&lt;INDEX('Valo FX'!$Q:$Q,MATCH($A4,'Valo FX'!$A:$A,0)),0,IF(MV$1&lt;INDEX('Valo FX'!$R:$R,MATCH($A4,'Valo FX'!$A:$A,0)),INDEX(Base!$U:$U,MATCH($A4,Base!$A:$A,0)),IF(MV$1=INDEX('Valo FX'!$R:$R,MATCH($A4,'Valo FX'!$A:$A,0)),INDEX(Base!$V:$V,MATCH($A4,Base!$A:$A,0)),0)))</f>
        <v>10.483279</v>
      </c>
      <c r="MW4" s="21">
        <f>IF(MW$1&lt;INDEX('Valo FX'!$Q:$Q,MATCH($A4,'Valo FX'!$A:$A,0)),0,IF(MW$1&lt;INDEX('Valo FX'!$R:$R,MATCH($A4,'Valo FX'!$A:$A,0)),INDEX(Base!$U:$U,MATCH($A4,Base!$A:$A,0)),IF(MW$1=INDEX('Valo FX'!$R:$R,MATCH($A4,'Valo FX'!$A:$A,0)),INDEX(Base!$V:$V,MATCH($A4,Base!$A:$A,0)),0)))</f>
        <v>10.483279</v>
      </c>
      <c r="MX4" s="21">
        <f>IF(MX$1&lt;INDEX('Valo FX'!$Q:$Q,MATCH($A4,'Valo FX'!$A:$A,0)),0,IF(MX$1&lt;INDEX('Valo FX'!$R:$R,MATCH($A4,'Valo FX'!$A:$A,0)),INDEX(Base!$U:$U,MATCH($A4,Base!$A:$A,0)),IF(MX$1=INDEX('Valo FX'!$R:$R,MATCH($A4,'Valo FX'!$A:$A,0)),INDEX(Base!$V:$V,MATCH($A4,Base!$A:$A,0)),0)))</f>
        <v>10.483279</v>
      </c>
      <c r="MY4" s="21">
        <f>IF(MY$1&lt;INDEX('Valo FX'!$Q:$Q,MATCH($A4,'Valo FX'!$A:$A,0)),0,IF(MY$1&lt;INDEX('Valo FX'!$R:$R,MATCH($A4,'Valo FX'!$A:$A,0)),INDEX(Base!$U:$U,MATCH($A4,Base!$A:$A,0)),IF(MY$1=INDEX('Valo FX'!$R:$R,MATCH($A4,'Valo FX'!$A:$A,0)),INDEX(Base!$V:$V,MATCH($A4,Base!$A:$A,0)),0)))</f>
        <v>10.761609</v>
      </c>
    </row>
    <row r="5" spans="1:363" x14ac:dyDescent="0.2">
      <c r="A5" s="7">
        <f>+'Valo FX'!A6</f>
        <v>3</v>
      </c>
      <c r="B5" s="58">
        <f>-'Valo FX'!T6</f>
        <v>-895.35700311260075</v>
      </c>
      <c r="C5" s="21">
        <f>IF(C$1&lt;INDEX('Valo FX'!$Q:$Q,MATCH($A5,'Valo FX'!$A:$A,0)),0,IF(C$1&lt;INDEX('Valo FX'!$R:$R,MATCH($A5,'Valo FX'!$A:$A,0)),INDEX(Base!$U:$U,MATCH($A5,Base!$A:$A,0)),IF(C$1=INDEX('Valo FX'!$R:$R,MATCH($A5,'Valo FX'!$A:$A,0)),INDEX(Base!$V:$V,MATCH($A5,Base!$A:$A,0)),0)))</f>
        <v>0</v>
      </c>
      <c r="D5" s="21">
        <f>IF(D$1&lt;INDEX('Valo FX'!$Q:$Q,MATCH($A5,'Valo FX'!$A:$A,0)),0,IF(D$1&lt;INDEX('Valo FX'!$R:$R,MATCH($A5,'Valo FX'!$A:$A,0)),INDEX(Base!$U:$U,MATCH($A5,Base!$A:$A,0)),IF(D$1=INDEX('Valo FX'!$R:$R,MATCH($A5,'Valo FX'!$A:$A,0)),INDEX(Base!$V:$V,MATCH($A5,Base!$A:$A,0)),0)))</f>
        <v>0</v>
      </c>
      <c r="E5" s="21">
        <f>IF(E$1&lt;INDEX('Valo FX'!$Q:$Q,MATCH($A5,'Valo FX'!$A:$A,0)),0,IF(E$1&lt;INDEX('Valo FX'!$R:$R,MATCH($A5,'Valo FX'!$A:$A,0)),INDEX(Base!$U:$U,MATCH($A5,Base!$A:$A,0)),IF(E$1=INDEX('Valo FX'!$R:$R,MATCH($A5,'Valo FX'!$A:$A,0)),INDEX(Base!$V:$V,MATCH($A5,Base!$A:$A,0)),0)))</f>
        <v>0</v>
      </c>
      <c r="F5" s="21">
        <f>IF(F$1&lt;INDEX('Valo FX'!$Q:$Q,MATCH($A5,'Valo FX'!$A:$A,0)),0,IF(F$1&lt;INDEX('Valo FX'!$R:$R,MATCH($A5,'Valo FX'!$A:$A,0)),INDEX(Base!$U:$U,MATCH($A5,Base!$A:$A,0)),IF(F$1=INDEX('Valo FX'!$R:$R,MATCH($A5,'Valo FX'!$A:$A,0)),INDEX(Base!$V:$V,MATCH($A5,Base!$A:$A,0)),0)))</f>
        <v>0</v>
      </c>
      <c r="G5" s="21">
        <f>IF(G$1&lt;INDEX('Valo FX'!$Q:$Q,MATCH($A5,'Valo FX'!$A:$A,0)),0,IF(G$1&lt;INDEX('Valo FX'!$R:$R,MATCH($A5,'Valo FX'!$A:$A,0)),INDEX(Base!$U:$U,MATCH($A5,Base!$A:$A,0)),IF(G$1=INDEX('Valo FX'!$R:$R,MATCH($A5,'Valo FX'!$A:$A,0)),INDEX(Base!$V:$V,MATCH($A5,Base!$A:$A,0)),0)))</f>
        <v>0</v>
      </c>
      <c r="H5" s="21">
        <f>IF(H$1&lt;INDEX('Valo FX'!$Q:$Q,MATCH($A5,'Valo FX'!$A:$A,0)),0,IF(H$1&lt;INDEX('Valo FX'!$R:$R,MATCH($A5,'Valo FX'!$A:$A,0)),INDEX(Base!$U:$U,MATCH($A5,Base!$A:$A,0)),IF(H$1=INDEX('Valo FX'!$R:$R,MATCH($A5,'Valo FX'!$A:$A,0)),INDEX(Base!$V:$V,MATCH($A5,Base!$A:$A,0)),0)))</f>
        <v>0</v>
      </c>
      <c r="I5" s="21">
        <f>IF(I$1&lt;INDEX('Valo FX'!$Q:$Q,MATCH($A5,'Valo FX'!$A:$A,0)),0,IF(I$1&lt;INDEX('Valo FX'!$R:$R,MATCH($A5,'Valo FX'!$A:$A,0)),INDEX(Base!$U:$U,MATCH($A5,Base!$A:$A,0)),IF(I$1=INDEX('Valo FX'!$R:$R,MATCH($A5,'Valo FX'!$A:$A,0)),INDEX(Base!$V:$V,MATCH($A5,Base!$A:$A,0)),0)))</f>
        <v>6.4028080000000003</v>
      </c>
      <c r="J5" s="21">
        <f>IF(J$1&lt;INDEX('Valo FX'!$Q:$Q,MATCH($A5,'Valo FX'!$A:$A,0)),0,IF(J$1&lt;INDEX('Valo FX'!$R:$R,MATCH($A5,'Valo FX'!$A:$A,0)),INDEX(Base!$U:$U,MATCH($A5,Base!$A:$A,0)),IF(J$1=INDEX('Valo FX'!$R:$R,MATCH($A5,'Valo FX'!$A:$A,0)),INDEX(Base!$V:$V,MATCH($A5,Base!$A:$A,0)),0)))</f>
        <v>6.4028080000000003</v>
      </c>
      <c r="K5" s="21">
        <f>IF(K$1&lt;INDEX('Valo FX'!$Q:$Q,MATCH($A5,'Valo FX'!$A:$A,0)),0,IF(K$1&lt;INDEX('Valo FX'!$R:$R,MATCH($A5,'Valo FX'!$A:$A,0)),INDEX(Base!$U:$U,MATCH($A5,Base!$A:$A,0)),IF(K$1=INDEX('Valo FX'!$R:$R,MATCH($A5,'Valo FX'!$A:$A,0)),INDEX(Base!$V:$V,MATCH($A5,Base!$A:$A,0)),0)))</f>
        <v>6.4028080000000003</v>
      </c>
      <c r="L5" s="21">
        <f>IF(L$1&lt;INDEX('Valo FX'!$Q:$Q,MATCH($A5,'Valo FX'!$A:$A,0)),0,IF(L$1&lt;INDEX('Valo FX'!$R:$R,MATCH($A5,'Valo FX'!$A:$A,0)),INDEX(Base!$U:$U,MATCH($A5,Base!$A:$A,0)),IF(L$1=INDEX('Valo FX'!$R:$R,MATCH($A5,'Valo FX'!$A:$A,0)),INDEX(Base!$V:$V,MATCH($A5,Base!$A:$A,0)),0)))</f>
        <v>6.4028080000000003</v>
      </c>
      <c r="M5" s="21">
        <f>IF(M$1&lt;INDEX('Valo FX'!$Q:$Q,MATCH($A5,'Valo FX'!$A:$A,0)),0,IF(M$1&lt;INDEX('Valo FX'!$R:$R,MATCH($A5,'Valo FX'!$A:$A,0)),INDEX(Base!$U:$U,MATCH($A5,Base!$A:$A,0)),IF(M$1=INDEX('Valo FX'!$R:$R,MATCH($A5,'Valo FX'!$A:$A,0)),INDEX(Base!$V:$V,MATCH($A5,Base!$A:$A,0)),0)))</f>
        <v>6.4028080000000003</v>
      </c>
      <c r="N5" s="21">
        <f>IF(N$1&lt;INDEX('Valo FX'!$Q:$Q,MATCH($A5,'Valo FX'!$A:$A,0)),0,IF(N$1&lt;INDEX('Valo FX'!$R:$R,MATCH($A5,'Valo FX'!$A:$A,0)),INDEX(Base!$U:$U,MATCH($A5,Base!$A:$A,0)),IF(N$1=INDEX('Valo FX'!$R:$R,MATCH($A5,'Valo FX'!$A:$A,0)),INDEX(Base!$V:$V,MATCH($A5,Base!$A:$A,0)),0)))</f>
        <v>6.4028080000000003</v>
      </c>
      <c r="O5" s="21">
        <f>IF(O$1&lt;INDEX('Valo FX'!$Q:$Q,MATCH($A5,'Valo FX'!$A:$A,0)),0,IF(O$1&lt;INDEX('Valo FX'!$R:$R,MATCH($A5,'Valo FX'!$A:$A,0)),INDEX(Base!$U:$U,MATCH($A5,Base!$A:$A,0)),IF(O$1=INDEX('Valo FX'!$R:$R,MATCH($A5,'Valo FX'!$A:$A,0)),INDEX(Base!$V:$V,MATCH($A5,Base!$A:$A,0)),0)))</f>
        <v>6.4028080000000003</v>
      </c>
      <c r="P5" s="21">
        <f>IF(P$1&lt;INDEX('Valo FX'!$Q:$Q,MATCH($A5,'Valo FX'!$A:$A,0)),0,IF(P$1&lt;INDEX('Valo FX'!$R:$R,MATCH($A5,'Valo FX'!$A:$A,0)),INDEX(Base!$U:$U,MATCH($A5,Base!$A:$A,0)),IF(P$1=INDEX('Valo FX'!$R:$R,MATCH($A5,'Valo FX'!$A:$A,0)),INDEX(Base!$V:$V,MATCH($A5,Base!$A:$A,0)),0)))</f>
        <v>6.4028080000000003</v>
      </c>
      <c r="Q5" s="21">
        <f>IF(Q$1&lt;INDEX('Valo FX'!$Q:$Q,MATCH($A5,'Valo FX'!$A:$A,0)),0,IF(Q$1&lt;INDEX('Valo FX'!$R:$R,MATCH($A5,'Valo FX'!$A:$A,0)),INDEX(Base!$U:$U,MATCH($A5,Base!$A:$A,0)),IF(Q$1=INDEX('Valo FX'!$R:$R,MATCH($A5,'Valo FX'!$A:$A,0)),INDEX(Base!$V:$V,MATCH($A5,Base!$A:$A,0)),0)))</f>
        <v>6.4028080000000003</v>
      </c>
      <c r="R5" s="21">
        <f>IF(R$1&lt;INDEX('Valo FX'!$Q:$Q,MATCH($A5,'Valo FX'!$A:$A,0)),0,IF(R$1&lt;INDEX('Valo FX'!$R:$R,MATCH($A5,'Valo FX'!$A:$A,0)),INDEX(Base!$U:$U,MATCH($A5,Base!$A:$A,0)),IF(R$1=INDEX('Valo FX'!$R:$R,MATCH($A5,'Valo FX'!$A:$A,0)),INDEX(Base!$V:$V,MATCH($A5,Base!$A:$A,0)),0)))</f>
        <v>6.4028080000000003</v>
      </c>
      <c r="S5" s="21">
        <f>IF(S$1&lt;INDEX('Valo FX'!$Q:$Q,MATCH($A5,'Valo FX'!$A:$A,0)),0,IF(S$1&lt;INDEX('Valo FX'!$R:$R,MATCH($A5,'Valo FX'!$A:$A,0)),INDEX(Base!$U:$U,MATCH($A5,Base!$A:$A,0)),IF(S$1=INDEX('Valo FX'!$R:$R,MATCH($A5,'Valo FX'!$A:$A,0)),INDEX(Base!$V:$V,MATCH($A5,Base!$A:$A,0)),0)))</f>
        <v>6.4028080000000003</v>
      </c>
      <c r="T5" s="21">
        <f>IF(T$1&lt;INDEX('Valo FX'!$Q:$Q,MATCH($A5,'Valo FX'!$A:$A,0)),0,IF(T$1&lt;INDEX('Valo FX'!$R:$R,MATCH($A5,'Valo FX'!$A:$A,0)),INDEX(Base!$U:$U,MATCH($A5,Base!$A:$A,0)),IF(T$1=INDEX('Valo FX'!$R:$R,MATCH($A5,'Valo FX'!$A:$A,0)),INDEX(Base!$V:$V,MATCH($A5,Base!$A:$A,0)),0)))</f>
        <v>6.4028080000000003</v>
      </c>
      <c r="U5" s="21">
        <f>IF(U$1&lt;INDEX('Valo FX'!$Q:$Q,MATCH($A5,'Valo FX'!$A:$A,0)),0,IF(U$1&lt;INDEX('Valo FX'!$R:$R,MATCH($A5,'Valo FX'!$A:$A,0)),INDEX(Base!$U:$U,MATCH($A5,Base!$A:$A,0)),IF(U$1=INDEX('Valo FX'!$R:$R,MATCH($A5,'Valo FX'!$A:$A,0)),INDEX(Base!$V:$V,MATCH($A5,Base!$A:$A,0)),0)))</f>
        <v>6.4028080000000003</v>
      </c>
      <c r="V5" s="21">
        <f>IF(V$1&lt;INDEX('Valo FX'!$Q:$Q,MATCH($A5,'Valo FX'!$A:$A,0)),0,IF(V$1&lt;INDEX('Valo FX'!$R:$R,MATCH($A5,'Valo FX'!$A:$A,0)),INDEX(Base!$U:$U,MATCH($A5,Base!$A:$A,0)),IF(V$1=INDEX('Valo FX'!$R:$R,MATCH($A5,'Valo FX'!$A:$A,0)),INDEX(Base!$V:$V,MATCH($A5,Base!$A:$A,0)),0)))</f>
        <v>6.4028080000000003</v>
      </c>
      <c r="W5" s="21">
        <f>IF(W$1&lt;INDEX('Valo FX'!$Q:$Q,MATCH($A5,'Valo FX'!$A:$A,0)),0,IF(W$1&lt;INDEX('Valo FX'!$R:$R,MATCH($A5,'Valo FX'!$A:$A,0)),INDEX(Base!$U:$U,MATCH($A5,Base!$A:$A,0)),IF(W$1=INDEX('Valo FX'!$R:$R,MATCH($A5,'Valo FX'!$A:$A,0)),INDEX(Base!$V:$V,MATCH($A5,Base!$A:$A,0)),0)))</f>
        <v>6.4028080000000003</v>
      </c>
      <c r="X5" s="21">
        <f>IF(X$1&lt;INDEX('Valo FX'!$Q:$Q,MATCH($A5,'Valo FX'!$A:$A,0)),0,IF(X$1&lt;INDEX('Valo FX'!$R:$R,MATCH($A5,'Valo FX'!$A:$A,0)),INDEX(Base!$U:$U,MATCH($A5,Base!$A:$A,0)),IF(X$1=INDEX('Valo FX'!$R:$R,MATCH($A5,'Valo FX'!$A:$A,0)),INDEX(Base!$V:$V,MATCH($A5,Base!$A:$A,0)),0)))</f>
        <v>6.4028080000000003</v>
      </c>
      <c r="Y5" s="21">
        <f>IF(Y$1&lt;INDEX('Valo FX'!$Q:$Q,MATCH($A5,'Valo FX'!$A:$A,0)),0,IF(Y$1&lt;INDEX('Valo FX'!$R:$R,MATCH($A5,'Valo FX'!$A:$A,0)),INDEX(Base!$U:$U,MATCH($A5,Base!$A:$A,0)),IF(Y$1=INDEX('Valo FX'!$R:$R,MATCH($A5,'Valo FX'!$A:$A,0)),INDEX(Base!$V:$V,MATCH($A5,Base!$A:$A,0)),0)))</f>
        <v>6.4028080000000003</v>
      </c>
      <c r="Z5" s="21">
        <f>IF(Z$1&lt;INDEX('Valo FX'!$Q:$Q,MATCH($A5,'Valo FX'!$A:$A,0)),0,IF(Z$1&lt;INDEX('Valo FX'!$R:$R,MATCH($A5,'Valo FX'!$A:$A,0)),INDEX(Base!$U:$U,MATCH($A5,Base!$A:$A,0)),IF(Z$1=INDEX('Valo FX'!$R:$R,MATCH($A5,'Valo FX'!$A:$A,0)),INDEX(Base!$V:$V,MATCH($A5,Base!$A:$A,0)),0)))</f>
        <v>6.4028080000000003</v>
      </c>
      <c r="AA5" s="21">
        <f>IF(AA$1&lt;INDEX('Valo FX'!$Q:$Q,MATCH($A5,'Valo FX'!$A:$A,0)),0,IF(AA$1&lt;INDEX('Valo FX'!$R:$R,MATCH($A5,'Valo FX'!$A:$A,0)),INDEX(Base!$U:$U,MATCH($A5,Base!$A:$A,0)),IF(AA$1=INDEX('Valo FX'!$R:$R,MATCH($A5,'Valo FX'!$A:$A,0)),INDEX(Base!$V:$V,MATCH($A5,Base!$A:$A,0)),0)))</f>
        <v>6.4028080000000003</v>
      </c>
      <c r="AB5" s="21">
        <f>IF(AB$1&lt;INDEX('Valo FX'!$Q:$Q,MATCH($A5,'Valo FX'!$A:$A,0)),0,IF(AB$1&lt;INDEX('Valo FX'!$R:$R,MATCH($A5,'Valo FX'!$A:$A,0)),INDEX(Base!$U:$U,MATCH($A5,Base!$A:$A,0)),IF(AB$1=INDEX('Valo FX'!$R:$R,MATCH($A5,'Valo FX'!$A:$A,0)),INDEX(Base!$V:$V,MATCH($A5,Base!$A:$A,0)),0)))</f>
        <v>6.4028080000000003</v>
      </c>
      <c r="AC5" s="21">
        <f>IF(AC$1&lt;INDEX('Valo FX'!$Q:$Q,MATCH($A5,'Valo FX'!$A:$A,0)),0,IF(AC$1&lt;INDEX('Valo FX'!$R:$R,MATCH($A5,'Valo FX'!$A:$A,0)),INDEX(Base!$U:$U,MATCH($A5,Base!$A:$A,0)),IF(AC$1=INDEX('Valo FX'!$R:$R,MATCH($A5,'Valo FX'!$A:$A,0)),INDEX(Base!$V:$V,MATCH($A5,Base!$A:$A,0)),0)))</f>
        <v>6.4028080000000003</v>
      </c>
      <c r="AD5" s="21">
        <f>IF(AD$1&lt;INDEX('Valo FX'!$Q:$Q,MATCH($A5,'Valo FX'!$A:$A,0)),0,IF(AD$1&lt;INDEX('Valo FX'!$R:$R,MATCH($A5,'Valo FX'!$A:$A,0)),INDEX(Base!$U:$U,MATCH($A5,Base!$A:$A,0)),IF(AD$1=INDEX('Valo FX'!$R:$R,MATCH($A5,'Valo FX'!$A:$A,0)),INDEX(Base!$V:$V,MATCH($A5,Base!$A:$A,0)),0)))</f>
        <v>6.4028080000000003</v>
      </c>
      <c r="AE5" s="21">
        <f>IF(AE$1&lt;INDEX('Valo FX'!$Q:$Q,MATCH($A5,'Valo FX'!$A:$A,0)),0,IF(AE$1&lt;INDEX('Valo FX'!$R:$R,MATCH($A5,'Valo FX'!$A:$A,0)),INDEX(Base!$U:$U,MATCH($A5,Base!$A:$A,0)),IF(AE$1=INDEX('Valo FX'!$R:$R,MATCH($A5,'Valo FX'!$A:$A,0)),INDEX(Base!$V:$V,MATCH($A5,Base!$A:$A,0)),0)))</f>
        <v>6.4028080000000003</v>
      </c>
      <c r="AF5" s="21">
        <f>IF(AF$1&lt;INDEX('Valo FX'!$Q:$Q,MATCH($A5,'Valo FX'!$A:$A,0)),0,IF(AF$1&lt;INDEX('Valo FX'!$R:$R,MATCH($A5,'Valo FX'!$A:$A,0)),INDEX(Base!$U:$U,MATCH($A5,Base!$A:$A,0)),IF(AF$1=INDEX('Valo FX'!$R:$R,MATCH($A5,'Valo FX'!$A:$A,0)),INDEX(Base!$V:$V,MATCH($A5,Base!$A:$A,0)),0)))</f>
        <v>6.4028080000000003</v>
      </c>
      <c r="AG5" s="21">
        <f>IF(AG$1&lt;INDEX('Valo FX'!$Q:$Q,MATCH($A5,'Valo FX'!$A:$A,0)),0,IF(AG$1&lt;INDEX('Valo FX'!$R:$R,MATCH($A5,'Valo FX'!$A:$A,0)),INDEX(Base!$U:$U,MATCH($A5,Base!$A:$A,0)),IF(AG$1=INDEX('Valo FX'!$R:$R,MATCH($A5,'Valo FX'!$A:$A,0)),INDEX(Base!$V:$V,MATCH($A5,Base!$A:$A,0)),0)))</f>
        <v>6.4028080000000003</v>
      </c>
      <c r="AH5" s="21">
        <f>IF(AH$1&lt;INDEX('Valo FX'!$Q:$Q,MATCH($A5,'Valo FX'!$A:$A,0)),0,IF(AH$1&lt;INDEX('Valo FX'!$R:$R,MATCH($A5,'Valo FX'!$A:$A,0)),INDEX(Base!$U:$U,MATCH($A5,Base!$A:$A,0)),IF(AH$1=INDEX('Valo FX'!$R:$R,MATCH($A5,'Valo FX'!$A:$A,0)),INDEX(Base!$V:$V,MATCH($A5,Base!$A:$A,0)),0)))</f>
        <v>6.4028080000000003</v>
      </c>
      <c r="AI5" s="21">
        <f>IF(AI$1&lt;INDEX('Valo FX'!$Q:$Q,MATCH($A5,'Valo FX'!$A:$A,0)),0,IF(AI$1&lt;INDEX('Valo FX'!$R:$R,MATCH($A5,'Valo FX'!$A:$A,0)),INDEX(Base!$U:$U,MATCH($A5,Base!$A:$A,0)),IF(AI$1=INDEX('Valo FX'!$R:$R,MATCH($A5,'Valo FX'!$A:$A,0)),INDEX(Base!$V:$V,MATCH($A5,Base!$A:$A,0)),0)))</f>
        <v>6.4028080000000003</v>
      </c>
      <c r="AJ5" s="21">
        <f>IF(AJ$1&lt;INDEX('Valo FX'!$Q:$Q,MATCH($A5,'Valo FX'!$A:$A,0)),0,IF(AJ$1&lt;INDEX('Valo FX'!$R:$R,MATCH($A5,'Valo FX'!$A:$A,0)),INDEX(Base!$U:$U,MATCH($A5,Base!$A:$A,0)),IF(AJ$1=INDEX('Valo FX'!$R:$R,MATCH($A5,'Valo FX'!$A:$A,0)),INDEX(Base!$V:$V,MATCH($A5,Base!$A:$A,0)),0)))</f>
        <v>6.4028080000000003</v>
      </c>
      <c r="AK5" s="21">
        <f>IF(AK$1&lt;INDEX('Valo FX'!$Q:$Q,MATCH($A5,'Valo FX'!$A:$A,0)),0,IF(AK$1&lt;INDEX('Valo FX'!$R:$R,MATCH($A5,'Valo FX'!$A:$A,0)),INDEX(Base!$U:$U,MATCH($A5,Base!$A:$A,0)),IF(AK$1=INDEX('Valo FX'!$R:$R,MATCH($A5,'Valo FX'!$A:$A,0)),INDEX(Base!$V:$V,MATCH($A5,Base!$A:$A,0)),0)))</f>
        <v>6.4028080000000003</v>
      </c>
      <c r="AL5" s="21">
        <f>IF(AL$1&lt;INDEX('Valo FX'!$Q:$Q,MATCH($A5,'Valo FX'!$A:$A,0)),0,IF(AL$1&lt;INDEX('Valo FX'!$R:$R,MATCH($A5,'Valo FX'!$A:$A,0)),INDEX(Base!$U:$U,MATCH($A5,Base!$A:$A,0)),IF(AL$1=INDEX('Valo FX'!$R:$R,MATCH($A5,'Valo FX'!$A:$A,0)),INDEX(Base!$V:$V,MATCH($A5,Base!$A:$A,0)),0)))</f>
        <v>6.4028080000000003</v>
      </c>
      <c r="AM5" s="21">
        <f>IF(AM$1&lt;INDEX('Valo FX'!$Q:$Q,MATCH($A5,'Valo FX'!$A:$A,0)),0,IF(AM$1&lt;INDEX('Valo FX'!$R:$R,MATCH($A5,'Valo FX'!$A:$A,0)),INDEX(Base!$U:$U,MATCH($A5,Base!$A:$A,0)),IF(AM$1=INDEX('Valo FX'!$R:$R,MATCH($A5,'Valo FX'!$A:$A,0)),INDEX(Base!$V:$V,MATCH($A5,Base!$A:$A,0)),0)))</f>
        <v>6.4028080000000003</v>
      </c>
      <c r="AN5" s="21">
        <f>IF(AN$1&lt;INDEX('Valo FX'!$Q:$Q,MATCH($A5,'Valo FX'!$A:$A,0)),0,IF(AN$1&lt;INDEX('Valo FX'!$R:$R,MATCH($A5,'Valo FX'!$A:$A,0)),INDEX(Base!$U:$U,MATCH($A5,Base!$A:$A,0)),IF(AN$1=INDEX('Valo FX'!$R:$R,MATCH($A5,'Valo FX'!$A:$A,0)),INDEX(Base!$V:$V,MATCH($A5,Base!$A:$A,0)),0)))</f>
        <v>6.4028080000000003</v>
      </c>
      <c r="AO5" s="21">
        <f>IF(AO$1&lt;INDEX('Valo FX'!$Q:$Q,MATCH($A5,'Valo FX'!$A:$A,0)),0,IF(AO$1&lt;INDEX('Valo FX'!$R:$R,MATCH($A5,'Valo FX'!$A:$A,0)),INDEX(Base!$U:$U,MATCH($A5,Base!$A:$A,0)),IF(AO$1=INDEX('Valo FX'!$R:$R,MATCH($A5,'Valo FX'!$A:$A,0)),INDEX(Base!$V:$V,MATCH($A5,Base!$A:$A,0)),0)))</f>
        <v>6.4028080000000003</v>
      </c>
      <c r="AP5" s="21">
        <f>IF(AP$1&lt;INDEX('Valo FX'!$Q:$Q,MATCH($A5,'Valo FX'!$A:$A,0)),0,IF(AP$1&lt;INDEX('Valo FX'!$R:$R,MATCH($A5,'Valo FX'!$A:$A,0)),INDEX(Base!$U:$U,MATCH($A5,Base!$A:$A,0)),IF(AP$1=INDEX('Valo FX'!$R:$R,MATCH($A5,'Valo FX'!$A:$A,0)),INDEX(Base!$V:$V,MATCH($A5,Base!$A:$A,0)),0)))</f>
        <v>6.4028080000000003</v>
      </c>
      <c r="AQ5" s="21">
        <f>IF(AQ$1&lt;INDEX('Valo FX'!$Q:$Q,MATCH($A5,'Valo FX'!$A:$A,0)),0,IF(AQ$1&lt;INDEX('Valo FX'!$R:$R,MATCH($A5,'Valo FX'!$A:$A,0)),INDEX(Base!$U:$U,MATCH($A5,Base!$A:$A,0)),IF(AQ$1=INDEX('Valo FX'!$R:$R,MATCH($A5,'Valo FX'!$A:$A,0)),INDEX(Base!$V:$V,MATCH($A5,Base!$A:$A,0)),0)))</f>
        <v>6.4028080000000003</v>
      </c>
      <c r="AR5" s="21">
        <f>IF(AR$1&lt;INDEX('Valo FX'!$Q:$Q,MATCH($A5,'Valo FX'!$A:$A,0)),0,IF(AR$1&lt;INDEX('Valo FX'!$R:$R,MATCH($A5,'Valo FX'!$A:$A,0)),INDEX(Base!$U:$U,MATCH($A5,Base!$A:$A,0)),IF(AR$1=INDEX('Valo FX'!$R:$R,MATCH($A5,'Valo FX'!$A:$A,0)),INDEX(Base!$V:$V,MATCH($A5,Base!$A:$A,0)),0)))</f>
        <v>6.4028080000000003</v>
      </c>
      <c r="AS5" s="21">
        <f>IF(AS$1&lt;INDEX('Valo FX'!$Q:$Q,MATCH($A5,'Valo FX'!$A:$A,0)),0,IF(AS$1&lt;INDEX('Valo FX'!$R:$R,MATCH($A5,'Valo FX'!$A:$A,0)),INDEX(Base!$U:$U,MATCH($A5,Base!$A:$A,0)),IF(AS$1=INDEX('Valo FX'!$R:$R,MATCH($A5,'Valo FX'!$A:$A,0)),INDEX(Base!$V:$V,MATCH($A5,Base!$A:$A,0)),0)))</f>
        <v>6.4028080000000003</v>
      </c>
      <c r="AT5" s="21">
        <f>IF(AT$1&lt;INDEX('Valo FX'!$Q:$Q,MATCH($A5,'Valo FX'!$A:$A,0)),0,IF(AT$1&lt;INDEX('Valo FX'!$R:$R,MATCH($A5,'Valo FX'!$A:$A,0)),INDEX(Base!$U:$U,MATCH($A5,Base!$A:$A,0)),IF(AT$1=INDEX('Valo FX'!$R:$R,MATCH($A5,'Valo FX'!$A:$A,0)),INDEX(Base!$V:$V,MATCH($A5,Base!$A:$A,0)),0)))</f>
        <v>6.4028080000000003</v>
      </c>
      <c r="AU5" s="21">
        <f>IF(AU$1&lt;INDEX('Valo FX'!$Q:$Q,MATCH($A5,'Valo FX'!$A:$A,0)),0,IF(AU$1&lt;INDEX('Valo FX'!$R:$R,MATCH($A5,'Valo FX'!$A:$A,0)),INDEX(Base!$U:$U,MATCH($A5,Base!$A:$A,0)),IF(AU$1=INDEX('Valo FX'!$R:$R,MATCH($A5,'Valo FX'!$A:$A,0)),INDEX(Base!$V:$V,MATCH($A5,Base!$A:$A,0)),0)))</f>
        <v>6.4028080000000003</v>
      </c>
      <c r="AV5" s="21">
        <f>IF(AV$1&lt;INDEX('Valo FX'!$Q:$Q,MATCH($A5,'Valo FX'!$A:$A,0)),0,IF(AV$1&lt;INDEX('Valo FX'!$R:$R,MATCH($A5,'Valo FX'!$A:$A,0)),INDEX(Base!$U:$U,MATCH($A5,Base!$A:$A,0)),IF(AV$1=INDEX('Valo FX'!$R:$R,MATCH($A5,'Valo FX'!$A:$A,0)),INDEX(Base!$V:$V,MATCH($A5,Base!$A:$A,0)),0)))</f>
        <v>6.4028080000000003</v>
      </c>
      <c r="AW5" s="21">
        <f>IF(AW$1&lt;INDEX('Valo FX'!$Q:$Q,MATCH($A5,'Valo FX'!$A:$A,0)),0,IF(AW$1&lt;INDEX('Valo FX'!$R:$R,MATCH($A5,'Valo FX'!$A:$A,0)),INDEX(Base!$U:$U,MATCH($A5,Base!$A:$A,0)),IF(AW$1=INDEX('Valo FX'!$R:$R,MATCH($A5,'Valo FX'!$A:$A,0)),INDEX(Base!$V:$V,MATCH($A5,Base!$A:$A,0)),0)))</f>
        <v>6.4028080000000003</v>
      </c>
      <c r="AX5" s="21">
        <f>IF(AX$1&lt;INDEX('Valo FX'!$Q:$Q,MATCH($A5,'Valo FX'!$A:$A,0)),0,IF(AX$1&lt;INDEX('Valo FX'!$R:$R,MATCH($A5,'Valo FX'!$A:$A,0)),INDEX(Base!$U:$U,MATCH($A5,Base!$A:$A,0)),IF(AX$1=INDEX('Valo FX'!$R:$R,MATCH($A5,'Valo FX'!$A:$A,0)),INDEX(Base!$V:$V,MATCH($A5,Base!$A:$A,0)),0)))</f>
        <v>6.4028080000000003</v>
      </c>
      <c r="AY5" s="21">
        <f>IF(AY$1&lt;INDEX('Valo FX'!$Q:$Q,MATCH($A5,'Valo FX'!$A:$A,0)),0,IF(AY$1&lt;INDEX('Valo FX'!$R:$R,MATCH($A5,'Valo FX'!$A:$A,0)),INDEX(Base!$U:$U,MATCH($A5,Base!$A:$A,0)),IF(AY$1=INDEX('Valo FX'!$R:$R,MATCH($A5,'Valo FX'!$A:$A,0)),INDEX(Base!$V:$V,MATCH($A5,Base!$A:$A,0)),0)))</f>
        <v>6.4028080000000003</v>
      </c>
      <c r="AZ5" s="21">
        <f>IF(AZ$1&lt;INDEX('Valo FX'!$Q:$Q,MATCH($A5,'Valo FX'!$A:$A,0)),0,IF(AZ$1&lt;INDEX('Valo FX'!$R:$R,MATCH($A5,'Valo FX'!$A:$A,0)),INDEX(Base!$U:$U,MATCH($A5,Base!$A:$A,0)),IF(AZ$1=INDEX('Valo FX'!$R:$R,MATCH($A5,'Valo FX'!$A:$A,0)),INDEX(Base!$V:$V,MATCH($A5,Base!$A:$A,0)),0)))</f>
        <v>6.4028080000000003</v>
      </c>
      <c r="BA5" s="21">
        <f>IF(BA$1&lt;INDEX('Valo FX'!$Q:$Q,MATCH($A5,'Valo FX'!$A:$A,0)),0,IF(BA$1&lt;INDEX('Valo FX'!$R:$R,MATCH($A5,'Valo FX'!$A:$A,0)),INDEX(Base!$U:$U,MATCH($A5,Base!$A:$A,0)),IF(BA$1=INDEX('Valo FX'!$R:$R,MATCH($A5,'Valo FX'!$A:$A,0)),INDEX(Base!$V:$V,MATCH($A5,Base!$A:$A,0)),0)))</f>
        <v>6.4028080000000003</v>
      </c>
      <c r="BB5" s="21">
        <f>IF(BB$1&lt;INDEX('Valo FX'!$Q:$Q,MATCH($A5,'Valo FX'!$A:$A,0)),0,IF(BB$1&lt;INDEX('Valo FX'!$R:$R,MATCH($A5,'Valo FX'!$A:$A,0)),INDEX(Base!$U:$U,MATCH($A5,Base!$A:$A,0)),IF(BB$1=INDEX('Valo FX'!$R:$R,MATCH($A5,'Valo FX'!$A:$A,0)),INDEX(Base!$V:$V,MATCH($A5,Base!$A:$A,0)),0)))</f>
        <v>6.4028080000000003</v>
      </c>
      <c r="BC5" s="21">
        <f>IF(BC$1&lt;INDEX('Valo FX'!$Q:$Q,MATCH($A5,'Valo FX'!$A:$A,0)),0,IF(BC$1&lt;INDEX('Valo FX'!$R:$R,MATCH($A5,'Valo FX'!$A:$A,0)),INDEX(Base!$U:$U,MATCH($A5,Base!$A:$A,0)),IF(BC$1=INDEX('Valo FX'!$R:$R,MATCH($A5,'Valo FX'!$A:$A,0)),INDEX(Base!$V:$V,MATCH($A5,Base!$A:$A,0)),0)))</f>
        <v>6.4028080000000003</v>
      </c>
      <c r="BD5" s="21">
        <f>IF(BD$1&lt;INDEX('Valo FX'!$Q:$Q,MATCH($A5,'Valo FX'!$A:$A,0)),0,IF(BD$1&lt;INDEX('Valo FX'!$R:$R,MATCH($A5,'Valo FX'!$A:$A,0)),INDEX(Base!$U:$U,MATCH($A5,Base!$A:$A,0)),IF(BD$1=INDEX('Valo FX'!$R:$R,MATCH($A5,'Valo FX'!$A:$A,0)),INDEX(Base!$V:$V,MATCH($A5,Base!$A:$A,0)),0)))</f>
        <v>6.4028080000000003</v>
      </c>
      <c r="BE5" s="21">
        <f>IF(BE$1&lt;INDEX('Valo FX'!$Q:$Q,MATCH($A5,'Valo FX'!$A:$A,0)),0,IF(BE$1&lt;INDEX('Valo FX'!$R:$R,MATCH($A5,'Valo FX'!$A:$A,0)),INDEX(Base!$U:$U,MATCH($A5,Base!$A:$A,0)),IF(BE$1=INDEX('Valo FX'!$R:$R,MATCH($A5,'Valo FX'!$A:$A,0)),INDEX(Base!$V:$V,MATCH($A5,Base!$A:$A,0)),0)))</f>
        <v>6.4028080000000003</v>
      </c>
      <c r="BF5" s="21">
        <f>IF(BF$1&lt;INDEX('Valo FX'!$Q:$Q,MATCH($A5,'Valo FX'!$A:$A,0)),0,IF(BF$1&lt;INDEX('Valo FX'!$R:$R,MATCH($A5,'Valo FX'!$A:$A,0)),INDEX(Base!$U:$U,MATCH($A5,Base!$A:$A,0)),IF(BF$1=INDEX('Valo FX'!$R:$R,MATCH($A5,'Valo FX'!$A:$A,0)),INDEX(Base!$V:$V,MATCH($A5,Base!$A:$A,0)),0)))</f>
        <v>6.4028080000000003</v>
      </c>
      <c r="BG5" s="21">
        <f>IF(BG$1&lt;INDEX('Valo FX'!$Q:$Q,MATCH($A5,'Valo FX'!$A:$A,0)),0,IF(BG$1&lt;INDEX('Valo FX'!$R:$R,MATCH($A5,'Valo FX'!$A:$A,0)),INDEX(Base!$U:$U,MATCH($A5,Base!$A:$A,0)),IF(BG$1=INDEX('Valo FX'!$R:$R,MATCH($A5,'Valo FX'!$A:$A,0)),INDEX(Base!$V:$V,MATCH($A5,Base!$A:$A,0)),0)))</f>
        <v>6.4028080000000003</v>
      </c>
      <c r="BH5" s="21">
        <f>IF(BH$1&lt;INDEX('Valo FX'!$Q:$Q,MATCH($A5,'Valo FX'!$A:$A,0)),0,IF(BH$1&lt;INDEX('Valo FX'!$R:$R,MATCH($A5,'Valo FX'!$A:$A,0)),INDEX(Base!$U:$U,MATCH($A5,Base!$A:$A,0)),IF(BH$1=INDEX('Valo FX'!$R:$R,MATCH($A5,'Valo FX'!$A:$A,0)),INDEX(Base!$V:$V,MATCH($A5,Base!$A:$A,0)),0)))</f>
        <v>6.4028080000000003</v>
      </c>
      <c r="BI5" s="21">
        <f>IF(BI$1&lt;INDEX('Valo FX'!$Q:$Q,MATCH($A5,'Valo FX'!$A:$A,0)),0,IF(BI$1&lt;INDEX('Valo FX'!$R:$R,MATCH($A5,'Valo FX'!$A:$A,0)),INDEX(Base!$U:$U,MATCH($A5,Base!$A:$A,0)),IF(BI$1=INDEX('Valo FX'!$R:$R,MATCH($A5,'Valo FX'!$A:$A,0)),INDEX(Base!$V:$V,MATCH($A5,Base!$A:$A,0)),0)))</f>
        <v>6.4028080000000003</v>
      </c>
      <c r="BJ5" s="21">
        <f>IF(BJ$1&lt;INDEX('Valo FX'!$Q:$Q,MATCH($A5,'Valo FX'!$A:$A,0)),0,IF(BJ$1&lt;INDEX('Valo FX'!$R:$R,MATCH($A5,'Valo FX'!$A:$A,0)),INDEX(Base!$U:$U,MATCH($A5,Base!$A:$A,0)),IF(BJ$1=INDEX('Valo FX'!$R:$R,MATCH($A5,'Valo FX'!$A:$A,0)),INDEX(Base!$V:$V,MATCH($A5,Base!$A:$A,0)),0)))</f>
        <v>6.4028080000000003</v>
      </c>
      <c r="BK5" s="21">
        <f>IF(BK$1&lt;INDEX('Valo FX'!$Q:$Q,MATCH($A5,'Valo FX'!$A:$A,0)),0,IF(BK$1&lt;INDEX('Valo FX'!$R:$R,MATCH($A5,'Valo FX'!$A:$A,0)),INDEX(Base!$U:$U,MATCH($A5,Base!$A:$A,0)),IF(BK$1=INDEX('Valo FX'!$R:$R,MATCH($A5,'Valo FX'!$A:$A,0)),INDEX(Base!$V:$V,MATCH($A5,Base!$A:$A,0)),0)))</f>
        <v>6.4028080000000003</v>
      </c>
      <c r="BL5" s="21">
        <f>IF(BL$1&lt;INDEX('Valo FX'!$Q:$Q,MATCH($A5,'Valo FX'!$A:$A,0)),0,IF(BL$1&lt;INDEX('Valo FX'!$R:$R,MATCH($A5,'Valo FX'!$A:$A,0)),INDEX(Base!$U:$U,MATCH($A5,Base!$A:$A,0)),IF(BL$1=INDEX('Valo FX'!$R:$R,MATCH($A5,'Valo FX'!$A:$A,0)),INDEX(Base!$V:$V,MATCH($A5,Base!$A:$A,0)),0)))</f>
        <v>6.4028080000000003</v>
      </c>
      <c r="BM5" s="21">
        <f>IF(BM$1&lt;INDEX('Valo FX'!$Q:$Q,MATCH($A5,'Valo FX'!$A:$A,0)),0,IF(BM$1&lt;INDEX('Valo FX'!$R:$R,MATCH($A5,'Valo FX'!$A:$A,0)),INDEX(Base!$U:$U,MATCH($A5,Base!$A:$A,0)),IF(BM$1=INDEX('Valo FX'!$R:$R,MATCH($A5,'Valo FX'!$A:$A,0)),INDEX(Base!$V:$V,MATCH($A5,Base!$A:$A,0)),0)))</f>
        <v>6.4028080000000003</v>
      </c>
      <c r="BN5" s="21">
        <f>IF(BN$1&lt;INDEX('Valo FX'!$Q:$Q,MATCH($A5,'Valo FX'!$A:$A,0)),0,IF(BN$1&lt;INDEX('Valo FX'!$R:$R,MATCH($A5,'Valo FX'!$A:$A,0)),INDEX(Base!$U:$U,MATCH($A5,Base!$A:$A,0)),IF(BN$1=INDEX('Valo FX'!$R:$R,MATCH($A5,'Valo FX'!$A:$A,0)),INDEX(Base!$V:$V,MATCH($A5,Base!$A:$A,0)),0)))</f>
        <v>6.4028080000000003</v>
      </c>
      <c r="BO5" s="21">
        <f>IF(BO$1&lt;INDEX('Valo FX'!$Q:$Q,MATCH($A5,'Valo FX'!$A:$A,0)),0,IF(BO$1&lt;INDEX('Valo FX'!$R:$R,MATCH($A5,'Valo FX'!$A:$A,0)),INDEX(Base!$U:$U,MATCH($A5,Base!$A:$A,0)),IF(BO$1=INDEX('Valo FX'!$R:$R,MATCH($A5,'Valo FX'!$A:$A,0)),INDEX(Base!$V:$V,MATCH($A5,Base!$A:$A,0)),0)))</f>
        <v>6.4028080000000003</v>
      </c>
      <c r="BP5" s="21">
        <f>IF(BP$1&lt;INDEX('Valo FX'!$Q:$Q,MATCH($A5,'Valo FX'!$A:$A,0)),0,IF(BP$1&lt;INDEX('Valo FX'!$R:$R,MATCH($A5,'Valo FX'!$A:$A,0)),INDEX(Base!$U:$U,MATCH($A5,Base!$A:$A,0)),IF(BP$1=INDEX('Valo FX'!$R:$R,MATCH($A5,'Valo FX'!$A:$A,0)),INDEX(Base!$V:$V,MATCH($A5,Base!$A:$A,0)),0)))</f>
        <v>6.4028080000000003</v>
      </c>
      <c r="BQ5" s="21">
        <f>IF(BQ$1&lt;INDEX('Valo FX'!$Q:$Q,MATCH($A5,'Valo FX'!$A:$A,0)),0,IF(BQ$1&lt;INDEX('Valo FX'!$R:$R,MATCH($A5,'Valo FX'!$A:$A,0)),INDEX(Base!$U:$U,MATCH($A5,Base!$A:$A,0)),IF(BQ$1=INDEX('Valo FX'!$R:$R,MATCH($A5,'Valo FX'!$A:$A,0)),INDEX(Base!$V:$V,MATCH($A5,Base!$A:$A,0)),0)))</f>
        <v>6.4028080000000003</v>
      </c>
      <c r="BR5" s="21">
        <f>IF(BR$1&lt;INDEX('Valo FX'!$Q:$Q,MATCH($A5,'Valo FX'!$A:$A,0)),0,IF(BR$1&lt;INDEX('Valo FX'!$R:$R,MATCH($A5,'Valo FX'!$A:$A,0)),INDEX(Base!$U:$U,MATCH($A5,Base!$A:$A,0)),IF(BR$1=INDEX('Valo FX'!$R:$R,MATCH($A5,'Valo FX'!$A:$A,0)),INDEX(Base!$V:$V,MATCH($A5,Base!$A:$A,0)),0)))</f>
        <v>6.4028080000000003</v>
      </c>
      <c r="BS5" s="21">
        <f>IF(BS$1&lt;INDEX('Valo FX'!$Q:$Q,MATCH($A5,'Valo FX'!$A:$A,0)),0,IF(BS$1&lt;INDEX('Valo FX'!$R:$R,MATCH($A5,'Valo FX'!$A:$A,0)),INDEX(Base!$U:$U,MATCH($A5,Base!$A:$A,0)),IF(BS$1=INDEX('Valo FX'!$R:$R,MATCH($A5,'Valo FX'!$A:$A,0)),INDEX(Base!$V:$V,MATCH($A5,Base!$A:$A,0)),0)))</f>
        <v>6.4028080000000003</v>
      </c>
      <c r="BT5" s="21">
        <f>IF(BT$1&lt;INDEX('Valo FX'!$Q:$Q,MATCH($A5,'Valo FX'!$A:$A,0)),0,IF(BT$1&lt;INDEX('Valo FX'!$R:$R,MATCH($A5,'Valo FX'!$A:$A,0)),INDEX(Base!$U:$U,MATCH($A5,Base!$A:$A,0)),IF(BT$1=INDEX('Valo FX'!$R:$R,MATCH($A5,'Valo FX'!$A:$A,0)),INDEX(Base!$V:$V,MATCH($A5,Base!$A:$A,0)),0)))</f>
        <v>6.4028080000000003</v>
      </c>
      <c r="BU5" s="21">
        <f>IF(BU$1&lt;INDEX('Valo FX'!$Q:$Q,MATCH($A5,'Valo FX'!$A:$A,0)),0,IF(BU$1&lt;INDEX('Valo FX'!$R:$R,MATCH($A5,'Valo FX'!$A:$A,0)),INDEX(Base!$U:$U,MATCH($A5,Base!$A:$A,0)),IF(BU$1=INDEX('Valo FX'!$R:$R,MATCH($A5,'Valo FX'!$A:$A,0)),INDEX(Base!$V:$V,MATCH($A5,Base!$A:$A,0)),0)))</f>
        <v>6.4028080000000003</v>
      </c>
      <c r="BV5" s="21">
        <f>IF(BV$1&lt;INDEX('Valo FX'!$Q:$Q,MATCH($A5,'Valo FX'!$A:$A,0)),0,IF(BV$1&lt;INDEX('Valo FX'!$R:$R,MATCH($A5,'Valo FX'!$A:$A,0)),INDEX(Base!$U:$U,MATCH($A5,Base!$A:$A,0)),IF(BV$1=INDEX('Valo FX'!$R:$R,MATCH($A5,'Valo FX'!$A:$A,0)),INDEX(Base!$V:$V,MATCH($A5,Base!$A:$A,0)),0)))</f>
        <v>6.4028080000000003</v>
      </c>
      <c r="BW5" s="21">
        <f>IF(BW$1&lt;INDEX('Valo FX'!$Q:$Q,MATCH($A5,'Valo FX'!$A:$A,0)),0,IF(BW$1&lt;INDEX('Valo FX'!$R:$R,MATCH($A5,'Valo FX'!$A:$A,0)),INDEX(Base!$U:$U,MATCH($A5,Base!$A:$A,0)),IF(BW$1=INDEX('Valo FX'!$R:$R,MATCH($A5,'Valo FX'!$A:$A,0)),INDEX(Base!$V:$V,MATCH($A5,Base!$A:$A,0)),0)))</f>
        <v>6.4028080000000003</v>
      </c>
      <c r="BX5" s="21">
        <f>IF(BX$1&lt;INDEX('Valo FX'!$Q:$Q,MATCH($A5,'Valo FX'!$A:$A,0)),0,IF(BX$1&lt;INDEX('Valo FX'!$R:$R,MATCH($A5,'Valo FX'!$A:$A,0)),INDEX(Base!$U:$U,MATCH($A5,Base!$A:$A,0)),IF(BX$1=INDEX('Valo FX'!$R:$R,MATCH($A5,'Valo FX'!$A:$A,0)),INDEX(Base!$V:$V,MATCH($A5,Base!$A:$A,0)),0)))</f>
        <v>6.4028080000000003</v>
      </c>
      <c r="BY5" s="21">
        <f>IF(BY$1&lt;INDEX('Valo FX'!$Q:$Q,MATCH($A5,'Valo FX'!$A:$A,0)),0,IF(BY$1&lt;INDEX('Valo FX'!$R:$R,MATCH($A5,'Valo FX'!$A:$A,0)),INDEX(Base!$U:$U,MATCH($A5,Base!$A:$A,0)),IF(BY$1=INDEX('Valo FX'!$R:$R,MATCH($A5,'Valo FX'!$A:$A,0)),INDEX(Base!$V:$V,MATCH($A5,Base!$A:$A,0)),0)))</f>
        <v>6.4028080000000003</v>
      </c>
      <c r="BZ5" s="21">
        <f>IF(BZ$1&lt;INDEX('Valo FX'!$Q:$Q,MATCH($A5,'Valo FX'!$A:$A,0)),0,IF(BZ$1&lt;INDEX('Valo FX'!$R:$R,MATCH($A5,'Valo FX'!$A:$A,0)),INDEX(Base!$U:$U,MATCH($A5,Base!$A:$A,0)),IF(BZ$1=INDEX('Valo FX'!$R:$R,MATCH($A5,'Valo FX'!$A:$A,0)),INDEX(Base!$V:$V,MATCH($A5,Base!$A:$A,0)),0)))</f>
        <v>6.4028080000000003</v>
      </c>
      <c r="CA5" s="21">
        <f>IF(CA$1&lt;INDEX('Valo FX'!$Q:$Q,MATCH($A5,'Valo FX'!$A:$A,0)),0,IF(CA$1&lt;INDEX('Valo FX'!$R:$R,MATCH($A5,'Valo FX'!$A:$A,0)),INDEX(Base!$U:$U,MATCH($A5,Base!$A:$A,0)),IF(CA$1=INDEX('Valo FX'!$R:$R,MATCH($A5,'Valo FX'!$A:$A,0)),INDEX(Base!$V:$V,MATCH($A5,Base!$A:$A,0)),0)))</f>
        <v>6.4028080000000003</v>
      </c>
      <c r="CB5" s="21">
        <f>IF(CB$1&lt;INDEX('Valo FX'!$Q:$Q,MATCH($A5,'Valo FX'!$A:$A,0)),0,IF(CB$1&lt;INDEX('Valo FX'!$R:$R,MATCH($A5,'Valo FX'!$A:$A,0)),INDEX(Base!$U:$U,MATCH($A5,Base!$A:$A,0)),IF(CB$1=INDEX('Valo FX'!$R:$R,MATCH($A5,'Valo FX'!$A:$A,0)),INDEX(Base!$V:$V,MATCH($A5,Base!$A:$A,0)),0)))</f>
        <v>6.4028080000000003</v>
      </c>
      <c r="CC5" s="21">
        <f>IF(CC$1&lt;INDEX('Valo FX'!$Q:$Q,MATCH($A5,'Valo FX'!$A:$A,0)),0,IF(CC$1&lt;INDEX('Valo FX'!$R:$R,MATCH($A5,'Valo FX'!$A:$A,0)),INDEX(Base!$U:$U,MATCH($A5,Base!$A:$A,0)),IF(CC$1=INDEX('Valo FX'!$R:$R,MATCH($A5,'Valo FX'!$A:$A,0)),INDEX(Base!$V:$V,MATCH($A5,Base!$A:$A,0)),0)))</f>
        <v>6.4028080000000003</v>
      </c>
      <c r="CD5" s="21">
        <f>IF(CD$1&lt;INDEX('Valo FX'!$Q:$Q,MATCH($A5,'Valo FX'!$A:$A,0)),0,IF(CD$1&lt;INDEX('Valo FX'!$R:$R,MATCH($A5,'Valo FX'!$A:$A,0)),INDEX(Base!$U:$U,MATCH($A5,Base!$A:$A,0)),IF(CD$1=INDEX('Valo FX'!$R:$R,MATCH($A5,'Valo FX'!$A:$A,0)),INDEX(Base!$V:$V,MATCH($A5,Base!$A:$A,0)),0)))</f>
        <v>6.4028080000000003</v>
      </c>
      <c r="CE5" s="21">
        <f>IF(CE$1&lt;INDEX('Valo FX'!$Q:$Q,MATCH($A5,'Valo FX'!$A:$A,0)),0,IF(CE$1&lt;INDEX('Valo FX'!$R:$R,MATCH($A5,'Valo FX'!$A:$A,0)),INDEX(Base!$U:$U,MATCH($A5,Base!$A:$A,0)),IF(CE$1=INDEX('Valo FX'!$R:$R,MATCH($A5,'Valo FX'!$A:$A,0)),INDEX(Base!$V:$V,MATCH($A5,Base!$A:$A,0)),0)))</f>
        <v>6.4028080000000003</v>
      </c>
      <c r="CF5" s="21">
        <f>IF(CF$1&lt;INDEX('Valo FX'!$Q:$Q,MATCH($A5,'Valo FX'!$A:$A,0)),0,IF(CF$1&lt;INDEX('Valo FX'!$R:$R,MATCH($A5,'Valo FX'!$A:$A,0)),INDEX(Base!$U:$U,MATCH($A5,Base!$A:$A,0)),IF(CF$1=INDEX('Valo FX'!$R:$R,MATCH($A5,'Valo FX'!$A:$A,0)),INDEX(Base!$V:$V,MATCH($A5,Base!$A:$A,0)),0)))</f>
        <v>6.4028080000000003</v>
      </c>
      <c r="CG5" s="21">
        <f>IF(CG$1&lt;INDEX('Valo FX'!$Q:$Q,MATCH($A5,'Valo FX'!$A:$A,0)),0,IF(CG$1&lt;INDEX('Valo FX'!$R:$R,MATCH($A5,'Valo FX'!$A:$A,0)),INDEX(Base!$U:$U,MATCH($A5,Base!$A:$A,0)),IF(CG$1=INDEX('Valo FX'!$R:$R,MATCH($A5,'Valo FX'!$A:$A,0)),INDEX(Base!$V:$V,MATCH($A5,Base!$A:$A,0)),0)))</f>
        <v>6.4028080000000003</v>
      </c>
      <c r="CH5" s="21">
        <f>IF(CH$1&lt;INDEX('Valo FX'!$Q:$Q,MATCH($A5,'Valo FX'!$A:$A,0)),0,IF(CH$1&lt;INDEX('Valo FX'!$R:$R,MATCH($A5,'Valo FX'!$A:$A,0)),INDEX(Base!$U:$U,MATCH($A5,Base!$A:$A,0)),IF(CH$1=INDEX('Valo FX'!$R:$R,MATCH($A5,'Valo FX'!$A:$A,0)),INDEX(Base!$V:$V,MATCH($A5,Base!$A:$A,0)),0)))</f>
        <v>6.4028080000000003</v>
      </c>
      <c r="CI5" s="21">
        <f>IF(CI$1&lt;INDEX('Valo FX'!$Q:$Q,MATCH($A5,'Valo FX'!$A:$A,0)),0,IF(CI$1&lt;INDEX('Valo FX'!$R:$R,MATCH($A5,'Valo FX'!$A:$A,0)),INDEX(Base!$U:$U,MATCH($A5,Base!$A:$A,0)),IF(CI$1=INDEX('Valo FX'!$R:$R,MATCH($A5,'Valo FX'!$A:$A,0)),INDEX(Base!$V:$V,MATCH($A5,Base!$A:$A,0)),0)))</f>
        <v>6.4028080000000003</v>
      </c>
      <c r="CJ5" s="21">
        <f>IF(CJ$1&lt;INDEX('Valo FX'!$Q:$Q,MATCH($A5,'Valo FX'!$A:$A,0)),0,IF(CJ$1&lt;INDEX('Valo FX'!$R:$R,MATCH($A5,'Valo FX'!$A:$A,0)),INDEX(Base!$U:$U,MATCH($A5,Base!$A:$A,0)),IF(CJ$1=INDEX('Valo FX'!$R:$R,MATCH($A5,'Valo FX'!$A:$A,0)),INDEX(Base!$V:$V,MATCH($A5,Base!$A:$A,0)),0)))</f>
        <v>6.4028080000000003</v>
      </c>
      <c r="CK5" s="21">
        <f>IF(CK$1&lt;INDEX('Valo FX'!$Q:$Q,MATCH($A5,'Valo FX'!$A:$A,0)),0,IF(CK$1&lt;INDEX('Valo FX'!$R:$R,MATCH($A5,'Valo FX'!$A:$A,0)),INDEX(Base!$U:$U,MATCH($A5,Base!$A:$A,0)),IF(CK$1=INDEX('Valo FX'!$R:$R,MATCH($A5,'Valo FX'!$A:$A,0)),INDEX(Base!$V:$V,MATCH($A5,Base!$A:$A,0)),0)))</f>
        <v>6.4028080000000003</v>
      </c>
      <c r="CL5" s="21">
        <f>IF(CL$1&lt;INDEX('Valo FX'!$Q:$Q,MATCH($A5,'Valo FX'!$A:$A,0)),0,IF(CL$1&lt;INDEX('Valo FX'!$R:$R,MATCH($A5,'Valo FX'!$A:$A,0)),INDEX(Base!$U:$U,MATCH($A5,Base!$A:$A,0)),IF(CL$1=INDEX('Valo FX'!$R:$R,MATCH($A5,'Valo FX'!$A:$A,0)),INDEX(Base!$V:$V,MATCH($A5,Base!$A:$A,0)),0)))</f>
        <v>6.4028080000000003</v>
      </c>
      <c r="CM5" s="21">
        <f>IF(CM$1&lt;INDEX('Valo FX'!$Q:$Q,MATCH($A5,'Valo FX'!$A:$A,0)),0,IF(CM$1&lt;INDEX('Valo FX'!$R:$R,MATCH($A5,'Valo FX'!$A:$A,0)),INDEX(Base!$U:$U,MATCH($A5,Base!$A:$A,0)),IF(CM$1=INDEX('Valo FX'!$R:$R,MATCH($A5,'Valo FX'!$A:$A,0)),INDEX(Base!$V:$V,MATCH($A5,Base!$A:$A,0)),0)))</f>
        <v>6.4028080000000003</v>
      </c>
      <c r="CN5" s="21">
        <f>IF(CN$1&lt;INDEX('Valo FX'!$Q:$Q,MATCH($A5,'Valo FX'!$A:$A,0)),0,IF(CN$1&lt;INDEX('Valo FX'!$R:$R,MATCH($A5,'Valo FX'!$A:$A,0)),INDEX(Base!$U:$U,MATCH($A5,Base!$A:$A,0)),IF(CN$1=INDEX('Valo FX'!$R:$R,MATCH($A5,'Valo FX'!$A:$A,0)),INDEX(Base!$V:$V,MATCH($A5,Base!$A:$A,0)),0)))</f>
        <v>6.4028080000000003</v>
      </c>
      <c r="CO5" s="21">
        <f>IF(CO$1&lt;INDEX('Valo FX'!$Q:$Q,MATCH($A5,'Valo FX'!$A:$A,0)),0,IF(CO$1&lt;INDEX('Valo FX'!$R:$R,MATCH($A5,'Valo FX'!$A:$A,0)),INDEX(Base!$U:$U,MATCH($A5,Base!$A:$A,0)),IF(CO$1=INDEX('Valo FX'!$R:$R,MATCH($A5,'Valo FX'!$A:$A,0)),INDEX(Base!$V:$V,MATCH($A5,Base!$A:$A,0)),0)))</f>
        <v>6.4028080000000003</v>
      </c>
      <c r="CP5" s="21">
        <f>IF(CP$1&lt;INDEX('Valo FX'!$Q:$Q,MATCH($A5,'Valo FX'!$A:$A,0)),0,IF(CP$1&lt;INDEX('Valo FX'!$R:$R,MATCH($A5,'Valo FX'!$A:$A,0)),INDEX(Base!$U:$U,MATCH($A5,Base!$A:$A,0)),IF(CP$1=INDEX('Valo FX'!$R:$R,MATCH($A5,'Valo FX'!$A:$A,0)),INDEX(Base!$V:$V,MATCH($A5,Base!$A:$A,0)),0)))</f>
        <v>6.4028080000000003</v>
      </c>
      <c r="CQ5" s="21">
        <f>IF(CQ$1&lt;INDEX('Valo FX'!$Q:$Q,MATCH($A5,'Valo FX'!$A:$A,0)),0,IF(CQ$1&lt;INDEX('Valo FX'!$R:$R,MATCH($A5,'Valo FX'!$A:$A,0)),INDEX(Base!$U:$U,MATCH($A5,Base!$A:$A,0)),IF(CQ$1=INDEX('Valo FX'!$R:$R,MATCH($A5,'Valo FX'!$A:$A,0)),INDEX(Base!$V:$V,MATCH($A5,Base!$A:$A,0)),0)))</f>
        <v>6.4028080000000003</v>
      </c>
      <c r="CR5" s="21">
        <f>IF(CR$1&lt;INDEX('Valo FX'!$Q:$Q,MATCH($A5,'Valo FX'!$A:$A,0)),0,IF(CR$1&lt;INDEX('Valo FX'!$R:$R,MATCH($A5,'Valo FX'!$A:$A,0)),INDEX(Base!$U:$U,MATCH($A5,Base!$A:$A,0)),IF(CR$1=INDEX('Valo FX'!$R:$R,MATCH($A5,'Valo FX'!$A:$A,0)),INDEX(Base!$V:$V,MATCH($A5,Base!$A:$A,0)),0)))</f>
        <v>6.4028080000000003</v>
      </c>
      <c r="CS5" s="21">
        <f>IF(CS$1&lt;INDEX('Valo FX'!$Q:$Q,MATCH($A5,'Valo FX'!$A:$A,0)),0,IF(CS$1&lt;INDEX('Valo FX'!$R:$R,MATCH($A5,'Valo FX'!$A:$A,0)),INDEX(Base!$U:$U,MATCH($A5,Base!$A:$A,0)),IF(CS$1=INDEX('Valo FX'!$R:$R,MATCH($A5,'Valo FX'!$A:$A,0)),INDEX(Base!$V:$V,MATCH($A5,Base!$A:$A,0)),0)))</f>
        <v>6.4028080000000003</v>
      </c>
      <c r="CT5" s="21">
        <f>IF(CT$1&lt;INDEX('Valo FX'!$Q:$Q,MATCH($A5,'Valo FX'!$A:$A,0)),0,IF(CT$1&lt;INDEX('Valo FX'!$R:$R,MATCH($A5,'Valo FX'!$A:$A,0)),INDEX(Base!$U:$U,MATCH($A5,Base!$A:$A,0)),IF(CT$1=INDEX('Valo FX'!$R:$R,MATCH($A5,'Valo FX'!$A:$A,0)),INDEX(Base!$V:$V,MATCH($A5,Base!$A:$A,0)),0)))</f>
        <v>6.4028080000000003</v>
      </c>
      <c r="CU5" s="21">
        <f>IF(CU$1&lt;INDEX('Valo FX'!$Q:$Q,MATCH($A5,'Valo FX'!$A:$A,0)),0,IF(CU$1&lt;INDEX('Valo FX'!$R:$R,MATCH($A5,'Valo FX'!$A:$A,0)),INDEX(Base!$U:$U,MATCH($A5,Base!$A:$A,0)),IF(CU$1=INDEX('Valo FX'!$R:$R,MATCH($A5,'Valo FX'!$A:$A,0)),INDEX(Base!$V:$V,MATCH($A5,Base!$A:$A,0)),0)))</f>
        <v>6.4028080000000003</v>
      </c>
      <c r="CV5" s="21">
        <f>IF(CV$1&lt;INDEX('Valo FX'!$Q:$Q,MATCH($A5,'Valo FX'!$A:$A,0)),0,IF(CV$1&lt;INDEX('Valo FX'!$R:$R,MATCH($A5,'Valo FX'!$A:$A,0)),INDEX(Base!$U:$U,MATCH($A5,Base!$A:$A,0)),IF(CV$1=INDEX('Valo FX'!$R:$R,MATCH($A5,'Valo FX'!$A:$A,0)),INDEX(Base!$V:$V,MATCH($A5,Base!$A:$A,0)),0)))</f>
        <v>6.4028080000000003</v>
      </c>
      <c r="CW5" s="21">
        <f>IF(CW$1&lt;INDEX('Valo FX'!$Q:$Q,MATCH($A5,'Valo FX'!$A:$A,0)),0,IF(CW$1&lt;INDEX('Valo FX'!$R:$R,MATCH($A5,'Valo FX'!$A:$A,0)),INDEX(Base!$U:$U,MATCH($A5,Base!$A:$A,0)),IF(CW$1=INDEX('Valo FX'!$R:$R,MATCH($A5,'Valo FX'!$A:$A,0)),INDEX(Base!$V:$V,MATCH($A5,Base!$A:$A,0)),0)))</f>
        <v>6.4028080000000003</v>
      </c>
      <c r="CX5" s="21">
        <f>IF(CX$1&lt;INDEX('Valo FX'!$Q:$Q,MATCH($A5,'Valo FX'!$A:$A,0)),0,IF(CX$1&lt;INDEX('Valo FX'!$R:$R,MATCH($A5,'Valo FX'!$A:$A,0)),INDEX(Base!$U:$U,MATCH($A5,Base!$A:$A,0)),IF(CX$1=INDEX('Valo FX'!$R:$R,MATCH($A5,'Valo FX'!$A:$A,0)),INDEX(Base!$V:$V,MATCH($A5,Base!$A:$A,0)),0)))</f>
        <v>6.4028080000000003</v>
      </c>
      <c r="CY5" s="21">
        <f>IF(CY$1&lt;INDEX('Valo FX'!$Q:$Q,MATCH($A5,'Valo FX'!$A:$A,0)),0,IF(CY$1&lt;INDEX('Valo FX'!$R:$R,MATCH($A5,'Valo FX'!$A:$A,0)),INDEX(Base!$U:$U,MATCH($A5,Base!$A:$A,0)),IF(CY$1=INDEX('Valo FX'!$R:$R,MATCH($A5,'Valo FX'!$A:$A,0)),INDEX(Base!$V:$V,MATCH($A5,Base!$A:$A,0)),0)))</f>
        <v>6.4028080000000003</v>
      </c>
      <c r="CZ5" s="21">
        <f>IF(CZ$1&lt;INDEX('Valo FX'!$Q:$Q,MATCH($A5,'Valo FX'!$A:$A,0)),0,IF(CZ$1&lt;INDEX('Valo FX'!$R:$R,MATCH($A5,'Valo FX'!$A:$A,0)),INDEX(Base!$U:$U,MATCH($A5,Base!$A:$A,0)),IF(CZ$1=INDEX('Valo FX'!$R:$R,MATCH($A5,'Valo FX'!$A:$A,0)),INDEX(Base!$V:$V,MATCH($A5,Base!$A:$A,0)),0)))</f>
        <v>6.4028080000000003</v>
      </c>
      <c r="DA5" s="21">
        <f>IF(DA$1&lt;INDEX('Valo FX'!$Q:$Q,MATCH($A5,'Valo FX'!$A:$A,0)),0,IF(DA$1&lt;INDEX('Valo FX'!$R:$R,MATCH($A5,'Valo FX'!$A:$A,0)),INDEX(Base!$U:$U,MATCH($A5,Base!$A:$A,0)),IF(DA$1=INDEX('Valo FX'!$R:$R,MATCH($A5,'Valo FX'!$A:$A,0)),INDEX(Base!$V:$V,MATCH($A5,Base!$A:$A,0)),0)))</f>
        <v>6.4028080000000003</v>
      </c>
      <c r="DB5" s="21">
        <f>IF(DB$1&lt;INDEX('Valo FX'!$Q:$Q,MATCH($A5,'Valo FX'!$A:$A,0)),0,IF(DB$1&lt;INDEX('Valo FX'!$R:$R,MATCH($A5,'Valo FX'!$A:$A,0)),INDEX(Base!$U:$U,MATCH($A5,Base!$A:$A,0)),IF(DB$1=INDEX('Valo FX'!$R:$R,MATCH($A5,'Valo FX'!$A:$A,0)),INDEX(Base!$V:$V,MATCH($A5,Base!$A:$A,0)),0)))</f>
        <v>6.4028080000000003</v>
      </c>
      <c r="DC5" s="21">
        <f>IF(DC$1&lt;INDEX('Valo FX'!$Q:$Q,MATCH($A5,'Valo FX'!$A:$A,0)),0,IF(DC$1&lt;INDEX('Valo FX'!$R:$R,MATCH($A5,'Valo FX'!$A:$A,0)),INDEX(Base!$U:$U,MATCH($A5,Base!$A:$A,0)),IF(DC$1=INDEX('Valo FX'!$R:$R,MATCH($A5,'Valo FX'!$A:$A,0)),INDEX(Base!$V:$V,MATCH($A5,Base!$A:$A,0)),0)))</f>
        <v>6.4028080000000003</v>
      </c>
      <c r="DD5" s="21">
        <f>IF(DD$1&lt;INDEX('Valo FX'!$Q:$Q,MATCH($A5,'Valo FX'!$A:$A,0)),0,IF(DD$1&lt;INDEX('Valo FX'!$R:$R,MATCH($A5,'Valo FX'!$A:$A,0)),INDEX(Base!$U:$U,MATCH($A5,Base!$A:$A,0)),IF(DD$1=INDEX('Valo FX'!$R:$R,MATCH($A5,'Valo FX'!$A:$A,0)),INDEX(Base!$V:$V,MATCH($A5,Base!$A:$A,0)),0)))</f>
        <v>6.4028080000000003</v>
      </c>
      <c r="DE5" s="21">
        <f>IF(DE$1&lt;INDEX('Valo FX'!$Q:$Q,MATCH($A5,'Valo FX'!$A:$A,0)),0,IF(DE$1&lt;INDEX('Valo FX'!$R:$R,MATCH($A5,'Valo FX'!$A:$A,0)),INDEX(Base!$U:$U,MATCH($A5,Base!$A:$A,0)),IF(DE$1=INDEX('Valo FX'!$R:$R,MATCH($A5,'Valo FX'!$A:$A,0)),INDEX(Base!$V:$V,MATCH($A5,Base!$A:$A,0)),0)))</f>
        <v>6.4028080000000003</v>
      </c>
      <c r="DF5" s="21">
        <f>IF(DF$1&lt;INDEX('Valo FX'!$Q:$Q,MATCH($A5,'Valo FX'!$A:$A,0)),0,IF(DF$1&lt;INDEX('Valo FX'!$R:$R,MATCH($A5,'Valo FX'!$A:$A,0)),INDEX(Base!$U:$U,MATCH($A5,Base!$A:$A,0)),IF(DF$1=INDEX('Valo FX'!$R:$R,MATCH($A5,'Valo FX'!$A:$A,0)),INDEX(Base!$V:$V,MATCH($A5,Base!$A:$A,0)),0)))</f>
        <v>6.4028080000000003</v>
      </c>
      <c r="DG5" s="21">
        <f>IF(DG$1&lt;INDEX('Valo FX'!$Q:$Q,MATCH($A5,'Valo FX'!$A:$A,0)),0,IF(DG$1&lt;INDEX('Valo FX'!$R:$R,MATCH($A5,'Valo FX'!$A:$A,0)),INDEX(Base!$U:$U,MATCH($A5,Base!$A:$A,0)),IF(DG$1=INDEX('Valo FX'!$R:$R,MATCH($A5,'Valo FX'!$A:$A,0)),INDEX(Base!$V:$V,MATCH($A5,Base!$A:$A,0)),0)))</f>
        <v>6.4028080000000003</v>
      </c>
      <c r="DH5" s="21">
        <f>IF(DH$1&lt;INDEX('Valo FX'!$Q:$Q,MATCH($A5,'Valo FX'!$A:$A,0)),0,IF(DH$1&lt;INDEX('Valo FX'!$R:$R,MATCH($A5,'Valo FX'!$A:$A,0)),INDEX(Base!$U:$U,MATCH($A5,Base!$A:$A,0)),IF(DH$1=INDEX('Valo FX'!$R:$R,MATCH($A5,'Valo FX'!$A:$A,0)),INDEX(Base!$V:$V,MATCH($A5,Base!$A:$A,0)),0)))</f>
        <v>6.4028080000000003</v>
      </c>
      <c r="DI5" s="21">
        <f>IF(DI$1&lt;INDEX('Valo FX'!$Q:$Q,MATCH($A5,'Valo FX'!$A:$A,0)),0,IF(DI$1&lt;INDEX('Valo FX'!$R:$R,MATCH($A5,'Valo FX'!$A:$A,0)),INDEX(Base!$U:$U,MATCH($A5,Base!$A:$A,0)),IF(DI$1=INDEX('Valo FX'!$R:$R,MATCH($A5,'Valo FX'!$A:$A,0)),INDEX(Base!$V:$V,MATCH($A5,Base!$A:$A,0)),0)))</f>
        <v>6.4028080000000003</v>
      </c>
      <c r="DJ5" s="21">
        <f>IF(DJ$1&lt;INDEX('Valo FX'!$Q:$Q,MATCH($A5,'Valo FX'!$A:$A,0)),0,IF(DJ$1&lt;INDEX('Valo FX'!$R:$R,MATCH($A5,'Valo FX'!$A:$A,0)),INDEX(Base!$U:$U,MATCH($A5,Base!$A:$A,0)),IF(DJ$1=INDEX('Valo FX'!$R:$R,MATCH($A5,'Valo FX'!$A:$A,0)),INDEX(Base!$V:$V,MATCH($A5,Base!$A:$A,0)),0)))</f>
        <v>6.4028080000000003</v>
      </c>
      <c r="DK5" s="21">
        <f>IF(DK$1&lt;INDEX('Valo FX'!$Q:$Q,MATCH($A5,'Valo FX'!$A:$A,0)),0,IF(DK$1&lt;INDEX('Valo FX'!$R:$R,MATCH($A5,'Valo FX'!$A:$A,0)),INDEX(Base!$U:$U,MATCH($A5,Base!$A:$A,0)),IF(DK$1=INDEX('Valo FX'!$R:$R,MATCH($A5,'Valo FX'!$A:$A,0)),INDEX(Base!$V:$V,MATCH($A5,Base!$A:$A,0)),0)))</f>
        <v>6.4028080000000003</v>
      </c>
      <c r="DL5" s="21">
        <f>IF(DL$1&lt;INDEX('Valo FX'!$Q:$Q,MATCH($A5,'Valo FX'!$A:$A,0)),0,IF(DL$1&lt;INDEX('Valo FX'!$R:$R,MATCH($A5,'Valo FX'!$A:$A,0)),INDEX(Base!$U:$U,MATCH($A5,Base!$A:$A,0)),IF(DL$1=INDEX('Valo FX'!$R:$R,MATCH($A5,'Valo FX'!$A:$A,0)),INDEX(Base!$V:$V,MATCH($A5,Base!$A:$A,0)),0)))</f>
        <v>6.4028080000000003</v>
      </c>
      <c r="DM5" s="21">
        <f>IF(DM$1&lt;INDEX('Valo FX'!$Q:$Q,MATCH($A5,'Valo FX'!$A:$A,0)),0,IF(DM$1&lt;INDEX('Valo FX'!$R:$R,MATCH($A5,'Valo FX'!$A:$A,0)),INDEX(Base!$U:$U,MATCH($A5,Base!$A:$A,0)),IF(DM$1=INDEX('Valo FX'!$R:$R,MATCH($A5,'Valo FX'!$A:$A,0)),INDEX(Base!$V:$V,MATCH($A5,Base!$A:$A,0)),0)))</f>
        <v>6.4028080000000003</v>
      </c>
      <c r="DN5" s="21">
        <f>IF(DN$1&lt;INDEX('Valo FX'!$Q:$Q,MATCH($A5,'Valo FX'!$A:$A,0)),0,IF(DN$1&lt;INDEX('Valo FX'!$R:$R,MATCH($A5,'Valo FX'!$A:$A,0)),INDEX(Base!$U:$U,MATCH($A5,Base!$A:$A,0)),IF(DN$1=INDEX('Valo FX'!$R:$R,MATCH($A5,'Valo FX'!$A:$A,0)),INDEX(Base!$V:$V,MATCH($A5,Base!$A:$A,0)),0)))</f>
        <v>6.4028080000000003</v>
      </c>
      <c r="DO5" s="21">
        <f>IF(DO$1&lt;INDEX('Valo FX'!$Q:$Q,MATCH($A5,'Valo FX'!$A:$A,0)),0,IF(DO$1&lt;INDEX('Valo FX'!$R:$R,MATCH($A5,'Valo FX'!$A:$A,0)),INDEX(Base!$U:$U,MATCH($A5,Base!$A:$A,0)),IF(DO$1=INDEX('Valo FX'!$R:$R,MATCH($A5,'Valo FX'!$A:$A,0)),INDEX(Base!$V:$V,MATCH($A5,Base!$A:$A,0)),0)))</f>
        <v>6.4028080000000003</v>
      </c>
      <c r="DP5" s="21">
        <f>IF(DP$1&lt;INDEX('Valo FX'!$Q:$Q,MATCH($A5,'Valo FX'!$A:$A,0)),0,IF(DP$1&lt;INDEX('Valo FX'!$R:$R,MATCH($A5,'Valo FX'!$A:$A,0)),INDEX(Base!$U:$U,MATCH($A5,Base!$A:$A,0)),IF(DP$1=INDEX('Valo FX'!$R:$R,MATCH($A5,'Valo FX'!$A:$A,0)),INDEX(Base!$V:$V,MATCH($A5,Base!$A:$A,0)),0)))</f>
        <v>6.4028080000000003</v>
      </c>
      <c r="DQ5" s="21">
        <f>IF(DQ$1&lt;INDEX('Valo FX'!$Q:$Q,MATCH($A5,'Valo FX'!$A:$A,0)),0,IF(DQ$1&lt;INDEX('Valo FX'!$R:$R,MATCH($A5,'Valo FX'!$A:$A,0)),INDEX(Base!$U:$U,MATCH($A5,Base!$A:$A,0)),IF(DQ$1=INDEX('Valo FX'!$R:$R,MATCH($A5,'Valo FX'!$A:$A,0)),INDEX(Base!$V:$V,MATCH($A5,Base!$A:$A,0)),0)))</f>
        <v>6.4028080000000003</v>
      </c>
      <c r="DR5" s="21">
        <f>IF(DR$1&lt;INDEX('Valo FX'!$Q:$Q,MATCH($A5,'Valo FX'!$A:$A,0)),0,IF(DR$1&lt;INDEX('Valo FX'!$R:$R,MATCH($A5,'Valo FX'!$A:$A,0)),INDEX(Base!$U:$U,MATCH($A5,Base!$A:$A,0)),IF(DR$1=INDEX('Valo FX'!$R:$R,MATCH($A5,'Valo FX'!$A:$A,0)),INDEX(Base!$V:$V,MATCH($A5,Base!$A:$A,0)),0)))</f>
        <v>6.4028080000000003</v>
      </c>
      <c r="DS5" s="21">
        <f>IF(DS$1&lt;INDEX('Valo FX'!$Q:$Q,MATCH($A5,'Valo FX'!$A:$A,0)),0,IF(DS$1&lt;INDEX('Valo FX'!$R:$R,MATCH($A5,'Valo FX'!$A:$A,0)),INDEX(Base!$U:$U,MATCH($A5,Base!$A:$A,0)),IF(DS$1=INDEX('Valo FX'!$R:$R,MATCH($A5,'Valo FX'!$A:$A,0)),INDEX(Base!$V:$V,MATCH($A5,Base!$A:$A,0)),0)))</f>
        <v>6.4028080000000003</v>
      </c>
      <c r="DT5" s="21">
        <f>IF(DT$1&lt;INDEX('Valo FX'!$Q:$Q,MATCH($A5,'Valo FX'!$A:$A,0)),0,IF(DT$1&lt;INDEX('Valo FX'!$R:$R,MATCH($A5,'Valo FX'!$A:$A,0)),INDEX(Base!$U:$U,MATCH($A5,Base!$A:$A,0)),IF(DT$1=INDEX('Valo FX'!$R:$R,MATCH($A5,'Valo FX'!$A:$A,0)),INDEX(Base!$V:$V,MATCH($A5,Base!$A:$A,0)),0)))</f>
        <v>6.4028080000000003</v>
      </c>
      <c r="DU5" s="21">
        <f>IF(DU$1&lt;INDEX('Valo FX'!$Q:$Q,MATCH($A5,'Valo FX'!$A:$A,0)),0,IF(DU$1&lt;INDEX('Valo FX'!$R:$R,MATCH($A5,'Valo FX'!$A:$A,0)),INDEX(Base!$U:$U,MATCH($A5,Base!$A:$A,0)),IF(DU$1=INDEX('Valo FX'!$R:$R,MATCH($A5,'Valo FX'!$A:$A,0)),INDEX(Base!$V:$V,MATCH($A5,Base!$A:$A,0)),0)))</f>
        <v>6.4028080000000003</v>
      </c>
      <c r="DV5" s="21">
        <f>IF(DV$1&lt;INDEX('Valo FX'!$Q:$Q,MATCH($A5,'Valo FX'!$A:$A,0)),0,IF(DV$1&lt;INDEX('Valo FX'!$R:$R,MATCH($A5,'Valo FX'!$A:$A,0)),INDEX(Base!$U:$U,MATCH($A5,Base!$A:$A,0)),IF(DV$1=INDEX('Valo FX'!$R:$R,MATCH($A5,'Valo FX'!$A:$A,0)),INDEX(Base!$V:$V,MATCH($A5,Base!$A:$A,0)),0)))</f>
        <v>6.4028080000000003</v>
      </c>
      <c r="DW5" s="21">
        <f>IF(DW$1&lt;INDEX('Valo FX'!$Q:$Q,MATCH($A5,'Valo FX'!$A:$A,0)),0,IF(DW$1&lt;INDEX('Valo FX'!$R:$R,MATCH($A5,'Valo FX'!$A:$A,0)),INDEX(Base!$U:$U,MATCH($A5,Base!$A:$A,0)),IF(DW$1=INDEX('Valo FX'!$R:$R,MATCH($A5,'Valo FX'!$A:$A,0)),INDEX(Base!$V:$V,MATCH($A5,Base!$A:$A,0)),0)))</f>
        <v>6.4028080000000003</v>
      </c>
      <c r="DX5" s="21">
        <f>IF(DX$1&lt;INDEX('Valo FX'!$Q:$Q,MATCH($A5,'Valo FX'!$A:$A,0)),0,IF(DX$1&lt;INDEX('Valo FX'!$R:$R,MATCH($A5,'Valo FX'!$A:$A,0)),INDEX(Base!$U:$U,MATCH($A5,Base!$A:$A,0)),IF(DX$1=INDEX('Valo FX'!$R:$R,MATCH($A5,'Valo FX'!$A:$A,0)),INDEX(Base!$V:$V,MATCH($A5,Base!$A:$A,0)),0)))</f>
        <v>6.4028080000000003</v>
      </c>
      <c r="DY5" s="21">
        <f>IF(DY$1&lt;INDEX('Valo FX'!$Q:$Q,MATCH($A5,'Valo FX'!$A:$A,0)),0,IF(DY$1&lt;INDEX('Valo FX'!$R:$R,MATCH($A5,'Valo FX'!$A:$A,0)),INDEX(Base!$U:$U,MATCH($A5,Base!$A:$A,0)),IF(DY$1=INDEX('Valo FX'!$R:$R,MATCH($A5,'Valo FX'!$A:$A,0)),INDEX(Base!$V:$V,MATCH($A5,Base!$A:$A,0)),0)))</f>
        <v>6.4028080000000003</v>
      </c>
      <c r="DZ5" s="21">
        <f>IF(DZ$1&lt;INDEX('Valo FX'!$Q:$Q,MATCH($A5,'Valo FX'!$A:$A,0)),0,IF(DZ$1&lt;INDEX('Valo FX'!$R:$R,MATCH($A5,'Valo FX'!$A:$A,0)),INDEX(Base!$U:$U,MATCH($A5,Base!$A:$A,0)),IF(DZ$1=INDEX('Valo FX'!$R:$R,MATCH($A5,'Valo FX'!$A:$A,0)),INDEX(Base!$V:$V,MATCH($A5,Base!$A:$A,0)),0)))</f>
        <v>6.4028080000000003</v>
      </c>
      <c r="EA5" s="21">
        <f>IF(EA$1&lt;INDEX('Valo FX'!$Q:$Q,MATCH($A5,'Valo FX'!$A:$A,0)),0,IF(EA$1&lt;INDEX('Valo FX'!$R:$R,MATCH($A5,'Valo FX'!$A:$A,0)),INDEX(Base!$U:$U,MATCH($A5,Base!$A:$A,0)),IF(EA$1=INDEX('Valo FX'!$R:$R,MATCH($A5,'Valo FX'!$A:$A,0)),INDEX(Base!$V:$V,MATCH($A5,Base!$A:$A,0)),0)))</f>
        <v>6.4028080000000003</v>
      </c>
      <c r="EB5" s="21">
        <f>IF(EB$1&lt;INDEX('Valo FX'!$Q:$Q,MATCH($A5,'Valo FX'!$A:$A,0)),0,IF(EB$1&lt;INDEX('Valo FX'!$R:$R,MATCH($A5,'Valo FX'!$A:$A,0)),INDEX(Base!$U:$U,MATCH($A5,Base!$A:$A,0)),IF(EB$1=INDEX('Valo FX'!$R:$R,MATCH($A5,'Valo FX'!$A:$A,0)),INDEX(Base!$V:$V,MATCH($A5,Base!$A:$A,0)),0)))</f>
        <v>6.4028080000000003</v>
      </c>
      <c r="EC5" s="21">
        <f>IF(EC$1&lt;INDEX('Valo FX'!$Q:$Q,MATCH($A5,'Valo FX'!$A:$A,0)),0,IF(EC$1&lt;INDEX('Valo FX'!$R:$R,MATCH($A5,'Valo FX'!$A:$A,0)),INDEX(Base!$U:$U,MATCH($A5,Base!$A:$A,0)),IF(EC$1=INDEX('Valo FX'!$R:$R,MATCH($A5,'Valo FX'!$A:$A,0)),INDEX(Base!$V:$V,MATCH($A5,Base!$A:$A,0)),0)))</f>
        <v>6.4028080000000003</v>
      </c>
      <c r="ED5" s="21">
        <f>IF(ED$1&lt;INDEX('Valo FX'!$Q:$Q,MATCH($A5,'Valo FX'!$A:$A,0)),0,IF(ED$1&lt;INDEX('Valo FX'!$R:$R,MATCH($A5,'Valo FX'!$A:$A,0)),INDEX(Base!$U:$U,MATCH($A5,Base!$A:$A,0)),IF(ED$1=INDEX('Valo FX'!$R:$R,MATCH($A5,'Valo FX'!$A:$A,0)),INDEX(Base!$V:$V,MATCH($A5,Base!$A:$A,0)),0)))</f>
        <v>6.4028080000000003</v>
      </c>
      <c r="EE5" s="21">
        <f>IF(EE$1&lt;INDEX('Valo FX'!$Q:$Q,MATCH($A5,'Valo FX'!$A:$A,0)),0,IF(EE$1&lt;INDEX('Valo FX'!$R:$R,MATCH($A5,'Valo FX'!$A:$A,0)),INDEX(Base!$U:$U,MATCH($A5,Base!$A:$A,0)),IF(EE$1=INDEX('Valo FX'!$R:$R,MATCH($A5,'Valo FX'!$A:$A,0)),INDEX(Base!$V:$V,MATCH($A5,Base!$A:$A,0)),0)))</f>
        <v>6.4028080000000003</v>
      </c>
      <c r="EF5" s="21">
        <f>IF(EF$1&lt;INDEX('Valo FX'!$Q:$Q,MATCH($A5,'Valo FX'!$A:$A,0)),0,IF(EF$1&lt;INDEX('Valo FX'!$R:$R,MATCH($A5,'Valo FX'!$A:$A,0)),INDEX(Base!$U:$U,MATCH($A5,Base!$A:$A,0)),IF(EF$1=INDEX('Valo FX'!$R:$R,MATCH($A5,'Valo FX'!$A:$A,0)),INDEX(Base!$V:$V,MATCH($A5,Base!$A:$A,0)),0)))</f>
        <v>6.4028080000000003</v>
      </c>
      <c r="EG5" s="21">
        <f>IF(EG$1&lt;INDEX('Valo FX'!$Q:$Q,MATCH($A5,'Valo FX'!$A:$A,0)),0,IF(EG$1&lt;INDEX('Valo FX'!$R:$R,MATCH($A5,'Valo FX'!$A:$A,0)),INDEX(Base!$U:$U,MATCH($A5,Base!$A:$A,0)),IF(EG$1=INDEX('Valo FX'!$R:$R,MATCH($A5,'Valo FX'!$A:$A,0)),INDEX(Base!$V:$V,MATCH($A5,Base!$A:$A,0)),0)))</f>
        <v>6.4028080000000003</v>
      </c>
      <c r="EH5" s="21">
        <f>IF(EH$1&lt;INDEX('Valo FX'!$Q:$Q,MATCH($A5,'Valo FX'!$A:$A,0)),0,IF(EH$1&lt;INDEX('Valo FX'!$R:$R,MATCH($A5,'Valo FX'!$A:$A,0)),INDEX(Base!$U:$U,MATCH($A5,Base!$A:$A,0)),IF(EH$1=INDEX('Valo FX'!$R:$R,MATCH($A5,'Valo FX'!$A:$A,0)),INDEX(Base!$V:$V,MATCH($A5,Base!$A:$A,0)),0)))</f>
        <v>6.4028080000000003</v>
      </c>
      <c r="EI5" s="21">
        <f>IF(EI$1&lt;INDEX('Valo FX'!$Q:$Q,MATCH($A5,'Valo FX'!$A:$A,0)),0,IF(EI$1&lt;INDEX('Valo FX'!$R:$R,MATCH($A5,'Valo FX'!$A:$A,0)),INDEX(Base!$U:$U,MATCH($A5,Base!$A:$A,0)),IF(EI$1=INDEX('Valo FX'!$R:$R,MATCH($A5,'Valo FX'!$A:$A,0)),INDEX(Base!$V:$V,MATCH($A5,Base!$A:$A,0)),0)))</f>
        <v>6.4028080000000003</v>
      </c>
      <c r="EJ5" s="21">
        <f>IF(EJ$1&lt;INDEX('Valo FX'!$Q:$Q,MATCH($A5,'Valo FX'!$A:$A,0)),0,IF(EJ$1&lt;INDEX('Valo FX'!$R:$R,MATCH($A5,'Valo FX'!$A:$A,0)),INDEX(Base!$U:$U,MATCH($A5,Base!$A:$A,0)),IF(EJ$1=INDEX('Valo FX'!$R:$R,MATCH($A5,'Valo FX'!$A:$A,0)),INDEX(Base!$V:$V,MATCH($A5,Base!$A:$A,0)),0)))</f>
        <v>6.4028080000000003</v>
      </c>
      <c r="EK5" s="21">
        <f>IF(EK$1&lt;INDEX('Valo FX'!$Q:$Q,MATCH($A5,'Valo FX'!$A:$A,0)),0,IF(EK$1&lt;INDEX('Valo FX'!$R:$R,MATCH($A5,'Valo FX'!$A:$A,0)),INDEX(Base!$U:$U,MATCH($A5,Base!$A:$A,0)),IF(EK$1=INDEX('Valo FX'!$R:$R,MATCH($A5,'Valo FX'!$A:$A,0)),INDEX(Base!$V:$V,MATCH($A5,Base!$A:$A,0)),0)))</f>
        <v>6.4028080000000003</v>
      </c>
      <c r="EL5" s="21">
        <f>IF(EL$1&lt;INDEX('Valo FX'!$Q:$Q,MATCH($A5,'Valo FX'!$A:$A,0)),0,IF(EL$1&lt;INDEX('Valo FX'!$R:$R,MATCH($A5,'Valo FX'!$A:$A,0)),INDEX(Base!$U:$U,MATCH($A5,Base!$A:$A,0)),IF(EL$1=INDEX('Valo FX'!$R:$R,MATCH($A5,'Valo FX'!$A:$A,0)),INDEX(Base!$V:$V,MATCH($A5,Base!$A:$A,0)),0)))</f>
        <v>6.4028080000000003</v>
      </c>
      <c r="EM5" s="21">
        <f>IF(EM$1&lt;INDEX('Valo FX'!$Q:$Q,MATCH($A5,'Valo FX'!$A:$A,0)),0,IF(EM$1&lt;INDEX('Valo FX'!$R:$R,MATCH($A5,'Valo FX'!$A:$A,0)),INDEX(Base!$U:$U,MATCH($A5,Base!$A:$A,0)),IF(EM$1=INDEX('Valo FX'!$R:$R,MATCH($A5,'Valo FX'!$A:$A,0)),INDEX(Base!$V:$V,MATCH($A5,Base!$A:$A,0)),0)))</f>
        <v>6.4028080000000003</v>
      </c>
      <c r="EN5" s="21">
        <f>IF(EN$1&lt;INDEX('Valo FX'!$Q:$Q,MATCH($A5,'Valo FX'!$A:$A,0)),0,IF(EN$1&lt;INDEX('Valo FX'!$R:$R,MATCH($A5,'Valo FX'!$A:$A,0)),INDEX(Base!$U:$U,MATCH($A5,Base!$A:$A,0)),IF(EN$1=INDEX('Valo FX'!$R:$R,MATCH($A5,'Valo FX'!$A:$A,0)),INDEX(Base!$V:$V,MATCH($A5,Base!$A:$A,0)),0)))</f>
        <v>6.4028080000000003</v>
      </c>
      <c r="EO5" s="21">
        <f>IF(EO$1&lt;INDEX('Valo FX'!$Q:$Q,MATCH($A5,'Valo FX'!$A:$A,0)),0,IF(EO$1&lt;INDEX('Valo FX'!$R:$R,MATCH($A5,'Valo FX'!$A:$A,0)),INDEX(Base!$U:$U,MATCH($A5,Base!$A:$A,0)),IF(EO$1=INDEX('Valo FX'!$R:$R,MATCH($A5,'Valo FX'!$A:$A,0)),INDEX(Base!$V:$V,MATCH($A5,Base!$A:$A,0)),0)))</f>
        <v>6.4028080000000003</v>
      </c>
      <c r="EP5" s="21">
        <f>IF(EP$1&lt;INDEX('Valo FX'!$Q:$Q,MATCH($A5,'Valo FX'!$A:$A,0)),0,IF(EP$1&lt;INDEX('Valo FX'!$R:$R,MATCH($A5,'Valo FX'!$A:$A,0)),INDEX(Base!$U:$U,MATCH($A5,Base!$A:$A,0)),IF(EP$1=INDEX('Valo FX'!$R:$R,MATCH($A5,'Valo FX'!$A:$A,0)),INDEX(Base!$V:$V,MATCH($A5,Base!$A:$A,0)),0)))</f>
        <v>6.4028080000000003</v>
      </c>
      <c r="EQ5" s="21">
        <f>IF(EQ$1&lt;INDEX('Valo FX'!$Q:$Q,MATCH($A5,'Valo FX'!$A:$A,0)),0,IF(EQ$1&lt;INDEX('Valo FX'!$R:$R,MATCH($A5,'Valo FX'!$A:$A,0)),INDEX(Base!$U:$U,MATCH($A5,Base!$A:$A,0)),IF(EQ$1=INDEX('Valo FX'!$R:$R,MATCH($A5,'Valo FX'!$A:$A,0)),INDEX(Base!$V:$V,MATCH($A5,Base!$A:$A,0)),0)))</f>
        <v>6.4028080000000003</v>
      </c>
      <c r="ER5" s="21">
        <f>IF(ER$1&lt;INDEX('Valo FX'!$Q:$Q,MATCH($A5,'Valo FX'!$A:$A,0)),0,IF(ER$1&lt;INDEX('Valo FX'!$R:$R,MATCH($A5,'Valo FX'!$A:$A,0)),INDEX(Base!$U:$U,MATCH($A5,Base!$A:$A,0)),IF(ER$1=INDEX('Valo FX'!$R:$R,MATCH($A5,'Valo FX'!$A:$A,0)),INDEX(Base!$V:$V,MATCH($A5,Base!$A:$A,0)),0)))</f>
        <v>6.4028080000000003</v>
      </c>
      <c r="ES5" s="21">
        <f>IF(ES$1&lt;INDEX('Valo FX'!$Q:$Q,MATCH($A5,'Valo FX'!$A:$A,0)),0,IF(ES$1&lt;INDEX('Valo FX'!$R:$R,MATCH($A5,'Valo FX'!$A:$A,0)),INDEX(Base!$U:$U,MATCH($A5,Base!$A:$A,0)),IF(ES$1=INDEX('Valo FX'!$R:$R,MATCH($A5,'Valo FX'!$A:$A,0)),INDEX(Base!$V:$V,MATCH($A5,Base!$A:$A,0)),0)))</f>
        <v>6.4028080000000003</v>
      </c>
      <c r="ET5" s="21">
        <f>IF(ET$1&lt;INDEX('Valo FX'!$Q:$Q,MATCH($A5,'Valo FX'!$A:$A,0)),0,IF(ET$1&lt;INDEX('Valo FX'!$R:$R,MATCH($A5,'Valo FX'!$A:$A,0)),INDEX(Base!$U:$U,MATCH($A5,Base!$A:$A,0)),IF(ET$1=INDEX('Valo FX'!$R:$R,MATCH($A5,'Valo FX'!$A:$A,0)),INDEX(Base!$V:$V,MATCH($A5,Base!$A:$A,0)),0)))</f>
        <v>6.4028080000000003</v>
      </c>
      <c r="EU5" s="21">
        <f>IF(EU$1&lt;INDEX('Valo FX'!$Q:$Q,MATCH($A5,'Valo FX'!$A:$A,0)),0,IF(EU$1&lt;INDEX('Valo FX'!$R:$R,MATCH($A5,'Valo FX'!$A:$A,0)),INDEX(Base!$U:$U,MATCH($A5,Base!$A:$A,0)),IF(EU$1=INDEX('Valo FX'!$R:$R,MATCH($A5,'Valo FX'!$A:$A,0)),INDEX(Base!$V:$V,MATCH($A5,Base!$A:$A,0)),0)))</f>
        <v>6.4028080000000003</v>
      </c>
      <c r="EV5" s="21">
        <f>IF(EV$1&lt;INDEX('Valo FX'!$Q:$Q,MATCH($A5,'Valo FX'!$A:$A,0)),0,IF(EV$1&lt;INDEX('Valo FX'!$R:$R,MATCH($A5,'Valo FX'!$A:$A,0)),INDEX(Base!$U:$U,MATCH($A5,Base!$A:$A,0)),IF(EV$1=INDEX('Valo FX'!$R:$R,MATCH($A5,'Valo FX'!$A:$A,0)),INDEX(Base!$V:$V,MATCH($A5,Base!$A:$A,0)),0)))</f>
        <v>6.4028080000000003</v>
      </c>
      <c r="EW5" s="21">
        <f>IF(EW$1&lt;INDEX('Valo FX'!$Q:$Q,MATCH($A5,'Valo FX'!$A:$A,0)),0,IF(EW$1&lt;INDEX('Valo FX'!$R:$R,MATCH($A5,'Valo FX'!$A:$A,0)),INDEX(Base!$U:$U,MATCH($A5,Base!$A:$A,0)),IF(EW$1=INDEX('Valo FX'!$R:$R,MATCH($A5,'Valo FX'!$A:$A,0)),INDEX(Base!$V:$V,MATCH($A5,Base!$A:$A,0)),0)))</f>
        <v>6.4028080000000003</v>
      </c>
      <c r="EX5" s="21">
        <f>IF(EX$1&lt;INDEX('Valo FX'!$Q:$Q,MATCH($A5,'Valo FX'!$A:$A,0)),0,IF(EX$1&lt;INDEX('Valo FX'!$R:$R,MATCH($A5,'Valo FX'!$A:$A,0)),INDEX(Base!$U:$U,MATCH($A5,Base!$A:$A,0)),IF(EX$1=INDEX('Valo FX'!$R:$R,MATCH($A5,'Valo FX'!$A:$A,0)),INDEX(Base!$V:$V,MATCH($A5,Base!$A:$A,0)),0)))</f>
        <v>6.4028080000000003</v>
      </c>
      <c r="EY5" s="21">
        <f>IF(EY$1&lt;INDEX('Valo FX'!$Q:$Q,MATCH($A5,'Valo FX'!$A:$A,0)),0,IF(EY$1&lt;INDEX('Valo FX'!$R:$R,MATCH($A5,'Valo FX'!$A:$A,0)),INDEX(Base!$U:$U,MATCH($A5,Base!$A:$A,0)),IF(EY$1=INDEX('Valo FX'!$R:$R,MATCH($A5,'Valo FX'!$A:$A,0)),INDEX(Base!$V:$V,MATCH($A5,Base!$A:$A,0)),0)))</f>
        <v>6.4028080000000003</v>
      </c>
      <c r="EZ5" s="21">
        <f>IF(EZ$1&lt;INDEX('Valo FX'!$Q:$Q,MATCH($A5,'Valo FX'!$A:$A,0)),0,IF(EZ$1&lt;INDEX('Valo FX'!$R:$R,MATCH($A5,'Valo FX'!$A:$A,0)),INDEX(Base!$U:$U,MATCH($A5,Base!$A:$A,0)),IF(EZ$1=INDEX('Valo FX'!$R:$R,MATCH($A5,'Valo FX'!$A:$A,0)),INDEX(Base!$V:$V,MATCH($A5,Base!$A:$A,0)),0)))</f>
        <v>6.4028080000000003</v>
      </c>
      <c r="FA5" s="21">
        <f>IF(FA$1&lt;INDEX('Valo FX'!$Q:$Q,MATCH($A5,'Valo FX'!$A:$A,0)),0,IF(FA$1&lt;INDEX('Valo FX'!$R:$R,MATCH($A5,'Valo FX'!$A:$A,0)),INDEX(Base!$U:$U,MATCH($A5,Base!$A:$A,0)),IF(FA$1=INDEX('Valo FX'!$R:$R,MATCH($A5,'Valo FX'!$A:$A,0)),INDEX(Base!$V:$V,MATCH($A5,Base!$A:$A,0)),0)))</f>
        <v>6.4028080000000003</v>
      </c>
      <c r="FB5" s="21">
        <f>IF(FB$1&lt;INDEX('Valo FX'!$Q:$Q,MATCH($A5,'Valo FX'!$A:$A,0)),0,IF(FB$1&lt;INDEX('Valo FX'!$R:$R,MATCH($A5,'Valo FX'!$A:$A,0)),INDEX(Base!$U:$U,MATCH($A5,Base!$A:$A,0)),IF(FB$1=INDEX('Valo FX'!$R:$R,MATCH($A5,'Valo FX'!$A:$A,0)),INDEX(Base!$V:$V,MATCH($A5,Base!$A:$A,0)),0)))</f>
        <v>6.4028080000000003</v>
      </c>
      <c r="FC5" s="21">
        <f>IF(FC$1&lt;INDEX('Valo FX'!$Q:$Q,MATCH($A5,'Valo FX'!$A:$A,0)),0,IF(FC$1&lt;INDEX('Valo FX'!$R:$R,MATCH($A5,'Valo FX'!$A:$A,0)),INDEX(Base!$U:$U,MATCH($A5,Base!$A:$A,0)),IF(FC$1=INDEX('Valo FX'!$R:$R,MATCH($A5,'Valo FX'!$A:$A,0)),INDEX(Base!$V:$V,MATCH($A5,Base!$A:$A,0)),0)))</f>
        <v>6.4028080000000003</v>
      </c>
      <c r="FD5" s="21">
        <f>IF(FD$1&lt;INDEX('Valo FX'!$Q:$Q,MATCH($A5,'Valo FX'!$A:$A,0)),0,IF(FD$1&lt;INDEX('Valo FX'!$R:$R,MATCH($A5,'Valo FX'!$A:$A,0)),INDEX(Base!$U:$U,MATCH($A5,Base!$A:$A,0)),IF(FD$1=INDEX('Valo FX'!$R:$R,MATCH($A5,'Valo FX'!$A:$A,0)),INDEX(Base!$V:$V,MATCH($A5,Base!$A:$A,0)),0)))</f>
        <v>6.4028080000000003</v>
      </c>
      <c r="FE5" s="21">
        <f>IF(FE$1&lt;INDEX('Valo FX'!$Q:$Q,MATCH($A5,'Valo FX'!$A:$A,0)),0,IF(FE$1&lt;INDEX('Valo FX'!$R:$R,MATCH($A5,'Valo FX'!$A:$A,0)),INDEX(Base!$U:$U,MATCH($A5,Base!$A:$A,0)),IF(FE$1=INDEX('Valo FX'!$R:$R,MATCH($A5,'Valo FX'!$A:$A,0)),INDEX(Base!$V:$V,MATCH($A5,Base!$A:$A,0)),0)))</f>
        <v>6.4028080000000003</v>
      </c>
      <c r="FF5" s="21">
        <f>IF(FF$1&lt;INDEX('Valo FX'!$Q:$Q,MATCH($A5,'Valo FX'!$A:$A,0)),0,IF(FF$1&lt;INDEX('Valo FX'!$R:$R,MATCH($A5,'Valo FX'!$A:$A,0)),INDEX(Base!$U:$U,MATCH($A5,Base!$A:$A,0)),IF(FF$1=INDEX('Valo FX'!$R:$R,MATCH($A5,'Valo FX'!$A:$A,0)),INDEX(Base!$V:$V,MATCH($A5,Base!$A:$A,0)),0)))</f>
        <v>6.4028080000000003</v>
      </c>
      <c r="FG5" s="21">
        <f>IF(FG$1&lt;INDEX('Valo FX'!$Q:$Q,MATCH($A5,'Valo FX'!$A:$A,0)),0,IF(FG$1&lt;INDEX('Valo FX'!$R:$R,MATCH($A5,'Valo FX'!$A:$A,0)),INDEX(Base!$U:$U,MATCH($A5,Base!$A:$A,0)),IF(FG$1=INDEX('Valo FX'!$R:$R,MATCH($A5,'Valo FX'!$A:$A,0)),INDEX(Base!$V:$V,MATCH($A5,Base!$A:$A,0)),0)))</f>
        <v>6.4028080000000003</v>
      </c>
      <c r="FH5" s="21">
        <f>IF(FH$1&lt;INDEX('Valo FX'!$Q:$Q,MATCH($A5,'Valo FX'!$A:$A,0)),0,IF(FH$1&lt;INDEX('Valo FX'!$R:$R,MATCH($A5,'Valo FX'!$A:$A,0)),INDEX(Base!$U:$U,MATCH($A5,Base!$A:$A,0)),IF(FH$1=INDEX('Valo FX'!$R:$R,MATCH($A5,'Valo FX'!$A:$A,0)),INDEX(Base!$V:$V,MATCH($A5,Base!$A:$A,0)),0)))</f>
        <v>6.4028080000000003</v>
      </c>
      <c r="FI5" s="21">
        <f>IF(FI$1&lt;INDEX('Valo FX'!$Q:$Q,MATCH($A5,'Valo FX'!$A:$A,0)),0,IF(FI$1&lt;INDEX('Valo FX'!$R:$R,MATCH($A5,'Valo FX'!$A:$A,0)),INDEX(Base!$U:$U,MATCH($A5,Base!$A:$A,0)),IF(FI$1=INDEX('Valo FX'!$R:$R,MATCH($A5,'Valo FX'!$A:$A,0)),INDEX(Base!$V:$V,MATCH($A5,Base!$A:$A,0)),0)))</f>
        <v>6.4028080000000003</v>
      </c>
      <c r="FJ5" s="21">
        <f>IF(FJ$1&lt;INDEX('Valo FX'!$Q:$Q,MATCH($A5,'Valo FX'!$A:$A,0)),0,IF(FJ$1&lt;INDEX('Valo FX'!$R:$R,MATCH($A5,'Valo FX'!$A:$A,0)),INDEX(Base!$U:$U,MATCH($A5,Base!$A:$A,0)),IF(FJ$1=INDEX('Valo FX'!$R:$R,MATCH($A5,'Valo FX'!$A:$A,0)),INDEX(Base!$V:$V,MATCH($A5,Base!$A:$A,0)),0)))</f>
        <v>6.4028080000000003</v>
      </c>
      <c r="FK5" s="21">
        <f>IF(FK$1&lt;INDEX('Valo FX'!$Q:$Q,MATCH($A5,'Valo FX'!$A:$A,0)),0,IF(FK$1&lt;INDEX('Valo FX'!$R:$R,MATCH($A5,'Valo FX'!$A:$A,0)),INDEX(Base!$U:$U,MATCH($A5,Base!$A:$A,0)),IF(FK$1=INDEX('Valo FX'!$R:$R,MATCH($A5,'Valo FX'!$A:$A,0)),INDEX(Base!$V:$V,MATCH($A5,Base!$A:$A,0)),0)))</f>
        <v>6.4028080000000003</v>
      </c>
      <c r="FL5" s="21">
        <f>IF(FL$1&lt;INDEX('Valo FX'!$Q:$Q,MATCH($A5,'Valo FX'!$A:$A,0)),0,IF(FL$1&lt;INDEX('Valo FX'!$R:$R,MATCH($A5,'Valo FX'!$A:$A,0)),INDEX(Base!$U:$U,MATCH($A5,Base!$A:$A,0)),IF(FL$1=INDEX('Valo FX'!$R:$R,MATCH($A5,'Valo FX'!$A:$A,0)),INDEX(Base!$V:$V,MATCH($A5,Base!$A:$A,0)),0)))</f>
        <v>6.4028080000000003</v>
      </c>
      <c r="FM5" s="21">
        <f>IF(FM$1&lt;INDEX('Valo FX'!$Q:$Q,MATCH($A5,'Valo FX'!$A:$A,0)),0,IF(FM$1&lt;INDEX('Valo FX'!$R:$R,MATCH($A5,'Valo FX'!$A:$A,0)),INDEX(Base!$U:$U,MATCH($A5,Base!$A:$A,0)),IF(FM$1=INDEX('Valo FX'!$R:$R,MATCH($A5,'Valo FX'!$A:$A,0)),INDEX(Base!$V:$V,MATCH($A5,Base!$A:$A,0)),0)))</f>
        <v>6.4028080000000003</v>
      </c>
      <c r="FN5" s="21">
        <f>IF(FN$1&lt;INDEX('Valo FX'!$Q:$Q,MATCH($A5,'Valo FX'!$A:$A,0)),0,IF(FN$1&lt;INDEX('Valo FX'!$R:$R,MATCH($A5,'Valo FX'!$A:$A,0)),INDEX(Base!$U:$U,MATCH($A5,Base!$A:$A,0)),IF(FN$1=INDEX('Valo FX'!$R:$R,MATCH($A5,'Valo FX'!$A:$A,0)),INDEX(Base!$V:$V,MATCH($A5,Base!$A:$A,0)),0)))</f>
        <v>6.4028080000000003</v>
      </c>
      <c r="FO5" s="21">
        <f>IF(FO$1&lt;INDEX('Valo FX'!$Q:$Q,MATCH($A5,'Valo FX'!$A:$A,0)),0,IF(FO$1&lt;INDEX('Valo FX'!$R:$R,MATCH($A5,'Valo FX'!$A:$A,0)),INDEX(Base!$U:$U,MATCH($A5,Base!$A:$A,0)),IF(FO$1=INDEX('Valo FX'!$R:$R,MATCH($A5,'Valo FX'!$A:$A,0)),INDEX(Base!$V:$V,MATCH($A5,Base!$A:$A,0)),0)))</f>
        <v>6.4028080000000003</v>
      </c>
      <c r="FP5" s="21">
        <f>IF(FP$1&lt;INDEX('Valo FX'!$Q:$Q,MATCH($A5,'Valo FX'!$A:$A,0)),0,IF(FP$1&lt;INDEX('Valo FX'!$R:$R,MATCH($A5,'Valo FX'!$A:$A,0)),INDEX(Base!$U:$U,MATCH($A5,Base!$A:$A,0)),IF(FP$1=INDEX('Valo FX'!$R:$R,MATCH($A5,'Valo FX'!$A:$A,0)),INDEX(Base!$V:$V,MATCH($A5,Base!$A:$A,0)),0)))</f>
        <v>6.4028080000000003</v>
      </c>
      <c r="FQ5" s="21">
        <f>IF(FQ$1&lt;INDEX('Valo FX'!$Q:$Q,MATCH($A5,'Valo FX'!$A:$A,0)),0,IF(FQ$1&lt;INDEX('Valo FX'!$R:$R,MATCH($A5,'Valo FX'!$A:$A,0)),INDEX(Base!$U:$U,MATCH($A5,Base!$A:$A,0)),IF(FQ$1=INDEX('Valo FX'!$R:$R,MATCH($A5,'Valo FX'!$A:$A,0)),INDEX(Base!$V:$V,MATCH($A5,Base!$A:$A,0)),0)))</f>
        <v>6.4028080000000003</v>
      </c>
      <c r="FR5" s="21">
        <f>IF(FR$1&lt;INDEX('Valo FX'!$Q:$Q,MATCH($A5,'Valo FX'!$A:$A,0)),0,IF(FR$1&lt;INDEX('Valo FX'!$R:$R,MATCH($A5,'Valo FX'!$A:$A,0)),INDEX(Base!$U:$U,MATCH($A5,Base!$A:$A,0)),IF(FR$1=INDEX('Valo FX'!$R:$R,MATCH($A5,'Valo FX'!$A:$A,0)),INDEX(Base!$V:$V,MATCH($A5,Base!$A:$A,0)),0)))</f>
        <v>6.4028080000000003</v>
      </c>
      <c r="FS5" s="21">
        <f>IF(FS$1&lt;INDEX('Valo FX'!$Q:$Q,MATCH($A5,'Valo FX'!$A:$A,0)),0,IF(FS$1&lt;INDEX('Valo FX'!$R:$R,MATCH($A5,'Valo FX'!$A:$A,0)),INDEX(Base!$U:$U,MATCH($A5,Base!$A:$A,0)),IF(FS$1=INDEX('Valo FX'!$R:$R,MATCH($A5,'Valo FX'!$A:$A,0)),INDEX(Base!$V:$V,MATCH($A5,Base!$A:$A,0)),0)))</f>
        <v>6.4028080000000003</v>
      </c>
      <c r="FT5" s="21">
        <f>IF(FT$1&lt;INDEX('Valo FX'!$Q:$Q,MATCH($A5,'Valo FX'!$A:$A,0)),0,IF(FT$1&lt;INDEX('Valo FX'!$R:$R,MATCH($A5,'Valo FX'!$A:$A,0)),INDEX(Base!$U:$U,MATCH($A5,Base!$A:$A,0)),IF(FT$1=INDEX('Valo FX'!$R:$R,MATCH($A5,'Valo FX'!$A:$A,0)),INDEX(Base!$V:$V,MATCH($A5,Base!$A:$A,0)),0)))</f>
        <v>6.4028080000000003</v>
      </c>
      <c r="FU5" s="21">
        <f>IF(FU$1&lt;INDEX('Valo FX'!$Q:$Q,MATCH($A5,'Valo FX'!$A:$A,0)),0,IF(FU$1&lt;INDEX('Valo FX'!$R:$R,MATCH($A5,'Valo FX'!$A:$A,0)),INDEX(Base!$U:$U,MATCH($A5,Base!$A:$A,0)),IF(FU$1=INDEX('Valo FX'!$R:$R,MATCH($A5,'Valo FX'!$A:$A,0)),INDEX(Base!$V:$V,MATCH($A5,Base!$A:$A,0)),0)))</f>
        <v>6.4028080000000003</v>
      </c>
      <c r="FV5" s="21">
        <f>IF(FV$1&lt;INDEX('Valo FX'!$Q:$Q,MATCH($A5,'Valo FX'!$A:$A,0)),0,IF(FV$1&lt;INDEX('Valo FX'!$R:$R,MATCH($A5,'Valo FX'!$A:$A,0)),INDEX(Base!$U:$U,MATCH($A5,Base!$A:$A,0)),IF(FV$1=INDEX('Valo FX'!$R:$R,MATCH($A5,'Valo FX'!$A:$A,0)),INDEX(Base!$V:$V,MATCH($A5,Base!$A:$A,0)),0)))</f>
        <v>6.4028080000000003</v>
      </c>
      <c r="FW5" s="21">
        <f>IF(FW$1&lt;INDEX('Valo FX'!$Q:$Q,MATCH($A5,'Valo FX'!$A:$A,0)),0,IF(FW$1&lt;INDEX('Valo FX'!$R:$R,MATCH($A5,'Valo FX'!$A:$A,0)),INDEX(Base!$U:$U,MATCH($A5,Base!$A:$A,0)),IF(FW$1=INDEX('Valo FX'!$R:$R,MATCH($A5,'Valo FX'!$A:$A,0)),INDEX(Base!$V:$V,MATCH($A5,Base!$A:$A,0)),0)))</f>
        <v>6.4028080000000003</v>
      </c>
      <c r="FX5" s="21">
        <f>IF(FX$1&lt;INDEX('Valo FX'!$Q:$Q,MATCH($A5,'Valo FX'!$A:$A,0)),0,IF(FX$1&lt;INDEX('Valo FX'!$R:$R,MATCH($A5,'Valo FX'!$A:$A,0)),INDEX(Base!$U:$U,MATCH($A5,Base!$A:$A,0)),IF(FX$1=INDEX('Valo FX'!$R:$R,MATCH($A5,'Valo FX'!$A:$A,0)),INDEX(Base!$V:$V,MATCH($A5,Base!$A:$A,0)),0)))</f>
        <v>6.4028080000000003</v>
      </c>
      <c r="FY5" s="21">
        <f>IF(FY$1&lt;INDEX('Valo FX'!$Q:$Q,MATCH($A5,'Valo FX'!$A:$A,0)),0,IF(FY$1&lt;INDEX('Valo FX'!$R:$R,MATCH($A5,'Valo FX'!$A:$A,0)),INDEX(Base!$U:$U,MATCH($A5,Base!$A:$A,0)),IF(FY$1=INDEX('Valo FX'!$R:$R,MATCH($A5,'Valo FX'!$A:$A,0)),INDEX(Base!$V:$V,MATCH($A5,Base!$A:$A,0)),0)))</f>
        <v>6.4028080000000003</v>
      </c>
      <c r="FZ5" s="21">
        <f>IF(FZ$1&lt;INDEX('Valo FX'!$Q:$Q,MATCH($A5,'Valo FX'!$A:$A,0)),0,IF(FZ$1&lt;INDEX('Valo FX'!$R:$R,MATCH($A5,'Valo FX'!$A:$A,0)),INDEX(Base!$U:$U,MATCH($A5,Base!$A:$A,0)),IF(FZ$1=INDEX('Valo FX'!$R:$R,MATCH($A5,'Valo FX'!$A:$A,0)),INDEX(Base!$V:$V,MATCH($A5,Base!$A:$A,0)),0)))</f>
        <v>6.4028080000000003</v>
      </c>
      <c r="GA5" s="21">
        <f>IF(GA$1&lt;INDEX('Valo FX'!$Q:$Q,MATCH($A5,'Valo FX'!$A:$A,0)),0,IF(GA$1&lt;INDEX('Valo FX'!$R:$R,MATCH($A5,'Valo FX'!$A:$A,0)),INDEX(Base!$U:$U,MATCH($A5,Base!$A:$A,0)),IF(GA$1=INDEX('Valo FX'!$R:$R,MATCH($A5,'Valo FX'!$A:$A,0)),INDEX(Base!$V:$V,MATCH($A5,Base!$A:$A,0)),0)))</f>
        <v>6.4028080000000003</v>
      </c>
      <c r="GB5" s="21">
        <f>IF(GB$1&lt;INDEX('Valo FX'!$Q:$Q,MATCH($A5,'Valo FX'!$A:$A,0)),0,IF(GB$1&lt;INDEX('Valo FX'!$R:$R,MATCH($A5,'Valo FX'!$A:$A,0)),INDEX(Base!$U:$U,MATCH($A5,Base!$A:$A,0)),IF(GB$1=INDEX('Valo FX'!$R:$R,MATCH($A5,'Valo FX'!$A:$A,0)),INDEX(Base!$V:$V,MATCH($A5,Base!$A:$A,0)),0)))</f>
        <v>6.4028080000000003</v>
      </c>
      <c r="GC5" s="21">
        <f>IF(GC$1&lt;INDEX('Valo FX'!$Q:$Q,MATCH($A5,'Valo FX'!$A:$A,0)),0,IF(GC$1&lt;INDEX('Valo FX'!$R:$R,MATCH($A5,'Valo FX'!$A:$A,0)),INDEX(Base!$U:$U,MATCH($A5,Base!$A:$A,0)),IF(GC$1=INDEX('Valo FX'!$R:$R,MATCH($A5,'Valo FX'!$A:$A,0)),INDEX(Base!$V:$V,MATCH($A5,Base!$A:$A,0)),0)))</f>
        <v>6.4028080000000003</v>
      </c>
      <c r="GD5" s="21">
        <f>IF(GD$1&lt;INDEX('Valo FX'!$Q:$Q,MATCH($A5,'Valo FX'!$A:$A,0)),0,IF(GD$1&lt;INDEX('Valo FX'!$R:$R,MATCH($A5,'Valo FX'!$A:$A,0)),INDEX(Base!$U:$U,MATCH($A5,Base!$A:$A,0)),IF(GD$1=INDEX('Valo FX'!$R:$R,MATCH($A5,'Valo FX'!$A:$A,0)),INDEX(Base!$V:$V,MATCH($A5,Base!$A:$A,0)),0)))</f>
        <v>6.4028080000000003</v>
      </c>
      <c r="GE5" s="21">
        <f>IF(GE$1&lt;INDEX('Valo FX'!$Q:$Q,MATCH($A5,'Valo FX'!$A:$A,0)),0,IF(GE$1&lt;INDEX('Valo FX'!$R:$R,MATCH($A5,'Valo FX'!$A:$A,0)),INDEX(Base!$U:$U,MATCH($A5,Base!$A:$A,0)),IF(GE$1=INDEX('Valo FX'!$R:$R,MATCH($A5,'Valo FX'!$A:$A,0)),INDEX(Base!$V:$V,MATCH($A5,Base!$A:$A,0)),0)))</f>
        <v>6.4028080000000003</v>
      </c>
      <c r="GF5" s="21">
        <f>IF(GF$1&lt;INDEX('Valo FX'!$Q:$Q,MATCH($A5,'Valo FX'!$A:$A,0)),0,IF(GF$1&lt;INDEX('Valo FX'!$R:$R,MATCH($A5,'Valo FX'!$A:$A,0)),INDEX(Base!$U:$U,MATCH($A5,Base!$A:$A,0)),IF(GF$1=INDEX('Valo FX'!$R:$R,MATCH($A5,'Valo FX'!$A:$A,0)),INDEX(Base!$V:$V,MATCH($A5,Base!$A:$A,0)),0)))</f>
        <v>6.4028080000000003</v>
      </c>
      <c r="GG5" s="21">
        <f>IF(GG$1&lt;INDEX('Valo FX'!$Q:$Q,MATCH($A5,'Valo FX'!$A:$A,0)),0,IF(GG$1&lt;INDEX('Valo FX'!$R:$R,MATCH($A5,'Valo FX'!$A:$A,0)),INDEX(Base!$U:$U,MATCH($A5,Base!$A:$A,0)),IF(GG$1=INDEX('Valo FX'!$R:$R,MATCH($A5,'Valo FX'!$A:$A,0)),INDEX(Base!$V:$V,MATCH($A5,Base!$A:$A,0)),0)))</f>
        <v>6.4028080000000003</v>
      </c>
      <c r="GH5" s="21">
        <f>IF(GH$1&lt;INDEX('Valo FX'!$Q:$Q,MATCH($A5,'Valo FX'!$A:$A,0)),0,IF(GH$1&lt;INDEX('Valo FX'!$R:$R,MATCH($A5,'Valo FX'!$A:$A,0)),INDEX(Base!$U:$U,MATCH($A5,Base!$A:$A,0)),IF(GH$1=INDEX('Valo FX'!$R:$R,MATCH($A5,'Valo FX'!$A:$A,0)),INDEX(Base!$V:$V,MATCH($A5,Base!$A:$A,0)),0)))</f>
        <v>6.4028080000000003</v>
      </c>
      <c r="GI5" s="21">
        <f>IF(GI$1&lt;INDEX('Valo FX'!$Q:$Q,MATCH($A5,'Valo FX'!$A:$A,0)),0,IF(GI$1&lt;INDEX('Valo FX'!$R:$R,MATCH($A5,'Valo FX'!$A:$A,0)),INDEX(Base!$U:$U,MATCH($A5,Base!$A:$A,0)),IF(GI$1=INDEX('Valo FX'!$R:$R,MATCH($A5,'Valo FX'!$A:$A,0)),INDEX(Base!$V:$V,MATCH($A5,Base!$A:$A,0)),0)))</f>
        <v>6.4028080000000003</v>
      </c>
      <c r="GJ5" s="21">
        <f>IF(GJ$1&lt;INDEX('Valo FX'!$Q:$Q,MATCH($A5,'Valo FX'!$A:$A,0)),0,IF(GJ$1&lt;INDEX('Valo FX'!$R:$R,MATCH($A5,'Valo FX'!$A:$A,0)),INDEX(Base!$U:$U,MATCH($A5,Base!$A:$A,0)),IF(GJ$1=INDEX('Valo FX'!$R:$R,MATCH($A5,'Valo FX'!$A:$A,0)),INDEX(Base!$V:$V,MATCH($A5,Base!$A:$A,0)),0)))</f>
        <v>6.4028080000000003</v>
      </c>
      <c r="GK5" s="21">
        <f>IF(GK$1&lt;INDEX('Valo FX'!$Q:$Q,MATCH($A5,'Valo FX'!$A:$A,0)),0,IF(GK$1&lt;INDEX('Valo FX'!$R:$R,MATCH($A5,'Valo FX'!$A:$A,0)),INDEX(Base!$U:$U,MATCH($A5,Base!$A:$A,0)),IF(GK$1=INDEX('Valo FX'!$R:$R,MATCH($A5,'Valo FX'!$A:$A,0)),INDEX(Base!$V:$V,MATCH($A5,Base!$A:$A,0)),0)))</f>
        <v>6.4028080000000003</v>
      </c>
      <c r="GL5" s="21">
        <f>IF(GL$1&lt;INDEX('Valo FX'!$Q:$Q,MATCH($A5,'Valo FX'!$A:$A,0)),0,IF(GL$1&lt;INDEX('Valo FX'!$R:$R,MATCH($A5,'Valo FX'!$A:$A,0)),INDEX(Base!$U:$U,MATCH($A5,Base!$A:$A,0)),IF(GL$1=INDEX('Valo FX'!$R:$R,MATCH($A5,'Valo FX'!$A:$A,0)),INDEX(Base!$V:$V,MATCH($A5,Base!$A:$A,0)),0)))</f>
        <v>6.4028080000000003</v>
      </c>
      <c r="GM5" s="21">
        <f>IF(GM$1&lt;INDEX('Valo FX'!$Q:$Q,MATCH($A5,'Valo FX'!$A:$A,0)),0,IF(GM$1&lt;INDEX('Valo FX'!$R:$R,MATCH($A5,'Valo FX'!$A:$A,0)),INDEX(Base!$U:$U,MATCH($A5,Base!$A:$A,0)),IF(GM$1=INDEX('Valo FX'!$R:$R,MATCH($A5,'Valo FX'!$A:$A,0)),INDEX(Base!$V:$V,MATCH($A5,Base!$A:$A,0)),0)))</f>
        <v>6.4028080000000003</v>
      </c>
      <c r="GN5" s="21">
        <f>IF(GN$1&lt;INDEX('Valo FX'!$Q:$Q,MATCH($A5,'Valo FX'!$A:$A,0)),0,IF(GN$1&lt;INDEX('Valo FX'!$R:$R,MATCH($A5,'Valo FX'!$A:$A,0)),INDEX(Base!$U:$U,MATCH($A5,Base!$A:$A,0)),IF(GN$1=INDEX('Valo FX'!$R:$R,MATCH($A5,'Valo FX'!$A:$A,0)),INDEX(Base!$V:$V,MATCH($A5,Base!$A:$A,0)),0)))</f>
        <v>6.4028080000000003</v>
      </c>
      <c r="GO5" s="21">
        <f>IF(GO$1&lt;INDEX('Valo FX'!$Q:$Q,MATCH($A5,'Valo FX'!$A:$A,0)),0,IF(GO$1&lt;INDEX('Valo FX'!$R:$R,MATCH($A5,'Valo FX'!$A:$A,0)),INDEX(Base!$U:$U,MATCH($A5,Base!$A:$A,0)),IF(GO$1=INDEX('Valo FX'!$R:$R,MATCH($A5,'Valo FX'!$A:$A,0)),INDEX(Base!$V:$V,MATCH($A5,Base!$A:$A,0)),0)))</f>
        <v>6.4028080000000003</v>
      </c>
      <c r="GP5" s="21">
        <f>IF(GP$1&lt;INDEX('Valo FX'!$Q:$Q,MATCH($A5,'Valo FX'!$A:$A,0)),0,IF(GP$1&lt;INDEX('Valo FX'!$R:$R,MATCH($A5,'Valo FX'!$A:$A,0)),INDEX(Base!$U:$U,MATCH($A5,Base!$A:$A,0)),IF(GP$1=INDEX('Valo FX'!$R:$R,MATCH($A5,'Valo FX'!$A:$A,0)),INDEX(Base!$V:$V,MATCH($A5,Base!$A:$A,0)),0)))</f>
        <v>6.4028080000000003</v>
      </c>
      <c r="GQ5" s="21">
        <f>IF(GQ$1&lt;INDEX('Valo FX'!$Q:$Q,MATCH($A5,'Valo FX'!$A:$A,0)),0,IF(GQ$1&lt;INDEX('Valo FX'!$R:$R,MATCH($A5,'Valo FX'!$A:$A,0)),INDEX(Base!$U:$U,MATCH($A5,Base!$A:$A,0)),IF(GQ$1=INDEX('Valo FX'!$R:$R,MATCH($A5,'Valo FX'!$A:$A,0)),INDEX(Base!$V:$V,MATCH($A5,Base!$A:$A,0)),0)))</f>
        <v>6.4028080000000003</v>
      </c>
      <c r="GR5" s="21">
        <f>IF(GR$1&lt;INDEX('Valo FX'!$Q:$Q,MATCH($A5,'Valo FX'!$A:$A,0)),0,IF(GR$1&lt;INDEX('Valo FX'!$R:$R,MATCH($A5,'Valo FX'!$A:$A,0)),INDEX(Base!$U:$U,MATCH($A5,Base!$A:$A,0)),IF(GR$1=INDEX('Valo FX'!$R:$R,MATCH($A5,'Valo FX'!$A:$A,0)),INDEX(Base!$V:$V,MATCH($A5,Base!$A:$A,0)),0)))</f>
        <v>6.4028080000000003</v>
      </c>
      <c r="GS5" s="21">
        <f>IF(GS$1&lt;INDEX('Valo FX'!$Q:$Q,MATCH($A5,'Valo FX'!$A:$A,0)),0,IF(GS$1&lt;INDEX('Valo FX'!$R:$R,MATCH($A5,'Valo FX'!$A:$A,0)),INDEX(Base!$U:$U,MATCH($A5,Base!$A:$A,0)),IF(GS$1=INDEX('Valo FX'!$R:$R,MATCH($A5,'Valo FX'!$A:$A,0)),INDEX(Base!$V:$V,MATCH($A5,Base!$A:$A,0)),0)))</f>
        <v>6.4028080000000003</v>
      </c>
      <c r="GT5" s="21">
        <f>IF(GT$1&lt;INDEX('Valo FX'!$Q:$Q,MATCH($A5,'Valo FX'!$A:$A,0)),0,IF(GT$1&lt;INDEX('Valo FX'!$R:$R,MATCH($A5,'Valo FX'!$A:$A,0)),INDEX(Base!$U:$U,MATCH($A5,Base!$A:$A,0)),IF(GT$1=INDEX('Valo FX'!$R:$R,MATCH($A5,'Valo FX'!$A:$A,0)),INDEX(Base!$V:$V,MATCH($A5,Base!$A:$A,0)),0)))</f>
        <v>6.4028080000000003</v>
      </c>
      <c r="GU5" s="21">
        <f>IF(GU$1&lt;INDEX('Valo FX'!$Q:$Q,MATCH($A5,'Valo FX'!$A:$A,0)),0,IF(GU$1&lt;INDEX('Valo FX'!$R:$R,MATCH($A5,'Valo FX'!$A:$A,0)),INDEX(Base!$U:$U,MATCH($A5,Base!$A:$A,0)),IF(GU$1=INDEX('Valo FX'!$R:$R,MATCH($A5,'Valo FX'!$A:$A,0)),INDEX(Base!$V:$V,MATCH($A5,Base!$A:$A,0)),0)))</f>
        <v>6.4028080000000003</v>
      </c>
      <c r="GV5" s="21">
        <f>IF(GV$1&lt;INDEX('Valo FX'!$Q:$Q,MATCH($A5,'Valo FX'!$A:$A,0)),0,IF(GV$1&lt;INDEX('Valo FX'!$R:$R,MATCH($A5,'Valo FX'!$A:$A,0)),INDEX(Base!$U:$U,MATCH($A5,Base!$A:$A,0)),IF(GV$1=INDEX('Valo FX'!$R:$R,MATCH($A5,'Valo FX'!$A:$A,0)),INDEX(Base!$V:$V,MATCH($A5,Base!$A:$A,0)),0)))</f>
        <v>6.4028080000000003</v>
      </c>
      <c r="GW5" s="21">
        <f>IF(GW$1&lt;INDEX('Valo FX'!$Q:$Q,MATCH($A5,'Valo FX'!$A:$A,0)),0,IF(GW$1&lt;INDEX('Valo FX'!$R:$R,MATCH($A5,'Valo FX'!$A:$A,0)),INDEX(Base!$U:$U,MATCH($A5,Base!$A:$A,0)),IF(GW$1=INDEX('Valo FX'!$R:$R,MATCH($A5,'Valo FX'!$A:$A,0)),INDEX(Base!$V:$V,MATCH($A5,Base!$A:$A,0)),0)))</f>
        <v>6.4028080000000003</v>
      </c>
      <c r="GX5" s="21">
        <f>IF(GX$1&lt;INDEX('Valo FX'!$Q:$Q,MATCH($A5,'Valo FX'!$A:$A,0)),0,IF(GX$1&lt;INDEX('Valo FX'!$R:$R,MATCH($A5,'Valo FX'!$A:$A,0)),INDEX(Base!$U:$U,MATCH($A5,Base!$A:$A,0)),IF(GX$1=INDEX('Valo FX'!$R:$R,MATCH($A5,'Valo FX'!$A:$A,0)),INDEX(Base!$V:$V,MATCH($A5,Base!$A:$A,0)),0)))</f>
        <v>6.4028080000000003</v>
      </c>
      <c r="GY5" s="21">
        <f>IF(GY$1&lt;INDEX('Valo FX'!$Q:$Q,MATCH($A5,'Valo FX'!$A:$A,0)),0,IF(GY$1&lt;INDEX('Valo FX'!$R:$R,MATCH($A5,'Valo FX'!$A:$A,0)),INDEX(Base!$U:$U,MATCH($A5,Base!$A:$A,0)),IF(GY$1=INDEX('Valo FX'!$R:$R,MATCH($A5,'Valo FX'!$A:$A,0)),INDEX(Base!$V:$V,MATCH($A5,Base!$A:$A,0)),0)))</f>
        <v>6.4028080000000003</v>
      </c>
      <c r="GZ5" s="21">
        <f>IF(GZ$1&lt;INDEX('Valo FX'!$Q:$Q,MATCH($A5,'Valo FX'!$A:$A,0)),0,IF(GZ$1&lt;INDEX('Valo FX'!$R:$R,MATCH($A5,'Valo FX'!$A:$A,0)),INDEX(Base!$U:$U,MATCH($A5,Base!$A:$A,0)),IF(GZ$1=INDEX('Valo FX'!$R:$R,MATCH($A5,'Valo FX'!$A:$A,0)),INDEX(Base!$V:$V,MATCH($A5,Base!$A:$A,0)),0)))</f>
        <v>6.4028080000000003</v>
      </c>
      <c r="HA5" s="21">
        <f>IF(HA$1&lt;INDEX('Valo FX'!$Q:$Q,MATCH($A5,'Valo FX'!$A:$A,0)),0,IF(HA$1&lt;INDEX('Valo FX'!$R:$R,MATCH($A5,'Valo FX'!$A:$A,0)),INDEX(Base!$U:$U,MATCH($A5,Base!$A:$A,0)),IF(HA$1=INDEX('Valo FX'!$R:$R,MATCH($A5,'Valo FX'!$A:$A,0)),INDEX(Base!$V:$V,MATCH($A5,Base!$A:$A,0)),0)))</f>
        <v>6.4028080000000003</v>
      </c>
      <c r="HB5" s="21">
        <f>IF(HB$1&lt;INDEX('Valo FX'!$Q:$Q,MATCH($A5,'Valo FX'!$A:$A,0)),0,IF(HB$1&lt;INDEX('Valo FX'!$R:$R,MATCH($A5,'Valo FX'!$A:$A,0)),INDEX(Base!$U:$U,MATCH($A5,Base!$A:$A,0)),IF(HB$1=INDEX('Valo FX'!$R:$R,MATCH($A5,'Valo FX'!$A:$A,0)),INDEX(Base!$V:$V,MATCH($A5,Base!$A:$A,0)),0)))</f>
        <v>6.4028080000000003</v>
      </c>
      <c r="HC5" s="21">
        <f>IF(HC$1&lt;INDEX('Valo FX'!$Q:$Q,MATCH($A5,'Valo FX'!$A:$A,0)),0,IF(HC$1&lt;INDEX('Valo FX'!$R:$R,MATCH($A5,'Valo FX'!$A:$A,0)),INDEX(Base!$U:$U,MATCH($A5,Base!$A:$A,0)),IF(HC$1=INDEX('Valo FX'!$R:$R,MATCH($A5,'Valo FX'!$A:$A,0)),INDEX(Base!$V:$V,MATCH($A5,Base!$A:$A,0)),0)))</f>
        <v>6.4028080000000003</v>
      </c>
      <c r="HD5" s="21">
        <f>IF(HD$1&lt;INDEX('Valo FX'!$Q:$Q,MATCH($A5,'Valo FX'!$A:$A,0)),0,IF(HD$1&lt;INDEX('Valo FX'!$R:$R,MATCH($A5,'Valo FX'!$A:$A,0)),INDEX(Base!$U:$U,MATCH($A5,Base!$A:$A,0)),IF(HD$1=INDEX('Valo FX'!$R:$R,MATCH($A5,'Valo FX'!$A:$A,0)),INDEX(Base!$V:$V,MATCH($A5,Base!$A:$A,0)),0)))</f>
        <v>6.4028080000000003</v>
      </c>
      <c r="HE5" s="21">
        <f>IF(HE$1&lt;INDEX('Valo FX'!$Q:$Q,MATCH($A5,'Valo FX'!$A:$A,0)),0,IF(HE$1&lt;INDEX('Valo FX'!$R:$R,MATCH($A5,'Valo FX'!$A:$A,0)),INDEX(Base!$U:$U,MATCH($A5,Base!$A:$A,0)),IF(HE$1=INDEX('Valo FX'!$R:$R,MATCH($A5,'Valo FX'!$A:$A,0)),INDEX(Base!$V:$V,MATCH($A5,Base!$A:$A,0)),0)))</f>
        <v>6.4028080000000003</v>
      </c>
      <c r="HF5" s="21">
        <f>IF(HF$1&lt;INDEX('Valo FX'!$Q:$Q,MATCH($A5,'Valo FX'!$A:$A,0)),0,IF(HF$1&lt;INDEX('Valo FX'!$R:$R,MATCH($A5,'Valo FX'!$A:$A,0)),INDEX(Base!$U:$U,MATCH($A5,Base!$A:$A,0)),IF(HF$1=INDEX('Valo FX'!$R:$R,MATCH($A5,'Valo FX'!$A:$A,0)),INDEX(Base!$V:$V,MATCH($A5,Base!$A:$A,0)),0)))</f>
        <v>6.4028080000000003</v>
      </c>
      <c r="HG5" s="21">
        <f>IF(HG$1&lt;INDEX('Valo FX'!$Q:$Q,MATCH($A5,'Valo FX'!$A:$A,0)),0,IF(HG$1&lt;INDEX('Valo FX'!$R:$R,MATCH($A5,'Valo FX'!$A:$A,0)),INDEX(Base!$U:$U,MATCH($A5,Base!$A:$A,0)),IF(HG$1=INDEX('Valo FX'!$R:$R,MATCH($A5,'Valo FX'!$A:$A,0)),INDEX(Base!$V:$V,MATCH($A5,Base!$A:$A,0)),0)))</f>
        <v>6.4028080000000003</v>
      </c>
      <c r="HH5" s="21">
        <f>IF(HH$1&lt;INDEX('Valo FX'!$Q:$Q,MATCH($A5,'Valo FX'!$A:$A,0)),0,IF(HH$1&lt;INDEX('Valo FX'!$R:$R,MATCH($A5,'Valo FX'!$A:$A,0)),INDEX(Base!$U:$U,MATCH($A5,Base!$A:$A,0)),IF(HH$1=INDEX('Valo FX'!$R:$R,MATCH($A5,'Valo FX'!$A:$A,0)),INDEX(Base!$V:$V,MATCH($A5,Base!$A:$A,0)),0)))</f>
        <v>6.4028080000000003</v>
      </c>
      <c r="HI5" s="21">
        <f>IF(HI$1&lt;INDEX('Valo FX'!$Q:$Q,MATCH($A5,'Valo FX'!$A:$A,0)),0,IF(HI$1&lt;INDEX('Valo FX'!$R:$R,MATCH($A5,'Valo FX'!$A:$A,0)),INDEX(Base!$U:$U,MATCH($A5,Base!$A:$A,0)),IF(HI$1=INDEX('Valo FX'!$R:$R,MATCH($A5,'Valo FX'!$A:$A,0)),INDEX(Base!$V:$V,MATCH($A5,Base!$A:$A,0)),0)))</f>
        <v>6.4028080000000003</v>
      </c>
      <c r="HJ5" s="21">
        <f>IF(HJ$1&lt;INDEX('Valo FX'!$Q:$Q,MATCH($A5,'Valo FX'!$A:$A,0)),0,IF(HJ$1&lt;INDEX('Valo FX'!$R:$R,MATCH($A5,'Valo FX'!$A:$A,0)),INDEX(Base!$U:$U,MATCH($A5,Base!$A:$A,0)),IF(HJ$1=INDEX('Valo FX'!$R:$R,MATCH($A5,'Valo FX'!$A:$A,0)),INDEX(Base!$V:$V,MATCH($A5,Base!$A:$A,0)),0)))</f>
        <v>6.4028080000000003</v>
      </c>
      <c r="HK5" s="21">
        <f>IF(HK$1&lt;INDEX('Valo FX'!$Q:$Q,MATCH($A5,'Valo FX'!$A:$A,0)),0,IF(HK$1&lt;INDEX('Valo FX'!$R:$R,MATCH($A5,'Valo FX'!$A:$A,0)),INDEX(Base!$U:$U,MATCH($A5,Base!$A:$A,0)),IF(HK$1=INDEX('Valo FX'!$R:$R,MATCH($A5,'Valo FX'!$A:$A,0)),INDEX(Base!$V:$V,MATCH($A5,Base!$A:$A,0)),0)))</f>
        <v>6.4028080000000003</v>
      </c>
      <c r="HL5" s="21">
        <f>IF(HL$1&lt;INDEX('Valo FX'!$Q:$Q,MATCH($A5,'Valo FX'!$A:$A,0)),0,IF(HL$1&lt;INDEX('Valo FX'!$R:$R,MATCH($A5,'Valo FX'!$A:$A,0)),INDEX(Base!$U:$U,MATCH($A5,Base!$A:$A,0)),IF(HL$1=INDEX('Valo FX'!$R:$R,MATCH($A5,'Valo FX'!$A:$A,0)),INDEX(Base!$V:$V,MATCH($A5,Base!$A:$A,0)),0)))</f>
        <v>6.4028080000000003</v>
      </c>
      <c r="HM5" s="21">
        <f>IF(HM$1&lt;INDEX('Valo FX'!$Q:$Q,MATCH($A5,'Valo FX'!$A:$A,0)),0,IF(HM$1&lt;INDEX('Valo FX'!$R:$R,MATCH($A5,'Valo FX'!$A:$A,0)),INDEX(Base!$U:$U,MATCH($A5,Base!$A:$A,0)),IF(HM$1=INDEX('Valo FX'!$R:$R,MATCH($A5,'Valo FX'!$A:$A,0)),INDEX(Base!$V:$V,MATCH($A5,Base!$A:$A,0)),0)))</f>
        <v>6.4028080000000003</v>
      </c>
      <c r="HN5" s="21">
        <f>IF(HN$1&lt;INDEX('Valo FX'!$Q:$Q,MATCH($A5,'Valo FX'!$A:$A,0)),0,IF(HN$1&lt;INDEX('Valo FX'!$R:$R,MATCH($A5,'Valo FX'!$A:$A,0)),INDEX(Base!$U:$U,MATCH($A5,Base!$A:$A,0)),IF(HN$1=INDEX('Valo FX'!$R:$R,MATCH($A5,'Valo FX'!$A:$A,0)),INDEX(Base!$V:$V,MATCH($A5,Base!$A:$A,0)),0)))</f>
        <v>6.4028080000000003</v>
      </c>
      <c r="HO5" s="21">
        <f>IF(HO$1&lt;INDEX('Valo FX'!$Q:$Q,MATCH($A5,'Valo FX'!$A:$A,0)),0,IF(HO$1&lt;INDEX('Valo FX'!$R:$R,MATCH($A5,'Valo FX'!$A:$A,0)),INDEX(Base!$U:$U,MATCH($A5,Base!$A:$A,0)),IF(HO$1=INDEX('Valo FX'!$R:$R,MATCH($A5,'Valo FX'!$A:$A,0)),INDEX(Base!$V:$V,MATCH($A5,Base!$A:$A,0)),0)))</f>
        <v>6.4028080000000003</v>
      </c>
      <c r="HP5" s="21">
        <f>IF(HP$1&lt;INDEX('Valo FX'!$Q:$Q,MATCH($A5,'Valo FX'!$A:$A,0)),0,IF(HP$1&lt;INDEX('Valo FX'!$R:$R,MATCH($A5,'Valo FX'!$A:$A,0)),INDEX(Base!$U:$U,MATCH($A5,Base!$A:$A,0)),IF(HP$1=INDEX('Valo FX'!$R:$R,MATCH($A5,'Valo FX'!$A:$A,0)),INDEX(Base!$V:$V,MATCH($A5,Base!$A:$A,0)),0)))</f>
        <v>6.4028080000000003</v>
      </c>
      <c r="HQ5" s="21">
        <f>IF(HQ$1&lt;INDEX('Valo FX'!$Q:$Q,MATCH($A5,'Valo FX'!$A:$A,0)),0,IF(HQ$1&lt;INDEX('Valo FX'!$R:$R,MATCH($A5,'Valo FX'!$A:$A,0)),INDEX(Base!$U:$U,MATCH($A5,Base!$A:$A,0)),IF(HQ$1=INDEX('Valo FX'!$R:$R,MATCH($A5,'Valo FX'!$A:$A,0)),INDEX(Base!$V:$V,MATCH($A5,Base!$A:$A,0)),0)))</f>
        <v>6.4028080000000003</v>
      </c>
      <c r="HR5" s="21">
        <f>IF(HR$1&lt;INDEX('Valo FX'!$Q:$Q,MATCH($A5,'Valo FX'!$A:$A,0)),0,IF(HR$1&lt;INDEX('Valo FX'!$R:$R,MATCH($A5,'Valo FX'!$A:$A,0)),INDEX(Base!$U:$U,MATCH($A5,Base!$A:$A,0)),IF(HR$1=INDEX('Valo FX'!$R:$R,MATCH($A5,'Valo FX'!$A:$A,0)),INDEX(Base!$V:$V,MATCH($A5,Base!$A:$A,0)),0)))</f>
        <v>6.4028080000000003</v>
      </c>
      <c r="HS5" s="21">
        <f>IF(HS$1&lt;INDEX('Valo FX'!$Q:$Q,MATCH($A5,'Valo FX'!$A:$A,0)),0,IF(HS$1&lt;INDEX('Valo FX'!$R:$R,MATCH($A5,'Valo FX'!$A:$A,0)),INDEX(Base!$U:$U,MATCH($A5,Base!$A:$A,0)),IF(HS$1=INDEX('Valo FX'!$R:$R,MATCH($A5,'Valo FX'!$A:$A,0)),INDEX(Base!$V:$V,MATCH($A5,Base!$A:$A,0)),0)))</f>
        <v>6.4028080000000003</v>
      </c>
      <c r="HT5" s="21">
        <f>IF(HT$1&lt;INDEX('Valo FX'!$Q:$Q,MATCH($A5,'Valo FX'!$A:$A,0)),0,IF(HT$1&lt;INDEX('Valo FX'!$R:$R,MATCH($A5,'Valo FX'!$A:$A,0)),INDEX(Base!$U:$U,MATCH($A5,Base!$A:$A,0)),IF(HT$1=INDEX('Valo FX'!$R:$R,MATCH($A5,'Valo FX'!$A:$A,0)),INDEX(Base!$V:$V,MATCH($A5,Base!$A:$A,0)),0)))</f>
        <v>6.4028080000000003</v>
      </c>
      <c r="HU5" s="21">
        <f>IF(HU$1&lt;INDEX('Valo FX'!$Q:$Q,MATCH($A5,'Valo FX'!$A:$A,0)),0,IF(HU$1&lt;INDEX('Valo FX'!$R:$R,MATCH($A5,'Valo FX'!$A:$A,0)),INDEX(Base!$U:$U,MATCH($A5,Base!$A:$A,0)),IF(HU$1=INDEX('Valo FX'!$R:$R,MATCH($A5,'Valo FX'!$A:$A,0)),INDEX(Base!$V:$V,MATCH($A5,Base!$A:$A,0)),0)))</f>
        <v>6.4028080000000003</v>
      </c>
      <c r="HV5" s="21">
        <f>IF(HV$1&lt;INDEX('Valo FX'!$Q:$Q,MATCH($A5,'Valo FX'!$A:$A,0)),0,IF(HV$1&lt;INDEX('Valo FX'!$R:$R,MATCH($A5,'Valo FX'!$A:$A,0)),INDEX(Base!$U:$U,MATCH($A5,Base!$A:$A,0)),IF(HV$1=INDEX('Valo FX'!$R:$R,MATCH($A5,'Valo FX'!$A:$A,0)),INDEX(Base!$V:$V,MATCH($A5,Base!$A:$A,0)),0)))</f>
        <v>6.4028080000000003</v>
      </c>
      <c r="HW5" s="21">
        <f>IF(HW$1&lt;INDEX('Valo FX'!$Q:$Q,MATCH($A5,'Valo FX'!$A:$A,0)),0,IF(HW$1&lt;INDEX('Valo FX'!$R:$R,MATCH($A5,'Valo FX'!$A:$A,0)),INDEX(Base!$U:$U,MATCH($A5,Base!$A:$A,0)),IF(HW$1=INDEX('Valo FX'!$R:$R,MATCH($A5,'Valo FX'!$A:$A,0)),INDEX(Base!$V:$V,MATCH($A5,Base!$A:$A,0)),0)))</f>
        <v>6.4028080000000003</v>
      </c>
      <c r="HX5" s="21">
        <f>IF(HX$1&lt;INDEX('Valo FX'!$Q:$Q,MATCH($A5,'Valo FX'!$A:$A,0)),0,IF(HX$1&lt;INDEX('Valo FX'!$R:$R,MATCH($A5,'Valo FX'!$A:$A,0)),INDEX(Base!$U:$U,MATCH($A5,Base!$A:$A,0)),IF(HX$1=INDEX('Valo FX'!$R:$R,MATCH($A5,'Valo FX'!$A:$A,0)),INDEX(Base!$V:$V,MATCH($A5,Base!$A:$A,0)),0)))</f>
        <v>6.4028080000000003</v>
      </c>
      <c r="HY5" s="21">
        <f>IF(HY$1&lt;INDEX('Valo FX'!$Q:$Q,MATCH($A5,'Valo FX'!$A:$A,0)),0,IF(HY$1&lt;INDEX('Valo FX'!$R:$R,MATCH($A5,'Valo FX'!$A:$A,0)),INDEX(Base!$U:$U,MATCH($A5,Base!$A:$A,0)),IF(HY$1=INDEX('Valo FX'!$R:$R,MATCH($A5,'Valo FX'!$A:$A,0)),INDEX(Base!$V:$V,MATCH($A5,Base!$A:$A,0)),0)))</f>
        <v>6.4028080000000003</v>
      </c>
      <c r="HZ5" s="21">
        <f>IF(HZ$1&lt;INDEX('Valo FX'!$Q:$Q,MATCH($A5,'Valo FX'!$A:$A,0)),0,IF(HZ$1&lt;INDEX('Valo FX'!$R:$R,MATCH($A5,'Valo FX'!$A:$A,0)),INDEX(Base!$U:$U,MATCH($A5,Base!$A:$A,0)),IF(HZ$1=INDEX('Valo FX'!$R:$R,MATCH($A5,'Valo FX'!$A:$A,0)),INDEX(Base!$V:$V,MATCH($A5,Base!$A:$A,0)),0)))</f>
        <v>6.4028080000000003</v>
      </c>
      <c r="IA5" s="21">
        <f>IF(IA$1&lt;INDEX('Valo FX'!$Q:$Q,MATCH($A5,'Valo FX'!$A:$A,0)),0,IF(IA$1&lt;INDEX('Valo FX'!$R:$R,MATCH($A5,'Valo FX'!$A:$A,0)),INDEX(Base!$U:$U,MATCH($A5,Base!$A:$A,0)),IF(IA$1=INDEX('Valo FX'!$R:$R,MATCH($A5,'Valo FX'!$A:$A,0)),INDEX(Base!$V:$V,MATCH($A5,Base!$A:$A,0)),0)))</f>
        <v>6.4028080000000003</v>
      </c>
      <c r="IB5" s="21">
        <f>IF(IB$1&lt;INDEX('Valo FX'!$Q:$Q,MATCH($A5,'Valo FX'!$A:$A,0)),0,IF(IB$1&lt;INDEX('Valo FX'!$R:$R,MATCH($A5,'Valo FX'!$A:$A,0)),INDEX(Base!$U:$U,MATCH($A5,Base!$A:$A,0)),IF(IB$1=INDEX('Valo FX'!$R:$R,MATCH($A5,'Valo FX'!$A:$A,0)),INDEX(Base!$V:$V,MATCH($A5,Base!$A:$A,0)),0)))</f>
        <v>6.4028080000000003</v>
      </c>
      <c r="IC5" s="21">
        <f>IF(IC$1&lt;INDEX('Valo FX'!$Q:$Q,MATCH($A5,'Valo FX'!$A:$A,0)),0,IF(IC$1&lt;INDEX('Valo FX'!$R:$R,MATCH($A5,'Valo FX'!$A:$A,0)),INDEX(Base!$U:$U,MATCH($A5,Base!$A:$A,0)),IF(IC$1=INDEX('Valo FX'!$R:$R,MATCH($A5,'Valo FX'!$A:$A,0)),INDEX(Base!$V:$V,MATCH($A5,Base!$A:$A,0)),0)))</f>
        <v>6.4028080000000003</v>
      </c>
      <c r="ID5" s="21">
        <f>IF(ID$1&lt;INDEX('Valo FX'!$Q:$Q,MATCH($A5,'Valo FX'!$A:$A,0)),0,IF(ID$1&lt;INDEX('Valo FX'!$R:$R,MATCH($A5,'Valo FX'!$A:$A,0)),INDEX(Base!$U:$U,MATCH($A5,Base!$A:$A,0)),IF(ID$1=INDEX('Valo FX'!$R:$R,MATCH($A5,'Valo FX'!$A:$A,0)),INDEX(Base!$V:$V,MATCH($A5,Base!$A:$A,0)),0)))</f>
        <v>6.4028080000000003</v>
      </c>
      <c r="IE5" s="21">
        <f>IF(IE$1&lt;INDEX('Valo FX'!$Q:$Q,MATCH($A5,'Valo FX'!$A:$A,0)),0,IF(IE$1&lt;INDEX('Valo FX'!$R:$R,MATCH($A5,'Valo FX'!$A:$A,0)),INDEX(Base!$U:$U,MATCH($A5,Base!$A:$A,0)),IF(IE$1=INDEX('Valo FX'!$R:$R,MATCH($A5,'Valo FX'!$A:$A,0)),INDEX(Base!$V:$V,MATCH($A5,Base!$A:$A,0)),0)))</f>
        <v>6.4028080000000003</v>
      </c>
      <c r="IF5" s="21">
        <f>IF(IF$1&lt;INDEX('Valo FX'!$Q:$Q,MATCH($A5,'Valo FX'!$A:$A,0)),0,IF(IF$1&lt;INDEX('Valo FX'!$R:$R,MATCH($A5,'Valo FX'!$A:$A,0)),INDEX(Base!$U:$U,MATCH($A5,Base!$A:$A,0)),IF(IF$1=INDEX('Valo FX'!$R:$R,MATCH($A5,'Valo FX'!$A:$A,0)),INDEX(Base!$V:$V,MATCH($A5,Base!$A:$A,0)),0)))</f>
        <v>6.4028080000000003</v>
      </c>
      <c r="IG5" s="21">
        <f>IF(IG$1&lt;INDEX('Valo FX'!$Q:$Q,MATCH($A5,'Valo FX'!$A:$A,0)),0,IF(IG$1&lt;INDEX('Valo FX'!$R:$R,MATCH($A5,'Valo FX'!$A:$A,0)),INDEX(Base!$U:$U,MATCH($A5,Base!$A:$A,0)),IF(IG$1=INDEX('Valo FX'!$R:$R,MATCH($A5,'Valo FX'!$A:$A,0)),INDEX(Base!$V:$V,MATCH($A5,Base!$A:$A,0)),0)))</f>
        <v>6.4028080000000003</v>
      </c>
      <c r="IH5" s="21">
        <f>IF(IH$1&lt;INDEX('Valo FX'!$Q:$Q,MATCH($A5,'Valo FX'!$A:$A,0)),0,IF(IH$1&lt;INDEX('Valo FX'!$R:$R,MATCH($A5,'Valo FX'!$A:$A,0)),INDEX(Base!$U:$U,MATCH($A5,Base!$A:$A,0)),IF(IH$1=INDEX('Valo FX'!$R:$R,MATCH($A5,'Valo FX'!$A:$A,0)),INDEX(Base!$V:$V,MATCH($A5,Base!$A:$A,0)),0)))</f>
        <v>6.4028080000000003</v>
      </c>
      <c r="II5" s="21">
        <f>IF(II$1&lt;INDEX('Valo FX'!$Q:$Q,MATCH($A5,'Valo FX'!$A:$A,0)),0,IF(II$1&lt;INDEX('Valo FX'!$R:$R,MATCH($A5,'Valo FX'!$A:$A,0)),INDEX(Base!$U:$U,MATCH($A5,Base!$A:$A,0)),IF(II$1=INDEX('Valo FX'!$R:$R,MATCH($A5,'Valo FX'!$A:$A,0)),INDEX(Base!$V:$V,MATCH($A5,Base!$A:$A,0)),0)))</f>
        <v>6.4028080000000003</v>
      </c>
      <c r="IJ5" s="21">
        <f>IF(IJ$1&lt;INDEX('Valo FX'!$Q:$Q,MATCH($A5,'Valo FX'!$A:$A,0)),0,IF(IJ$1&lt;INDEX('Valo FX'!$R:$R,MATCH($A5,'Valo FX'!$A:$A,0)),INDEX(Base!$U:$U,MATCH($A5,Base!$A:$A,0)),IF(IJ$1=INDEX('Valo FX'!$R:$R,MATCH($A5,'Valo FX'!$A:$A,0)),INDEX(Base!$V:$V,MATCH($A5,Base!$A:$A,0)),0)))</f>
        <v>6.4028080000000003</v>
      </c>
      <c r="IK5" s="21">
        <f>IF(IK$1&lt;INDEX('Valo FX'!$Q:$Q,MATCH($A5,'Valo FX'!$A:$A,0)),0,IF(IK$1&lt;INDEX('Valo FX'!$R:$R,MATCH($A5,'Valo FX'!$A:$A,0)),INDEX(Base!$U:$U,MATCH($A5,Base!$A:$A,0)),IF(IK$1=INDEX('Valo FX'!$R:$R,MATCH($A5,'Valo FX'!$A:$A,0)),INDEX(Base!$V:$V,MATCH($A5,Base!$A:$A,0)),0)))</f>
        <v>6.4028080000000003</v>
      </c>
      <c r="IL5" s="21">
        <f>IF(IL$1&lt;INDEX('Valo FX'!$Q:$Q,MATCH($A5,'Valo FX'!$A:$A,0)),0,IF(IL$1&lt;INDEX('Valo FX'!$R:$R,MATCH($A5,'Valo FX'!$A:$A,0)),INDEX(Base!$U:$U,MATCH($A5,Base!$A:$A,0)),IF(IL$1=INDEX('Valo FX'!$R:$R,MATCH($A5,'Valo FX'!$A:$A,0)),INDEX(Base!$V:$V,MATCH($A5,Base!$A:$A,0)),0)))</f>
        <v>6.4028080000000003</v>
      </c>
      <c r="IM5" s="21">
        <f>IF(IM$1&lt;INDEX('Valo FX'!$Q:$Q,MATCH($A5,'Valo FX'!$A:$A,0)),0,IF(IM$1&lt;INDEX('Valo FX'!$R:$R,MATCH($A5,'Valo FX'!$A:$A,0)),INDEX(Base!$U:$U,MATCH($A5,Base!$A:$A,0)),IF(IM$1=INDEX('Valo FX'!$R:$R,MATCH($A5,'Valo FX'!$A:$A,0)),INDEX(Base!$V:$V,MATCH($A5,Base!$A:$A,0)),0)))</f>
        <v>6.4028080000000003</v>
      </c>
      <c r="IN5" s="21">
        <f>IF(IN$1&lt;INDEX('Valo FX'!$Q:$Q,MATCH($A5,'Valo FX'!$A:$A,0)),0,IF(IN$1&lt;INDEX('Valo FX'!$R:$R,MATCH($A5,'Valo FX'!$A:$A,0)),INDEX(Base!$U:$U,MATCH($A5,Base!$A:$A,0)),IF(IN$1=INDEX('Valo FX'!$R:$R,MATCH($A5,'Valo FX'!$A:$A,0)),INDEX(Base!$V:$V,MATCH($A5,Base!$A:$A,0)),0)))</f>
        <v>6.4028080000000003</v>
      </c>
      <c r="IO5" s="21">
        <f>IF(IO$1&lt;INDEX('Valo FX'!$Q:$Q,MATCH($A5,'Valo FX'!$A:$A,0)),0,IF(IO$1&lt;INDEX('Valo FX'!$R:$R,MATCH($A5,'Valo FX'!$A:$A,0)),INDEX(Base!$U:$U,MATCH($A5,Base!$A:$A,0)),IF(IO$1=INDEX('Valo FX'!$R:$R,MATCH($A5,'Valo FX'!$A:$A,0)),INDEX(Base!$V:$V,MATCH($A5,Base!$A:$A,0)),0)))</f>
        <v>6.4028080000000003</v>
      </c>
      <c r="IP5" s="21">
        <f>IF(IP$1&lt;INDEX('Valo FX'!$Q:$Q,MATCH($A5,'Valo FX'!$A:$A,0)),0,IF(IP$1&lt;INDEX('Valo FX'!$R:$R,MATCH($A5,'Valo FX'!$A:$A,0)),INDEX(Base!$U:$U,MATCH($A5,Base!$A:$A,0)),IF(IP$1=INDEX('Valo FX'!$R:$R,MATCH($A5,'Valo FX'!$A:$A,0)),INDEX(Base!$V:$V,MATCH($A5,Base!$A:$A,0)),0)))</f>
        <v>6.4028080000000003</v>
      </c>
      <c r="IQ5" s="21">
        <f>IF(IQ$1&lt;INDEX('Valo FX'!$Q:$Q,MATCH($A5,'Valo FX'!$A:$A,0)),0,IF(IQ$1&lt;INDEX('Valo FX'!$R:$R,MATCH($A5,'Valo FX'!$A:$A,0)),INDEX(Base!$U:$U,MATCH($A5,Base!$A:$A,0)),IF(IQ$1=INDEX('Valo FX'!$R:$R,MATCH($A5,'Valo FX'!$A:$A,0)),INDEX(Base!$V:$V,MATCH($A5,Base!$A:$A,0)),0)))</f>
        <v>6.4028080000000003</v>
      </c>
      <c r="IR5" s="21">
        <f>IF(IR$1&lt;INDEX('Valo FX'!$Q:$Q,MATCH($A5,'Valo FX'!$A:$A,0)),0,IF(IR$1&lt;INDEX('Valo FX'!$R:$R,MATCH($A5,'Valo FX'!$A:$A,0)),INDEX(Base!$U:$U,MATCH($A5,Base!$A:$A,0)),IF(IR$1=INDEX('Valo FX'!$R:$R,MATCH($A5,'Valo FX'!$A:$A,0)),INDEX(Base!$V:$V,MATCH($A5,Base!$A:$A,0)),0)))</f>
        <v>6.4028080000000003</v>
      </c>
      <c r="IS5" s="21">
        <f>IF(IS$1&lt;INDEX('Valo FX'!$Q:$Q,MATCH($A5,'Valo FX'!$A:$A,0)),0,IF(IS$1&lt;INDEX('Valo FX'!$R:$R,MATCH($A5,'Valo FX'!$A:$A,0)),INDEX(Base!$U:$U,MATCH($A5,Base!$A:$A,0)),IF(IS$1=INDEX('Valo FX'!$R:$R,MATCH($A5,'Valo FX'!$A:$A,0)),INDEX(Base!$V:$V,MATCH($A5,Base!$A:$A,0)),0)))</f>
        <v>6.4028080000000003</v>
      </c>
      <c r="IT5" s="21">
        <f>IF(IT$1&lt;INDEX('Valo FX'!$Q:$Q,MATCH($A5,'Valo FX'!$A:$A,0)),0,IF(IT$1&lt;INDEX('Valo FX'!$R:$R,MATCH($A5,'Valo FX'!$A:$A,0)),INDEX(Base!$U:$U,MATCH($A5,Base!$A:$A,0)),IF(IT$1=INDEX('Valo FX'!$R:$R,MATCH($A5,'Valo FX'!$A:$A,0)),INDEX(Base!$V:$V,MATCH($A5,Base!$A:$A,0)),0)))</f>
        <v>6.4028080000000003</v>
      </c>
      <c r="IU5" s="21">
        <f>IF(IU$1&lt;INDEX('Valo FX'!$Q:$Q,MATCH($A5,'Valo FX'!$A:$A,0)),0,IF(IU$1&lt;INDEX('Valo FX'!$R:$R,MATCH($A5,'Valo FX'!$A:$A,0)),INDEX(Base!$U:$U,MATCH($A5,Base!$A:$A,0)),IF(IU$1=INDEX('Valo FX'!$R:$R,MATCH($A5,'Valo FX'!$A:$A,0)),INDEX(Base!$V:$V,MATCH($A5,Base!$A:$A,0)),0)))</f>
        <v>6.4028080000000003</v>
      </c>
      <c r="IV5" s="21">
        <f>IF(IV$1&lt;INDEX('Valo FX'!$Q:$Q,MATCH($A5,'Valo FX'!$A:$A,0)),0,IF(IV$1&lt;INDEX('Valo FX'!$R:$R,MATCH($A5,'Valo FX'!$A:$A,0)),INDEX(Base!$U:$U,MATCH($A5,Base!$A:$A,0)),IF(IV$1=INDEX('Valo FX'!$R:$R,MATCH($A5,'Valo FX'!$A:$A,0)),INDEX(Base!$V:$V,MATCH($A5,Base!$A:$A,0)),0)))</f>
        <v>6.4028080000000003</v>
      </c>
      <c r="IW5" s="21">
        <f>IF(IW$1&lt;INDEX('Valo FX'!$Q:$Q,MATCH($A5,'Valo FX'!$A:$A,0)),0,IF(IW$1&lt;INDEX('Valo FX'!$R:$R,MATCH($A5,'Valo FX'!$A:$A,0)),INDEX(Base!$U:$U,MATCH($A5,Base!$A:$A,0)),IF(IW$1=INDEX('Valo FX'!$R:$R,MATCH($A5,'Valo FX'!$A:$A,0)),INDEX(Base!$V:$V,MATCH($A5,Base!$A:$A,0)),0)))</f>
        <v>6.4028080000000003</v>
      </c>
      <c r="IX5" s="21">
        <f>IF(IX$1&lt;INDEX('Valo FX'!$Q:$Q,MATCH($A5,'Valo FX'!$A:$A,0)),0,IF(IX$1&lt;INDEX('Valo FX'!$R:$R,MATCH($A5,'Valo FX'!$A:$A,0)),INDEX(Base!$U:$U,MATCH($A5,Base!$A:$A,0)),IF(IX$1=INDEX('Valo FX'!$R:$R,MATCH($A5,'Valo FX'!$A:$A,0)),INDEX(Base!$V:$V,MATCH($A5,Base!$A:$A,0)),0)))</f>
        <v>6.4028080000000003</v>
      </c>
      <c r="IY5" s="21">
        <f>IF(IY$1&lt;INDEX('Valo FX'!$Q:$Q,MATCH($A5,'Valo FX'!$A:$A,0)),0,IF(IY$1&lt;INDEX('Valo FX'!$R:$R,MATCH($A5,'Valo FX'!$A:$A,0)),INDEX(Base!$U:$U,MATCH($A5,Base!$A:$A,0)),IF(IY$1=INDEX('Valo FX'!$R:$R,MATCH($A5,'Valo FX'!$A:$A,0)),INDEX(Base!$V:$V,MATCH($A5,Base!$A:$A,0)),0)))</f>
        <v>6.4028080000000003</v>
      </c>
      <c r="IZ5" s="21">
        <f>IF(IZ$1&lt;INDEX('Valo FX'!$Q:$Q,MATCH($A5,'Valo FX'!$A:$A,0)),0,IF(IZ$1&lt;INDEX('Valo FX'!$R:$R,MATCH($A5,'Valo FX'!$A:$A,0)),INDEX(Base!$U:$U,MATCH($A5,Base!$A:$A,0)),IF(IZ$1=INDEX('Valo FX'!$R:$R,MATCH($A5,'Valo FX'!$A:$A,0)),INDEX(Base!$V:$V,MATCH($A5,Base!$A:$A,0)),0)))</f>
        <v>6.4028080000000003</v>
      </c>
      <c r="JA5" s="21">
        <f>IF(JA$1&lt;INDEX('Valo FX'!$Q:$Q,MATCH($A5,'Valo FX'!$A:$A,0)),0,IF(JA$1&lt;INDEX('Valo FX'!$R:$R,MATCH($A5,'Valo FX'!$A:$A,0)),INDEX(Base!$U:$U,MATCH($A5,Base!$A:$A,0)),IF(JA$1=INDEX('Valo FX'!$R:$R,MATCH($A5,'Valo FX'!$A:$A,0)),INDEX(Base!$V:$V,MATCH($A5,Base!$A:$A,0)),0)))</f>
        <v>6.4028080000000003</v>
      </c>
      <c r="JB5" s="21">
        <f>IF(JB$1&lt;INDEX('Valo FX'!$Q:$Q,MATCH($A5,'Valo FX'!$A:$A,0)),0,IF(JB$1&lt;INDEX('Valo FX'!$R:$R,MATCH($A5,'Valo FX'!$A:$A,0)),INDEX(Base!$U:$U,MATCH($A5,Base!$A:$A,0)),IF(JB$1=INDEX('Valo FX'!$R:$R,MATCH($A5,'Valo FX'!$A:$A,0)),INDEX(Base!$V:$V,MATCH($A5,Base!$A:$A,0)),0)))</f>
        <v>6.4028080000000003</v>
      </c>
      <c r="JC5" s="21">
        <f>IF(JC$1&lt;INDEX('Valo FX'!$Q:$Q,MATCH($A5,'Valo FX'!$A:$A,0)),0,IF(JC$1&lt;INDEX('Valo FX'!$R:$R,MATCH($A5,'Valo FX'!$A:$A,0)),INDEX(Base!$U:$U,MATCH($A5,Base!$A:$A,0)),IF(JC$1=INDEX('Valo FX'!$R:$R,MATCH($A5,'Valo FX'!$A:$A,0)),INDEX(Base!$V:$V,MATCH($A5,Base!$A:$A,0)),0)))</f>
        <v>6.4028080000000003</v>
      </c>
      <c r="JD5" s="21">
        <f>IF(JD$1&lt;INDEX('Valo FX'!$Q:$Q,MATCH($A5,'Valo FX'!$A:$A,0)),0,IF(JD$1&lt;INDEX('Valo FX'!$R:$R,MATCH($A5,'Valo FX'!$A:$A,0)),INDEX(Base!$U:$U,MATCH($A5,Base!$A:$A,0)),IF(JD$1=INDEX('Valo FX'!$R:$R,MATCH($A5,'Valo FX'!$A:$A,0)),INDEX(Base!$V:$V,MATCH($A5,Base!$A:$A,0)),0)))</f>
        <v>6.4028080000000003</v>
      </c>
      <c r="JE5" s="21">
        <f>IF(JE$1&lt;INDEX('Valo FX'!$Q:$Q,MATCH($A5,'Valo FX'!$A:$A,0)),0,IF(JE$1&lt;INDEX('Valo FX'!$R:$R,MATCH($A5,'Valo FX'!$A:$A,0)),INDEX(Base!$U:$U,MATCH($A5,Base!$A:$A,0)),IF(JE$1=INDEX('Valo FX'!$R:$R,MATCH($A5,'Valo FX'!$A:$A,0)),INDEX(Base!$V:$V,MATCH($A5,Base!$A:$A,0)),0)))</f>
        <v>6.4028080000000003</v>
      </c>
      <c r="JF5" s="21">
        <f>IF(JF$1&lt;INDEX('Valo FX'!$Q:$Q,MATCH($A5,'Valo FX'!$A:$A,0)),0,IF(JF$1&lt;INDEX('Valo FX'!$R:$R,MATCH($A5,'Valo FX'!$A:$A,0)),INDEX(Base!$U:$U,MATCH($A5,Base!$A:$A,0)),IF(JF$1=INDEX('Valo FX'!$R:$R,MATCH($A5,'Valo FX'!$A:$A,0)),INDEX(Base!$V:$V,MATCH($A5,Base!$A:$A,0)),0)))</f>
        <v>6.4028080000000003</v>
      </c>
      <c r="JG5" s="21">
        <f>IF(JG$1&lt;INDEX('Valo FX'!$Q:$Q,MATCH($A5,'Valo FX'!$A:$A,0)),0,IF(JG$1&lt;INDEX('Valo FX'!$R:$R,MATCH($A5,'Valo FX'!$A:$A,0)),INDEX(Base!$U:$U,MATCH($A5,Base!$A:$A,0)),IF(JG$1=INDEX('Valo FX'!$R:$R,MATCH($A5,'Valo FX'!$A:$A,0)),INDEX(Base!$V:$V,MATCH($A5,Base!$A:$A,0)),0)))</f>
        <v>6.4028080000000003</v>
      </c>
      <c r="JH5" s="21">
        <f>IF(JH$1&lt;INDEX('Valo FX'!$Q:$Q,MATCH($A5,'Valo FX'!$A:$A,0)),0,IF(JH$1&lt;INDEX('Valo FX'!$R:$R,MATCH($A5,'Valo FX'!$A:$A,0)),INDEX(Base!$U:$U,MATCH($A5,Base!$A:$A,0)),IF(JH$1=INDEX('Valo FX'!$R:$R,MATCH($A5,'Valo FX'!$A:$A,0)),INDEX(Base!$V:$V,MATCH($A5,Base!$A:$A,0)),0)))</f>
        <v>6.4028080000000003</v>
      </c>
      <c r="JI5" s="21">
        <f>IF(JI$1&lt;INDEX('Valo FX'!$Q:$Q,MATCH($A5,'Valo FX'!$A:$A,0)),0,IF(JI$1&lt;INDEX('Valo FX'!$R:$R,MATCH($A5,'Valo FX'!$A:$A,0)),INDEX(Base!$U:$U,MATCH($A5,Base!$A:$A,0)),IF(JI$1=INDEX('Valo FX'!$R:$R,MATCH($A5,'Valo FX'!$A:$A,0)),INDEX(Base!$V:$V,MATCH($A5,Base!$A:$A,0)),0)))</f>
        <v>6.4028080000000003</v>
      </c>
      <c r="JJ5" s="21">
        <f>IF(JJ$1&lt;INDEX('Valo FX'!$Q:$Q,MATCH($A5,'Valo FX'!$A:$A,0)),0,IF(JJ$1&lt;INDEX('Valo FX'!$R:$R,MATCH($A5,'Valo FX'!$A:$A,0)),INDEX(Base!$U:$U,MATCH($A5,Base!$A:$A,0)),IF(JJ$1=INDEX('Valo FX'!$R:$R,MATCH($A5,'Valo FX'!$A:$A,0)),INDEX(Base!$V:$V,MATCH($A5,Base!$A:$A,0)),0)))</f>
        <v>6.4028080000000003</v>
      </c>
      <c r="JK5" s="21">
        <f>IF(JK$1&lt;INDEX('Valo FX'!$Q:$Q,MATCH($A5,'Valo FX'!$A:$A,0)),0,IF(JK$1&lt;INDEX('Valo FX'!$R:$R,MATCH($A5,'Valo FX'!$A:$A,0)),INDEX(Base!$U:$U,MATCH($A5,Base!$A:$A,0)),IF(JK$1=INDEX('Valo FX'!$R:$R,MATCH($A5,'Valo FX'!$A:$A,0)),INDEX(Base!$V:$V,MATCH($A5,Base!$A:$A,0)),0)))</f>
        <v>6.4028080000000003</v>
      </c>
      <c r="JL5" s="21">
        <f>IF(JL$1&lt;INDEX('Valo FX'!$Q:$Q,MATCH($A5,'Valo FX'!$A:$A,0)),0,IF(JL$1&lt;INDEX('Valo FX'!$R:$R,MATCH($A5,'Valo FX'!$A:$A,0)),INDEX(Base!$U:$U,MATCH($A5,Base!$A:$A,0)),IF(JL$1=INDEX('Valo FX'!$R:$R,MATCH($A5,'Valo FX'!$A:$A,0)),INDEX(Base!$V:$V,MATCH($A5,Base!$A:$A,0)),0)))</f>
        <v>6.4028080000000003</v>
      </c>
      <c r="JM5" s="21">
        <f>IF(JM$1&lt;INDEX('Valo FX'!$Q:$Q,MATCH($A5,'Valo FX'!$A:$A,0)),0,IF(JM$1&lt;INDEX('Valo FX'!$R:$R,MATCH($A5,'Valo FX'!$A:$A,0)),INDEX(Base!$U:$U,MATCH($A5,Base!$A:$A,0)),IF(JM$1=INDEX('Valo FX'!$R:$R,MATCH($A5,'Valo FX'!$A:$A,0)),INDEX(Base!$V:$V,MATCH($A5,Base!$A:$A,0)),0)))</f>
        <v>6.4028080000000003</v>
      </c>
      <c r="JN5" s="21">
        <f>IF(JN$1&lt;INDEX('Valo FX'!$Q:$Q,MATCH($A5,'Valo FX'!$A:$A,0)),0,IF(JN$1&lt;INDEX('Valo FX'!$R:$R,MATCH($A5,'Valo FX'!$A:$A,0)),INDEX(Base!$U:$U,MATCH($A5,Base!$A:$A,0)),IF(JN$1=INDEX('Valo FX'!$R:$R,MATCH($A5,'Valo FX'!$A:$A,0)),INDEX(Base!$V:$V,MATCH($A5,Base!$A:$A,0)),0)))</f>
        <v>6.4028080000000003</v>
      </c>
      <c r="JO5" s="21">
        <f>IF(JO$1&lt;INDEX('Valo FX'!$Q:$Q,MATCH($A5,'Valo FX'!$A:$A,0)),0,IF(JO$1&lt;INDEX('Valo FX'!$R:$R,MATCH($A5,'Valo FX'!$A:$A,0)),INDEX(Base!$U:$U,MATCH($A5,Base!$A:$A,0)),IF(JO$1=INDEX('Valo FX'!$R:$R,MATCH($A5,'Valo FX'!$A:$A,0)),INDEX(Base!$V:$V,MATCH($A5,Base!$A:$A,0)),0)))</f>
        <v>6.4028080000000003</v>
      </c>
      <c r="JP5" s="21">
        <f>IF(JP$1&lt;INDEX('Valo FX'!$Q:$Q,MATCH($A5,'Valo FX'!$A:$A,0)),0,IF(JP$1&lt;INDEX('Valo FX'!$R:$R,MATCH($A5,'Valo FX'!$A:$A,0)),INDEX(Base!$U:$U,MATCH($A5,Base!$A:$A,0)),IF(JP$1=INDEX('Valo FX'!$R:$R,MATCH($A5,'Valo FX'!$A:$A,0)),INDEX(Base!$V:$V,MATCH($A5,Base!$A:$A,0)),0)))</f>
        <v>6.4028080000000003</v>
      </c>
      <c r="JQ5" s="21">
        <f>IF(JQ$1&lt;INDEX('Valo FX'!$Q:$Q,MATCH($A5,'Valo FX'!$A:$A,0)),0,IF(JQ$1&lt;INDEX('Valo FX'!$R:$R,MATCH($A5,'Valo FX'!$A:$A,0)),INDEX(Base!$U:$U,MATCH($A5,Base!$A:$A,0)),IF(JQ$1=INDEX('Valo FX'!$R:$R,MATCH($A5,'Valo FX'!$A:$A,0)),INDEX(Base!$V:$V,MATCH($A5,Base!$A:$A,0)),0)))</f>
        <v>6.4028080000000003</v>
      </c>
      <c r="JR5" s="21">
        <f>IF(JR$1&lt;INDEX('Valo FX'!$Q:$Q,MATCH($A5,'Valo FX'!$A:$A,0)),0,IF(JR$1&lt;INDEX('Valo FX'!$R:$R,MATCH($A5,'Valo FX'!$A:$A,0)),INDEX(Base!$U:$U,MATCH($A5,Base!$A:$A,0)),IF(JR$1=INDEX('Valo FX'!$R:$R,MATCH($A5,'Valo FX'!$A:$A,0)),INDEX(Base!$V:$V,MATCH($A5,Base!$A:$A,0)),0)))</f>
        <v>6.4028080000000003</v>
      </c>
      <c r="JS5" s="21">
        <f>IF(JS$1&lt;INDEX('Valo FX'!$Q:$Q,MATCH($A5,'Valo FX'!$A:$A,0)),0,IF(JS$1&lt;INDEX('Valo FX'!$R:$R,MATCH($A5,'Valo FX'!$A:$A,0)),INDEX(Base!$U:$U,MATCH($A5,Base!$A:$A,0)),IF(JS$1=INDEX('Valo FX'!$R:$R,MATCH($A5,'Valo FX'!$A:$A,0)),INDEX(Base!$V:$V,MATCH($A5,Base!$A:$A,0)),0)))</f>
        <v>6.4028080000000003</v>
      </c>
      <c r="JT5" s="21">
        <f>IF(JT$1&lt;INDEX('Valo FX'!$Q:$Q,MATCH($A5,'Valo FX'!$A:$A,0)),0,IF(JT$1&lt;INDEX('Valo FX'!$R:$R,MATCH($A5,'Valo FX'!$A:$A,0)),INDEX(Base!$U:$U,MATCH($A5,Base!$A:$A,0)),IF(JT$1=INDEX('Valo FX'!$R:$R,MATCH($A5,'Valo FX'!$A:$A,0)),INDEX(Base!$V:$V,MATCH($A5,Base!$A:$A,0)),0)))</f>
        <v>6.4028080000000003</v>
      </c>
      <c r="JU5" s="21">
        <f>IF(JU$1&lt;INDEX('Valo FX'!$Q:$Q,MATCH($A5,'Valo FX'!$A:$A,0)),0,IF(JU$1&lt;INDEX('Valo FX'!$R:$R,MATCH($A5,'Valo FX'!$A:$A,0)),INDEX(Base!$U:$U,MATCH($A5,Base!$A:$A,0)),IF(JU$1=INDEX('Valo FX'!$R:$R,MATCH($A5,'Valo FX'!$A:$A,0)),INDEX(Base!$V:$V,MATCH($A5,Base!$A:$A,0)),0)))</f>
        <v>6.4028080000000003</v>
      </c>
      <c r="JV5" s="21">
        <f>IF(JV$1&lt;INDEX('Valo FX'!$Q:$Q,MATCH($A5,'Valo FX'!$A:$A,0)),0,IF(JV$1&lt;INDEX('Valo FX'!$R:$R,MATCH($A5,'Valo FX'!$A:$A,0)),INDEX(Base!$U:$U,MATCH($A5,Base!$A:$A,0)),IF(JV$1=INDEX('Valo FX'!$R:$R,MATCH($A5,'Valo FX'!$A:$A,0)),INDEX(Base!$V:$V,MATCH($A5,Base!$A:$A,0)),0)))</f>
        <v>6.4028080000000003</v>
      </c>
      <c r="JW5" s="21">
        <f>IF(JW$1&lt;INDEX('Valo FX'!$Q:$Q,MATCH($A5,'Valo FX'!$A:$A,0)),0,IF(JW$1&lt;INDEX('Valo FX'!$R:$R,MATCH($A5,'Valo FX'!$A:$A,0)),INDEX(Base!$U:$U,MATCH($A5,Base!$A:$A,0)),IF(JW$1=INDEX('Valo FX'!$R:$R,MATCH($A5,'Valo FX'!$A:$A,0)),INDEX(Base!$V:$V,MATCH($A5,Base!$A:$A,0)),0)))</f>
        <v>6.4028080000000003</v>
      </c>
      <c r="JX5" s="21">
        <f>IF(JX$1&lt;INDEX('Valo FX'!$Q:$Q,MATCH($A5,'Valo FX'!$A:$A,0)),0,IF(JX$1&lt;INDEX('Valo FX'!$R:$R,MATCH($A5,'Valo FX'!$A:$A,0)),INDEX(Base!$U:$U,MATCH($A5,Base!$A:$A,0)),IF(JX$1=INDEX('Valo FX'!$R:$R,MATCH($A5,'Valo FX'!$A:$A,0)),INDEX(Base!$V:$V,MATCH($A5,Base!$A:$A,0)),0)))</f>
        <v>6.4028080000000003</v>
      </c>
      <c r="JY5" s="21">
        <f>IF(JY$1&lt;INDEX('Valo FX'!$Q:$Q,MATCH($A5,'Valo FX'!$A:$A,0)),0,IF(JY$1&lt;INDEX('Valo FX'!$R:$R,MATCH($A5,'Valo FX'!$A:$A,0)),INDEX(Base!$U:$U,MATCH($A5,Base!$A:$A,0)),IF(JY$1=INDEX('Valo FX'!$R:$R,MATCH($A5,'Valo FX'!$A:$A,0)),INDEX(Base!$V:$V,MATCH($A5,Base!$A:$A,0)),0)))</f>
        <v>6.4028080000000003</v>
      </c>
      <c r="JZ5" s="21">
        <f>IF(JZ$1&lt;INDEX('Valo FX'!$Q:$Q,MATCH($A5,'Valo FX'!$A:$A,0)),0,IF(JZ$1&lt;INDEX('Valo FX'!$R:$R,MATCH($A5,'Valo FX'!$A:$A,0)),INDEX(Base!$U:$U,MATCH($A5,Base!$A:$A,0)),IF(JZ$1=INDEX('Valo FX'!$R:$R,MATCH($A5,'Valo FX'!$A:$A,0)),INDEX(Base!$V:$V,MATCH($A5,Base!$A:$A,0)),0)))</f>
        <v>6.4028080000000003</v>
      </c>
      <c r="KA5" s="21">
        <f>IF(KA$1&lt;INDEX('Valo FX'!$Q:$Q,MATCH($A5,'Valo FX'!$A:$A,0)),0,IF(KA$1&lt;INDEX('Valo FX'!$R:$R,MATCH($A5,'Valo FX'!$A:$A,0)),INDEX(Base!$U:$U,MATCH($A5,Base!$A:$A,0)),IF(KA$1=INDEX('Valo FX'!$R:$R,MATCH($A5,'Valo FX'!$A:$A,0)),INDEX(Base!$V:$V,MATCH($A5,Base!$A:$A,0)),0)))</f>
        <v>6.4028080000000003</v>
      </c>
      <c r="KB5" s="21">
        <f>IF(KB$1&lt;INDEX('Valo FX'!$Q:$Q,MATCH($A5,'Valo FX'!$A:$A,0)),0,IF(KB$1&lt;INDEX('Valo FX'!$R:$R,MATCH($A5,'Valo FX'!$A:$A,0)),INDEX(Base!$U:$U,MATCH($A5,Base!$A:$A,0)),IF(KB$1=INDEX('Valo FX'!$R:$R,MATCH($A5,'Valo FX'!$A:$A,0)),INDEX(Base!$V:$V,MATCH($A5,Base!$A:$A,0)),0)))</f>
        <v>6.4028080000000003</v>
      </c>
      <c r="KC5" s="21">
        <f>IF(KC$1&lt;INDEX('Valo FX'!$Q:$Q,MATCH($A5,'Valo FX'!$A:$A,0)),0,IF(KC$1&lt;INDEX('Valo FX'!$R:$R,MATCH($A5,'Valo FX'!$A:$A,0)),INDEX(Base!$U:$U,MATCH($A5,Base!$A:$A,0)),IF(KC$1=INDEX('Valo FX'!$R:$R,MATCH($A5,'Valo FX'!$A:$A,0)),INDEX(Base!$V:$V,MATCH($A5,Base!$A:$A,0)),0)))</f>
        <v>6.4028080000000003</v>
      </c>
      <c r="KD5" s="21">
        <f>IF(KD$1&lt;INDEX('Valo FX'!$Q:$Q,MATCH($A5,'Valo FX'!$A:$A,0)),0,IF(KD$1&lt;INDEX('Valo FX'!$R:$R,MATCH($A5,'Valo FX'!$A:$A,0)),INDEX(Base!$U:$U,MATCH($A5,Base!$A:$A,0)),IF(KD$1=INDEX('Valo FX'!$R:$R,MATCH($A5,'Valo FX'!$A:$A,0)),INDEX(Base!$V:$V,MATCH($A5,Base!$A:$A,0)),0)))</f>
        <v>6.4028080000000003</v>
      </c>
      <c r="KE5" s="21">
        <f>IF(KE$1&lt;INDEX('Valo FX'!$Q:$Q,MATCH($A5,'Valo FX'!$A:$A,0)),0,IF(KE$1&lt;INDEX('Valo FX'!$R:$R,MATCH($A5,'Valo FX'!$A:$A,0)),INDEX(Base!$U:$U,MATCH($A5,Base!$A:$A,0)),IF(KE$1=INDEX('Valo FX'!$R:$R,MATCH($A5,'Valo FX'!$A:$A,0)),INDEX(Base!$V:$V,MATCH($A5,Base!$A:$A,0)),0)))</f>
        <v>6.4028080000000003</v>
      </c>
      <c r="KF5" s="21">
        <f>IF(KF$1&lt;INDEX('Valo FX'!$Q:$Q,MATCH($A5,'Valo FX'!$A:$A,0)),0,IF(KF$1&lt;INDEX('Valo FX'!$R:$R,MATCH($A5,'Valo FX'!$A:$A,0)),INDEX(Base!$U:$U,MATCH($A5,Base!$A:$A,0)),IF(KF$1=INDEX('Valo FX'!$R:$R,MATCH($A5,'Valo FX'!$A:$A,0)),INDEX(Base!$V:$V,MATCH($A5,Base!$A:$A,0)),0)))</f>
        <v>6.4028080000000003</v>
      </c>
      <c r="KG5" s="21">
        <f>IF(KG$1&lt;INDEX('Valo FX'!$Q:$Q,MATCH($A5,'Valo FX'!$A:$A,0)),0,IF(KG$1&lt;INDEX('Valo FX'!$R:$R,MATCH($A5,'Valo FX'!$A:$A,0)),INDEX(Base!$U:$U,MATCH($A5,Base!$A:$A,0)),IF(KG$1=INDEX('Valo FX'!$R:$R,MATCH($A5,'Valo FX'!$A:$A,0)),INDEX(Base!$V:$V,MATCH($A5,Base!$A:$A,0)),0)))</f>
        <v>6.4028080000000003</v>
      </c>
      <c r="KH5" s="21">
        <f>IF(KH$1&lt;INDEX('Valo FX'!$Q:$Q,MATCH($A5,'Valo FX'!$A:$A,0)),0,IF(KH$1&lt;INDEX('Valo FX'!$R:$R,MATCH($A5,'Valo FX'!$A:$A,0)),INDEX(Base!$U:$U,MATCH($A5,Base!$A:$A,0)),IF(KH$1=INDEX('Valo FX'!$R:$R,MATCH($A5,'Valo FX'!$A:$A,0)),INDEX(Base!$V:$V,MATCH($A5,Base!$A:$A,0)),0)))</f>
        <v>6.4028080000000003</v>
      </c>
      <c r="KI5" s="21">
        <f>IF(KI$1&lt;INDEX('Valo FX'!$Q:$Q,MATCH($A5,'Valo FX'!$A:$A,0)),0,IF(KI$1&lt;INDEX('Valo FX'!$R:$R,MATCH($A5,'Valo FX'!$A:$A,0)),INDEX(Base!$U:$U,MATCH($A5,Base!$A:$A,0)),IF(KI$1=INDEX('Valo FX'!$R:$R,MATCH($A5,'Valo FX'!$A:$A,0)),INDEX(Base!$V:$V,MATCH($A5,Base!$A:$A,0)),0)))</f>
        <v>6.4028080000000003</v>
      </c>
      <c r="KJ5" s="21">
        <f>IF(KJ$1&lt;INDEX('Valo FX'!$Q:$Q,MATCH($A5,'Valo FX'!$A:$A,0)),0,IF(KJ$1&lt;INDEX('Valo FX'!$R:$R,MATCH($A5,'Valo FX'!$A:$A,0)),INDEX(Base!$U:$U,MATCH($A5,Base!$A:$A,0)),IF(KJ$1=INDEX('Valo FX'!$R:$R,MATCH($A5,'Valo FX'!$A:$A,0)),INDEX(Base!$V:$V,MATCH($A5,Base!$A:$A,0)),0)))</f>
        <v>6.4028080000000003</v>
      </c>
      <c r="KK5" s="21">
        <f>IF(KK$1&lt;INDEX('Valo FX'!$Q:$Q,MATCH($A5,'Valo FX'!$A:$A,0)),0,IF(KK$1&lt;INDEX('Valo FX'!$R:$R,MATCH($A5,'Valo FX'!$A:$A,0)),INDEX(Base!$U:$U,MATCH($A5,Base!$A:$A,0)),IF(KK$1=INDEX('Valo FX'!$R:$R,MATCH($A5,'Valo FX'!$A:$A,0)),INDEX(Base!$V:$V,MATCH($A5,Base!$A:$A,0)),0)))</f>
        <v>6.4028080000000003</v>
      </c>
      <c r="KL5" s="21">
        <f>IF(KL$1&lt;INDEX('Valo FX'!$Q:$Q,MATCH($A5,'Valo FX'!$A:$A,0)),0,IF(KL$1&lt;INDEX('Valo FX'!$R:$R,MATCH($A5,'Valo FX'!$A:$A,0)),INDEX(Base!$U:$U,MATCH($A5,Base!$A:$A,0)),IF(KL$1=INDEX('Valo FX'!$R:$R,MATCH($A5,'Valo FX'!$A:$A,0)),INDEX(Base!$V:$V,MATCH($A5,Base!$A:$A,0)),0)))</f>
        <v>6.4028080000000003</v>
      </c>
      <c r="KM5" s="21">
        <f>IF(KM$1&lt;INDEX('Valo FX'!$Q:$Q,MATCH($A5,'Valo FX'!$A:$A,0)),0,IF(KM$1&lt;INDEX('Valo FX'!$R:$R,MATCH($A5,'Valo FX'!$A:$A,0)),INDEX(Base!$U:$U,MATCH($A5,Base!$A:$A,0)),IF(KM$1=INDEX('Valo FX'!$R:$R,MATCH($A5,'Valo FX'!$A:$A,0)),INDEX(Base!$V:$V,MATCH($A5,Base!$A:$A,0)),0)))</f>
        <v>6.4028080000000003</v>
      </c>
      <c r="KN5" s="21">
        <f>IF(KN$1&lt;INDEX('Valo FX'!$Q:$Q,MATCH($A5,'Valo FX'!$A:$A,0)),0,IF(KN$1&lt;INDEX('Valo FX'!$R:$R,MATCH($A5,'Valo FX'!$A:$A,0)),INDEX(Base!$U:$U,MATCH($A5,Base!$A:$A,0)),IF(KN$1=INDEX('Valo FX'!$R:$R,MATCH($A5,'Valo FX'!$A:$A,0)),INDEX(Base!$V:$V,MATCH($A5,Base!$A:$A,0)),0)))</f>
        <v>6.4028080000000003</v>
      </c>
      <c r="KO5" s="21">
        <f>IF(KO$1&lt;INDEX('Valo FX'!$Q:$Q,MATCH($A5,'Valo FX'!$A:$A,0)),0,IF(KO$1&lt;INDEX('Valo FX'!$R:$R,MATCH($A5,'Valo FX'!$A:$A,0)),INDEX(Base!$U:$U,MATCH($A5,Base!$A:$A,0)),IF(KO$1=INDEX('Valo FX'!$R:$R,MATCH($A5,'Valo FX'!$A:$A,0)),INDEX(Base!$V:$V,MATCH($A5,Base!$A:$A,0)),0)))</f>
        <v>6.4028080000000003</v>
      </c>
      <c r="KP5" s="21">
        <f>IF(KP$1&lt;INDEX('Valo FX'!$Q:$Q,MATCH($A5,'Valo FX'!$A:$A,0)),0,IF(KP$1&lt;INDEX('Valo FX'!$R:$R,MATCH($A5,'Valo FX'!$A:$A,0)),INDEX(Base!$U:$U,MATCH($A5,Base!$A:$A,0)),IF(KP$1=INDEX('Valo FX'!$R:$R,MATCH($A5,'Valo FX'!$A:$A,0)),INDEX(Base!$V:$V,MATCH($A5,Base!$A:$A,0)),0)))</f>
        <v>6.4028080000000003</v>
      </c>
      <c r="KQ5" s="21">
        <f>IF(KQ$1&lt;INDEX('Valo FX'!$Q:$Q,MATCH($A5,'Valo FX'!$A:$A,0)),0,IF(KQ$1&lt;INDEX('Valo FX'!$R:$R,MATCH($A5,'Valo FX'!$A:$A,0)),INDEX(Base!$U:$U,MATCH($A5,Base!$A:$A,0)),IF(KQ$1=INDEX('Valo FX'!$R:$R,MATCH($A5,'Valo FX'!$A:$A,0)),INDEX(Base!$V:$V,MATCH($A5,Base!$A:$A,0)),0)))</f>
        <v>6.4028080000000003</v>
      </c>
      <c r="KR5" s="21">
        <f>IF(KR$1&lt;INDEX('Valo FX'!$Q:$Q,MATCH($A5,'Valo FX'!$A:$A,0)),0,IF(KR$1&lt;INDEX('Valo FX'!$R:$R,MATCH($A5,'Valo FX'!$A:$A,0)),INDEX(Base!$U:$U,MATCH($A5,Base!$A:$A,0)),IF(KR$1=INDEX('Valo FX'!$R:$R,MATCH($A5,'Valo FX'!$A:$A,0)),INDEX(Base!$V:$V,MATCH($A5,Base!$A:$A,0)),0)))</f>
        <v>6.4028080000000003</v>
      </c>
      <c r="KS5" s="21">
        <f>IF(KS$1&lt;INDEX('Valo FX'!$Q:$Q,MATCH($A5,'Valo FX'!$A:$A,0)),0,IF(KS$1&lt;INDEX('Valo FX'!$R:$R,MATCH($A5,'Valo FX'!$A:$A,0)),INDEX(Base!$U:$U,MATCH($A5,Base!$A:$A,0)),IF(KS$1=INDEX('Valo FX'!$R:$R,MATCH($A5,'Valo FX'!$A:$A,0)),INDEX(Base!$V:$V,MATCH($A5,Base!$A:$A,0)),0)))</f>
        <v>6.4028080000000003</v>
      </c>
      <c r="KT5" s="21">
        <f>IF(KT$1&lt;INDEX('Valo FX'!$Q:$Q,MATCH($A5,'Valo FX'!$A:$A,0)),0,IF(KT$1&lt;INDEX('Valo FX'!$R:$R,MATCH($A5,'Valo FX'!$A:$A,0)),INDEX(Base!$U:$U,MATCH($A5,Base!$A:$A,0)),IF(KT$1=INDEX('Valo FX'!$R:$R,MATCH($A5,'Valo FX'!$A:$A,0)),INDEX(Base!$V:$V,MATCH($A5,Base!$A:$A,0)),0)))</f>
        <v>6.4028080000000003</v>
      </c>
      <c r="KU5" s="21">
        <f>IF(KU$1&lt;INDEX('Valo FX'!$Q:$Q,MATCH($A5,'Valo FX'!$A:$A,0)),0,IF(KU$1&lt;INDEX('Valo FX'!$R:$R,MATCH($A5,'Valo FX'!$A:$A,0)),INDEX(Base!$U:$U,MATCH($A5,Base!$A:$A,0)),IF(KU$1=INDEX('Valo FX'!$R:$R,MATCH($A5,'Valo FX'!$A:$A,0)),INDEX(Base!$V:$V,MATCH($A5,Base!$A:$A,0)),0)))</f>
        <v>6.4028080000000003</v>
      </c>
      <c r="KV5" s="21">
        <f>IF(KV$1&lt;INDEX('Valo FX'!$Q:$Q,MATCH($A5,'Valo FX'!$A:$A,0)),0,IF(KV$1&lt;INDEX('Valo FX'!$R:$R,MATCH($A5,'Valo FX'!$A:$A,0)),INDEX(Base!$U:$U,MATCH($A5,Base!$A:$A,0)),IF(KV$1=INDEX('Valo FX'!$R:$R,MATCH($A5,'Valo FX'!$A:$A,0)),INDEX(Base!$V:$V,MATCH($A5,Base!$A:$A,0)),0)))</f>
        <v>6.4028080000000003</v>
      </c>
      <c r="KW5" s="21">
        <f>IF(KW$1&lt;INDEX('Valo FX'!$Q:$Q,MATCH($A5,'Valo FX'!$A:$A,0)),0,IF(KW$1&lt;INDEX('Valo FX'!$R:$R,MATCH($A5,'Valo FX'!$A:$A,0)),INDEX(Base!$U:$U,MATCH($A5,Base!$A:$A,0)),IF(KW$1=INDEX('Valo FX'!$R:$R,MATCH($A5,'Valo FX'!$A:$A,0)),INDEX(Base!$V:$V,MATCH($A5,Base!$A:$A,0)),0)))</f>
        <v>6.4028080000000003</v>
      </c>
      <c r="KX5" s="21">
        <f>IF(KX$1&lt;INDEX('Valo FX'!$Q:$Q,MATCH($A5,'Valo FX'!$A:$A,0)),0,IF(KX$1&lt;INDEX('Valo FX'!$R:$R,MATCH($A5,'Valo FX'!$A:$A,0)),INDEX(Base!$U:$U,MATCH($A5,Base!$A:$A,0)),IF(KX$1=INDEX('Valo FX'!$R:$R,MATCH($A5,'Valo FX'!$A:$A,0)),INDEX(Base!$V:$V,MATCH($A5,Base!$A:$A,0)),0)))</f>
        <v>6.4028080000000003</v>
      </c>
      <c r="KY5" s="21">
        <f>IF(KY$1&lt;INDEX('Valo FX'!$Q:$Q,MATCH($A5,'Valo FX'!$A:$A,0)),0,IF(KY$1&lt;INDEX('Valo FX'!$R:$R,MATCH($A5,'Valo FX'!$A:$A,0)),INDEX(Base!$U:$U,MATCH($A5,Base!$A:$A,0)),IF(KY$1=INDEX('Valo FX'!$R:$R,MATCH($A5,'Valo FX'!$A:$A,0)),INDEX(Base!$V:$V,MATCH($A5,Base!$A:$A,0)),0)))</f>
        <v>6.4028080000000003</v>
      </c>
      <c r="KZ5" s="21">
        <f>IF(KZ$1&lt;INDEX('Valo FX'!$Q:$Q,MATCH($A5,'Valo FX'!$A:$A,0)),0,IF(KZ$1&lt;INDEX('Valo FX'!$R:$R,MATCH($A5,'Valo FX'!$A:$A,0)),INDEX(Base!$U:$U,MATCH($A5,Base!$A:$A,0)),IF(KZ$1=INDEX('Valo FX'!$R:$R,MATCH($A5,'Valo FX'!$A:$A,0)),INDEX(Base!$V:$V,MATCH($A5,Base!$A:$A,0)),0)))</f>
        <v>6.4028080000000003</v>
      </c>
      <c r="LA5" s="21">
        <f>IF(LA$1&lt;INDEX('Valo FX'!$Q:$Q,MATCH($A5,'Valo FX'!$A:$A,0)),0,IF(LA$1&lt;INDEX('Valo FX'!$R:$R,MATCH($A5,'Valo FX'!$A:$A,0)),INDEX(Base!$U:$U,MATCH($A5,Base!$A:$A,0)),IF(LA$1=INDEX('Valo FX'!$R:$R,MATCH($A5,'Valo FX'!$A:$A,0)),INDEX(Base!$V:$V,MATCH($A5,Base!$A:$A,0)),0)))</f>
        <v>6.4028080000000003</v>
      </c>
      <c r="LB5" s="21">
        <f>IF(LB$1&lt;INDEX('Valo FX'!$Q:$Q,MATCH($A5,'Valo FX'!$A:$A,0)),0,IF(LB$1&lt;INDEX('Valo FX'!$R:$R,MATCH($A5,'Valo FX'!$A:$A,0)),INDEX(Base!$U:$U,MATCH($A5,Base!$A:$A,0)),IF(LB$1=INDEX('Valo FX'!$R:$R,MATCH($A5,'Valo FX'!$A:$A,0)),INDEX(Base!$V:$V,MATCH($A5,Base!$A:$A,0)),0)))</f>
        <v>6.4028080000000003</v>
      </c>
      <c r="LC5" s="21">
        <f>IF(LC$1&lt;INDEX('Valo FX'!$Q:$Q,MATCH($A5,'Valo FX'!$A:$A,0)),0,IF(LC$1&lt;INDEX('Valo FX'!$R:$R,MATCH($A5,'Valo FX'!$A:$A,0)),INDEX(Base!$U:$U,MATCH($A5,Base!$A:$A,0)),IF(LC$1=INDEX('Valo FX'!$R:$R,MATCH($A5,'Valo FX'!$A:$A,0)),INDEX(Base!$V:$V,MATCH($A5,Base!$A:$A,0)),0)))</f>
        <v>6.5963349999999998</v>
      </c>
      <c r="LD5" s="21">
        <f>IF(LD$1&lt;INDEX('Valo FX'!$Q:$Q,MATCH($A5,'Valo FX'!$A:$A,0)),0,IF(LD$1&lt;INDEX('Valo FX'!$R:$R,MATCH($A5,'Valo FX'!$A:$A,0)),INDEX(Base!$U:$U,MATCH($A5,Base!$A:$A,0)),IF(LD$1=INDEX('Valo FX'!$R:$R,MATCH($A5,'Valo FX'!$A:$A,0)),INDEX(Base!$V:$V,MATCH($A5,Base!$A:$A,0)),0)))</f>
        <v>0</v>
      </c>
      <c r="LE5" s="21">
        <f>IF(LE$1&lt;INDEX('Valo FX'!$Q:$Q,MATCH($A5,'Valo FX'!$A:$A,0)),0,IF(LE$1&lt;INDEX('Valo FX'!$R:$R,MATCH($A5,'Valo FX'!$A:$A,0)),INDEX(Base!$U:$U,MATCH($A5,Base!$A:$A,0)),IF(LE$1=INDEX('Valo FX'!$R:$R,MATCH($A5,'Valo FX'!$A:$A,0)),INDEX(Base!$V:$V,MATCH($A5,Base!$A:$A,0)),0)))</f>
        <v>0</v>
      </c>
      <c r="LF5" s="21">
        <f>IF(LF$1&lt;INDEX('Valo FX'!$Q:$Q,MATCH($A5,'Valo FX'!$A:$A,0)),0,IF(LF$1&lt;INDEX('Valo FX'!$R:$R,MATCH($A5,'Valo FX'!$A:$A,0)),INDEX(Base!$U:$U,MATCH($A5,Base!$A:$A,0)),IF(LF$1=INDEX('Valo FX'!$R:$R,MATCH($A5,'Valo FX'!$A:$A,0)),INDEX(Base!$V:$V,MATCH($A5,Base!$A:$A,0)),0)))</f>
        <v>0</v>
      </c>
      <c r="LG5" s="21">
        <f>IF(LG$1&lt;INDEX('Valo FX'!$Q:$Q,MATCH($A5,'Valo FX'!$A:$A,0)),0,IF(LG$1&lt;INDEX('Valo FX'!$R:$R,MATCH($A5,'Valo FX'!$A:$A,0)),INDEX(Base!$U:$U,MATCH($A5,Base!$A:$A,0)),IF(LG$1=INDEX('Valo FX'!$R:$R,MATCH($A5,'Valo FX'!$A:$A,0)),INDEX(Base!$V:$V,MATCH($A5,Base!$A:$A,0)),0)))</f>
        <v>0</v>
      </c>
      <c r="LH5" s="21">
        <f>IF(LH$1&lt;INDEX('Valo FX'!$Q:$Q,MATCH($A5,'Valo FX'!$A:$A,0)),0,IF(LH$1&lt;INDEX('Valo FX'!$R:$R,MATCH($A5,'Valo FX'!$A:$A,0)),INDEX(Base!$U:$U,MATCH($A5,Base!$A:$A,0)),IF(LH$1=INDEX('Valo FX'!$R:$R,MATCH($A5,'Valo FX'!$A:$A,0)),INDEX(Base!$V:$V,MATCH($A5,Base!$A:$A,0)),0)))</f>
        <v>0</v>
      </c>
      <c r="LI5" s="21">
        <f>IF(LI$1&lt;INDEX('Valo FX'!$Q:$Q,MATCH($A5,'Valo FX'!$A:$A,0)),0,IF(LI$1&lt;INDEX('Valo FX'!$R:$R,MATCH($A5,'Valo FX'!$A:$A,0)),INDEX(Base!$U:$U,MATCH($A5,Base!$A:$A,0)),IF(LI$1=INDEX('Valo FX'!$R:$R,MATCH($A5,'Valo FX'!$A:$A,0)),INDEX(Base!$V:$V,MATCH($A5,Base!$A:$A,0)),0)))</f>
        <v>0</v>
      </c>
      <c r="LJ5" s="21">
        <f>IF(LJ$1&lt;INDEX('Valo FX'!$Q:$Q,MATCH($A5,'Valo FX'!$A:$A,0)),0,IF(LJ$1&lt;INDEX('Valo FX'!$R:$R,MATCH($A5,'Valo FX'!$A:$A,0)),INDEX(Base!$U:$U,MATCH($A5,Base!$A:$A,0)),IF(LJ$1=INDEX('Valo FX'!$R:$R,MATCH($A5,'Valo FX'!$A:$A,0)),INDEX(Base!$V:$V,MATCH($A5,Base!$A:$A,0)),0)))</f>
        <v>0</v>
      </c>
      <c r="LK5" s="21">
        <f>IF(LK$1&lt;INDEX('Valo FX'!$Q:$Q,MATCH($A5,'Valo FX'!$A:$A,0)),0,IF(LK$1&lt;INDEX('Valo FX'!$R:$R,MATCH($A5,'Valo FX'!$A:$A,0)),INDEX(Base!$U:$U,MATCH($A5,Base!$A:$A,0)),IF(LK$1=INDEX('Valo FX'!$R:$R,MATCH($A5,'Valo FX'!$A:$A,0)),INDEX(Base!$V:$V,MATCH($A5,Base!$A:$A,0)),0)))</f>
        <v>0</v>
      </c>
      <c r="LL5" s="21">
        <f>IF(LL$1&lt;INDEX('Valo FX'!$Q:$Q,MATCH($A5,'Valo FX'!$A:$A,0)),0,IF(LL$1&lt;INDEX('Valo FX'!$R:$R,MATCH($A5,'Valo FX'!$A:$A,0)),INDEX(Base!$U:$U,MATCH($A5,Base!$A:$A,0)),IF(LL$1=INDEX('Valo FX'!$R:$R,MATCH($A5,'Valo FX'!$A:$A,0)),INDEX(Base!$V:$V,MATCH($A5,Base!$A:$A,0)),0)))</f>
        <v>0</v>
      </c>
      <c r="LM5" s="21">
        <f>IF(LM$1&lt;INDEX('Valo FX'!$Q:$Q,MATCH($A5,'Valo FX'!$A:$A,0)),0,IF(LM$1&lt;INDEX('Valo FX'!$R:$R,MATCH($A5,'Valo FX'!$A:$A,0)),INDEX(Base!$U:$U,MATCH($A5,Base!$A:$A,0)),IF(LM$1=INDEX('Valo FX'!$R:$R,MATCH($A5,'Valo FX'!$A:$A,0)),INDEX(Base!$V:$V,MATCH($A5,Base!$A:$A,0)),0)))</f>
        <v>0</v>
      </c>
      <c r="LN5" s="21">
        <f>IF(LN$1&lt;INDEX('Valo FX'!$Q:$Q,MATCH($A5,'Valo FX'!$A:$A,0)),0,IF(LN$1&lt;INDEX('Valo FX'!$R:$R,MATCH($A5,'Valo FX'!$A:$A,0)),INDEX(Base!$U:$U,MATCH($A5,Base!$A:$A,0)),IF(LN$1=INDEX('Valo FX'!$R:$R,MATCH($A5,'Valo FX'!$A:$A,0)),INDEX(Base!$V:$V,MATCH($A5,Base!$A:$A,0)),0)))</f>
        <v>0</v>
      </c>
      <c r="LO5" s="21">
        <f>IF(LO$1&lt;INDEX('Valo FX'!$Q:$Q,MATCH($A5,'Valo FX'!$A:$A,0)),0,IF(LO$1&lt;INDEX('Valo FX'!$R:$R,MATCH($A5,'Valo FX'!$A:$A,0)),INDEX(Base!$U:$U,MATCH($A5,Base!$A:$A,0)),IF(LO$1=INDEX('Valo FX'!$R:$R,MATCH($A5,'Valo FX'!$A:$A,0)),INDEX(Base!$V:$V,MATCH($A5,Base!$A:$A,0)),0)))</f>
        <v>0</v>
      </c>
      <c r="LP5" s="21">
        <f>IF(LP$1&lt;INDEX('Valo FX'!$Q:$Q,MATCH($A5,'Valo FX'!$A:$A,0)),0,IF(LP$1&lt;INDEX('Valo FX'!$R:$R,MATCH($A5,'Valo FX'!$A:$A,0)),INDEX(Base!$U:$U,MATCH($A5,Base!$A:$A,0)),IF(LP$1=INDEX('Valo FX'!$R:$R,MATCH($A5,'Valo FX'!$A:$A,0)),INDEX(Base!$V:$V,MATCH($A5,Base!$A:$A,0)),0)))</f>
        <v>0</v>
      </c>
      <c r="LQ5" s="21">
        <f>IF(LQ$1&lt;INDEX('Valo FX'!$Q:$Q,MATCH($A5,'Valo FX'!$A:$A,0)),0,IF(LQ$1&lt;INDEX('Valo FX'!$R:$R,MATCH($A5,'Valo FX'!$A:$A,0)),INDEX(Base!$U:$U,MATCH($A5,Base!$A:$A,0)),IF(LQ$1=INDEX('Valo FX'!$R:$R,MATCH($A5,'Valo FX'!$A:$A,0)),INDEX(Base!$V:$V,MATCH($A5,Base!$A:$A,0)),0)))</f>
        <v>0</v>
      </c>
      <c r="LR5" s="21">
        <f>IF(LR$1&lt;INDEX('Valo FX'!$Q:$Q,MATCH($A5,'Valo FX'!$A:$A,0)),0,IF(LR$1&lt;INDEX('Valo FX'!$R:$R,MATCH($A5,'Valo FX'!$A:$A,0)),INDEX(Base!$U:$U,MATCH($A5,Base!$A:$A,0)),IF(LR$1=INDEX('Valo FX'!$R:$R,MATCH($A5,'Valo FX'!$A:$A,0)),INDEX(Base!$V:$V,MATCH($A5,Base!$A:$A,0)),0)))</f>
        <v>0</v>
      </c>
      <c r="LS5" s="21">
        <f>IF(LS$1&lt;INDEX('Valo FX'!$Q:$Q,MATCH($A5,'Valo FX'!$A:$A,0)),0,IF(LS$1&lt;INDEX('Valo FX'!$R:$R,MATCH($A5,'Valo FX'!$A:$A,0)),INDEX(Base!$U:$U,MATCH($A5,Base!$A:$A,0)),IF(LS$1=INDEX('Valo FX'!$R:$R,MATCH($A5,'Valo FX'!$A:$A,0)),INDEX(Base!$V:$V,MATCH($A5,Base!$A:$A,0)),0)))</f>
        <v>0</v>
      </c>
      <c r="LT5" s="21">
        <f>IF(LT$1&lt;INDEX('Valo FX'!$Q:$Q,MATCH($A5,'Valo FX'!$A:$A,0)),0,IF(LT$1&lt;INDEX('Valo FX'!$R:$R,MATCH($A5,'Valo FX'!$A:$A,0)),INDEX(Base!$U:$U,MATCH($A5,Base!$A:$A,0)),IF(LT$1=INDEX('Valo FX'!$R:$R,MATCH($A5,'Valo FX'!$A:$A,0)),INDEX(Base!$V:$V,MATCH($A5,Base!$A:$A,0)),0)))</f>
        <v>0</v>
      </c>
      <c r="LU5" s="21">
        <f>IF(LU$1&lt;INDEX('Valo FX'!$Q:$Q,MATCH($A5,'Valo FX'!$A:$A,0)),0,IF(LU$1&lt;INDEX('Valo FX'!$R:$R,MATCH($A5,'Valo FX'!$A:$A,0)),INDEX(Base!$U:$U,MATCH($A5,Base!$A:$A,0)),IF(LU$1=INDEX('Valo FX'!$R:$R,MATCH($A5,'Valo FX'!$A:$A,0)),INDEX(Base!$V:$V,MATCH($A5,Base!$A:$A,0)),0)))</f>
        <v>0</v>
      </c>
      <c r="LV5" s="21">
        <f>IF(LV$1&lt;INDEX('Valo FX'!$Q:$Q,MATCH($A5,'Valo FX'!$A:$A,0)),0,IF(LV$1&lt;INDEX('Valo FX'!$R:$R,MATCH($A5,'Valo FX'!$A:$A,0)),INDEX(Base!$U:$U,MATCH($A5,Base!$A:$A,0)),IF(LV$1=INDEX('Valo FX'!$R:$R,MATCH($A5,'Valo FX'!$A:$A,0)),INDEX(Base!$V:$V,MATCH($A5,Base!$A:$A,0)),0)))</f>
        <v>0</v>
      </c>
      <c r="LW5" s="21">
        <f>IF(LW$1&lt;INDEX('Valo FX'!$Q:$Q,MATCH($A5,'Valo FX'!$A:$A,0)),0,IF(LW$1&lt;INDEX('Valo FX'!$R:$R,MATCH($A5,'Valo FX'!$A:$A,0)),INDEX(Base!$U:$U,MATCH($A5,Base!$A:$A,0)),IF(LW$1=INDEX('Valo FX'!$R:$R,MATCH($A5,'Valo FX'!$A:$A,0)),INDEX(Base!$V:$V,MATCH($A5,Base!$A:$A,0)),0)))</f>
        <v>0</v>
      </c>
      <c r="LX5" s="21">
        <f>IF(LX$1&lt;INDEX('Valo FX'!$Q:$Q,MATCH($A5,'Valo FX'!$A:$A,0)),0,IF(LX$1&lt;INDEX('Valo FX'!$R:$R,MATCH($A5,'Valo FX'!$A:$A,0)),INDEX(Base!$U:$U,MATCH($A5,Base!$A:$A,0)),IF(LX$1=INDEX('Valo FX'!$R:$R,MATCH($A5,'Valo FX'!$A:$A,0)),INDEX(Base!$V:$V,MATCH($A5,Base!$A:$A,0)),0)))</f>
        <v>0</v>
      </c>
      <c r="LY5" s="21">
        <f>IF(LY$1&lt;INDEX('Valo FX'!$Q:$Q,MATCH($A5,'Valo FX'!$A:$A,0)),0,IF(LY$1&lt;INDEX('Valo FX'!$R:$R,MATCH($A5,'Valo FX'!$A:$A,0)),INDEX(Base!$U:$U,MATCH($A5,Base!$A:$A,0)),IF(LY$1=INDEX('Valo FX'!$R:$R,MATCH($A5,'Valo FX'!$A:$A,0)),INDEX(Base!$V:$V,MATCH($A5,Base!$A:$A,0)),0)))</f>
        <v>0</v>
      </c>
      <c r="LZ5" s="21">
        <f>IF(LZ$1&lt;INDEX('Valo FX'!$Q:$Q,MATCH($A5,'Valo FX'!$A:$A,0)),0,IF(LZ$1&lt;INDEX('Valo FX'!$R:$R,MATCH($A5,'Valo FX'!$A:$A,0)),INDEX(Base!$U:$U,MATCH($A5,Base!$A:$A,0)),IF(LZ$1=INDEX('Valo FX'!$R:$R,MATCH($A5,'Valo FX'!$A:$A,0)),INDEX(Base!$V:$V,MATCH($A5,Base!$A:$A,0)),0)))</f>
        <v>0</v>
      </c>
      <c r="MA5" s="21">
        <f>IF(MA$1&lt;INDEX('Valo FX'!$Q:$Q,MATCH($A5,'Valo FX'!$A:$A,0)),0,IF(MA$1&lt;INDEX('Valo FX'!$R:$R,MATCH($A5,'Valo FX'!$A:$A,0)),INDEX(Base!$U:$U,MATCH($A5,Base!$A:$A,0)),IF(MA$1=INDEX('Valo FX'!$R:$R,MATCH($A5,'Valo FX'!$A:$A,0)),INDEX(Base!$V:$V,MATCH($A5,Base!$A:$A,0)),0)))</f>
        <v>0</v>
      </c>
      <c r="MB5" s="21">
        <f>IF(MB$1&lt;INDEX('Valo FX'!$Q:$Q,MATCH($A5,'Valo FX'!$A:$A,0)),0,IF(MB$1&lt;INDEX('Valo FX'!$R:$R,MATCH($A5,'Valo FX'!$A:$A,0)),INDEX(Base!$U:$U,MATCH($A5,Base!$A:$A,0)),IF(MB$1=INDEX('Valo FX'!$R:$R,MATCH($A5,'Valo FX'!$A:$A,0)),INDEX(Base!$V:$V,MATCH($A5,Base!$A:$A,0)),0)))</f>
        <v>0</v>
      </c>
      <c r="MC5" s="21">
        <f>IF(MC$1&lt;INDEX('Valo FX'!$Q:$Q,MATCH($A5,'Valo FX'!$A:$A,0)),0,IF(MC$1&lt;INDEX('Valo FX'!$R:$R,MATCH($A5,'Valo FX'!$A:$A,0)),INDEX(Base!$U:$U,MATCH($A5,Base!$A:$A,0)),IF(MC$1=INDEX('Valo FX'!$R:$R,MATCH($A5,'Valo FX'!$A:$A,0)),INDEX(Base!$V:$V,MATCH($A5,Base!$A:$A,0)),0)))</f>
        <v>0</v>
      </c>
      <c r="MD5" s="21">
        <f>IF(MD$1&lt;INDEX('Valo FX'!$Q:$Q,MATCH($A5,'Valo FX'!$A:$A,0)),0,IF(MD$1&lt;INDEX('Valo FX'!$R:$R,MATCH($A5,'Valo FX'!$A:$A,0)),INDEX(Base!$U:$U,MATCH($A5,Base!$A:$A,0)),IF(MD$1=INDEX('Valo FX'!$R:$R,MATCH($A5,'Valo FX'!$A:$A,0)),INDEX(Base!$V:$V,MATCH($A5,Base!$A:$A,0)),0)))</f>
        <v>0</v>
      </c>
      <c r="ME5" s="21">
        <f>IF(ME$1&lt;INDEX('Valo FX'!$Q:$Q,MATCH($A5,'Valo FX'!$A:$A,0)),0,IF(ME$1&lt;INDEX('Valo FX'!$R:$R,MATCH($A5,'Valo FX'!$A:$A,0)),INDEX(Base!$U:$U,MATCH($A5,Base!$A:$A,0)),IF(ME$1=INDEX('Valo FX'!$R:$R,MATCH($A5,'Valo FX'!$A:$A,0)),INDEX(Base!$V:$V,MATCH($A5,Base!$A:$A,0)),0)))</f>
        <v>0</v>
      </c>
      <c r="MF5" s="21">
        <f>IF(MF$1&lt;INDEX('Valo FX'!$Q:$Q,MATCH($A5,'Valo FX'!$A:$A,0)),0,IF(MF$1&lt;INDEX('Valo FX'!$R:$R,MATCH($A5,'Valo FX'!$A:$A,0)),INDEX(Base!$U:$U,MATCH($A5,Base!$A:$A,0)),IF(MF$1=INDEX('Valo FX'!$R:$R,MATCH($A5,'Valo FX'!$A:$A,0)),INDEX(Base!$V:$V,MATCH($A5,Base!$A:$A,0)),0)))</f>
        <v>0</v>
      </c>
      <c r="MG5" s="21">
        <f>IF(MG$1&lt;INDEX('Valo FX'!$Q:$Q,MATCH($A5,'Valo FX'!$A:$A,0)),0,IF(MG$1&lt;INDEX('Valo FX'!$R:$R,MATCH($A5,'Valo FX'!$A:$A,0)),INDEX(Base!$U:$U,MATCH($A5,Base!$A:$A,0)),IF(MG$1=INDEX('Valo FX'!$R:$R,MATCH($A5,'Valo FX'!$A:$A,0)),INDEX(Base!$V:$V,MATCH($A5,Base!$A:$A,0)),0)))</f>
        <v>0</v>
      </c>
      <c r="MH5" s="21">
        <f>IF(MH$1&lt;INDEX('Valo FX'!$Q:$Q,MATCH($A5,'Valo FX'!$A:$A,0)),0,IF(MH$1&lt;INDEX('Valo FX'!$R:$R,MATCH($A5,'Valo FX'!$A:$A,0)),INDEX(Base!$U:$U,MATCH($A5,Base!$A:$A,0)),IF(MH$1=INDEX('Valo FX'!$R:$R,MATCH($A5,'Valo FX'!$A:$A,0)),INDEX(Base!$V:$V,MATCH($A5,Base!$A:$A,0)),0)))</f>
        <v>0</v>
      </c>
      <c r="MI5" s="21">
        <f>IF(MI$1&lt;INDEX('Valo FX'!$Q:$Q,MATCH($A5,'Valo FX'!$A:$A,0)),0,IF(MI$1&lt;INDEX('Valo FX'!$R:$R,MATCH($A5,'Valo FX'!$A:$A,0)),INDEX(Base!$U:$U,MATCH($A5,Base!$A:$A,0)),IF(MI$1=INDEX('Valo FX'!$R:$R,MATCH($A5,'Valo FX'!$A:$A,0)),INDEX(Base!$V:$V,MATCH($A5,Base!$A:$A,0)),0)))</f>
        <v>0</v>
      </c>
      <c r="MJ5" s="21">
        <f>IF(MJ$1&lt;INDEX('Valo FX'!$Q:$Q,MATCH($A5,'Valo FX'!$A:$A,0)),0,IF(MJ$1&lt;INDEX('Valo FX'!$R:$R,MATCH($A5,'Valo FX'!$A:$A,0)),INDEX(Base!$U:$U,MATCH($A5,Base!$A:$A,0)),IF(MJ$1=INDEX('Valo FX'!$R:$R,MATCH($A5,'Valo FX'!$A:$A,0)),INDEX(Base!$V:$V,MATCH($A5,Base!$A:$A,0)),0)))</f>
        <v>0</v>
      </c>
      <c r="MK5" s="21">
        <f>IF(MK$1&lt;INDEX('Valo FX'!$Q:$Q,MATCH($A5,'Valo FX'!$A:$A,0)),0,IF(MK$1&lt;INDEX('Valo FX'!$R:$R,MATCH($A5,'Valo FX'!$A:$A,0)),INDEX(Base!$U:$U,MATCH($A5,Base!$A:$A,0)),IF(MK$1=INDEX('Valo FX'!$R:$R,MATCH($A5,'Valo FX'!$A:$A,0)),INDEX(Base!$V:$V,MATCH($A5,Base!$A:$A,0)),0)))</f>
        <v>0</v>
      </c>
      <c r="ML5" s="21">
        <f>IF(ML$1&lt;INDEX('Valo FX'!$Q:$Q,MATCH($A5,'Valo FX'!$A:$A,0)),0,IF(ML$1&lt;INDEX('Valo FX'!$R:$R,MATCH($A5,'Valo FX'!$A:$A,0)),INDEX(Base!$U:$U,MATCH($A5,Base!$A:$A,0)),IF(ML$1=INDEX('Valo FX'!$R:$R,MATCH($A5,'Valo FX'!$A:$A,0)),INDEX(Base!$V:$V,MATCH($A5,Base!$A:$A,0)),0)))</f>
        <v>0</v>
      </c>
      <c r="MM5" s="21">
        <f>IF(MM$1&lt;INDEX('Valo FX'!$Q:$Q,MATCH($A5,'Valo FX'!$A:$A,0)),0,IF(MM$1&lt;INDEX('Valo FX'!$R:$R,MATCH($A5,'Valo FX'!$A:$A,0)),INDEX(Base!$U:$U,MATCH($A5,Base!$A:$A,0)),IF(MM$1=INDEX('Valo FX'!$R:$R,MATCH($A5,'Valo FX'!$A:$A,0)),INDEX(Base!$V:$V,MATCH($A5,Base!$A:$A,0)),0)))</f>
        <v>0</v>
      </c>
      <c r="MN5" s="21">
        <f>IF(MN$1&lt;INDEX('Valo FX'!$Q:$Q,MATCH($A5,'Valo FX'!$A:$A,0)),0,IF(MN$1&lt;INDEX('Valo FX'!$R:$R,MATCH($A5,'Valo FX'!$A:$A,0)),INDEX(Base!$U:$U,MATCH($A5,Base!$A:$A,0)),IF(MN$1=INDEX('Valo FX'!$R:$R,MATCH($A5,'Valo FX'!$A:$A,0)),INDEX(Base!$V:$V,MATCH($A5,Base!$A:$A,0)),0)))</f>
        <v>0</v>
      </c>
      <c r="MO5" s="21">
        <f>IF(MO$1&lt;INDEX('Valo FX'!$Q:$Q,MATCH($A5,'Valo FX'!$A:$A,0)),0,IF(MO$1&lt;INDEX('Valo FX'!$R:$R,MATCH($A5,'Valo FX'!$A:$A,0)),INDEX(Base!$U:$U,MATCH($A5,Base!$A:$A,0)),IF(MO$1=INDEX('Valo FX'!$R:$R,MATCH($A5,'Valo FX'!$A:$A,0)),INDEX(Base!$V:$V,MATCH($A5,Base!$A:$A,0)),0)))</f>
        <v>0</v>
      </c>
      <c r="MP5" s="21">
        <f>IF(MP$1&lt;INDEX('Valo FX'!$Q:$Q,MATCH($A5,'Valo FX'!$A:$A,0)),0,IF(MP$1&lt;INDEX('Valo FX'!$R:$R,MATCH($A5,'Valo FX'!$A:$A,0)),INDEX(Base!$U:$U,MATCH($A5,Base!$A:$A,0)),IF(MP$1=INDEX('Valo FX'!$R:$R,MATCH($A5,'Valo FX'!$A:$A,0)),INDEX(Base!$V:$V,MATCH($A5,Base!$A:$A,0)),0)))</f>
        <v>0</v>
      </c>
      <c r="MQ5" s="21">
        <f>IF(MQ$1&lt;INDEX('Valo FX'!$Q:$Q,MATCH($A5,'Valo FX'!$A:$A,0)),0,IF(MQ$1&lt;INDEX('Valo FX'!$R:$R,MATCH($A5,'Valo FX'!$A:$A,0)),INDEX(Base!$U:$U,MATCH($A5,Base!$A:$A,0)),IF(MQ$1=INDEX('Valo FX'!$R:$R,MATCH($A5,'Valo FX'!$A:$A,0)),INDEX(Base!$V:$V,MATCH($A5,Base!$A:$A,0)),0)))</f>
        <v>0</v>
      </c>
      <c r="MR5" s="21">
        <f>IF(MR$1&lt;INDEX('Valo FX'!$Q:$Q,MATCH($A5,'Valo FX'!$A:$A,0)),0,IF(MR$1&lt;INDEX('Valo FX'!$R:$R,MATCH($A5,'Valo FX'!$A:$A,0)),INDEX(Base!$U:$U,MATCH($A5,Base!$A:$A,0)),IF(MR$1=INDEX('Valo FX'!$R:$R,MATCH($A5,'Valo FX'!$A:$A,0)),INDEX(Base!$V:$V,MATCH($A5,Base!$A:$A,0)),0)))</f>
        <v>0</v>
      </c>
      <c r="MS5" s="21">
        <f>IF(MS$1&lt;INDEX('Valo FX'!$Q:$Q,MATCH($A5,'Valo FX'!$A:$A,0)),0,IF(MS$1&lt;INDEX('Valo FX'!$R:$R,MATCH($A5,'Valo FX'!$A:$A,0)),INDEX(Base!$U:$U,MATCH($A5,Base!$A:$A,0)),IF(MS$1=INDEX('Valo FX'!$R:$R,MATCH($A5,'Valo FX'!$A:$A,0)),INDEX(Base!$V:$V,MATCH($A5,Base!$A:$A,0)),0)))</f>
        <v>0</v>
      </c>
      <c r="MT5" s="21">
        <f>IF(MT$1&lt;INDEX('Valo FX'!$Q:$Q,MATCH($A5,'Valo FX'!$A:$A,0)),0,IF(MT$1&lt;INDEX('Valo FX'!$R:$R,MATCH($A5,'Valo FX'!$A:$A,0)),INDEX(Base!$U:$U,MATCH($A5,Base!$A:$A,0)),IF(MT$1=INDEX('Valo FX'!$R:$R,MATCH($A5,'Valo FX'!$A:$A,0)),INDEX(Base!$V:$V,MATCH($A5,Base!$A:$A,0)),0)))</f>
        <v>0</v>
      </c>
      <c r="MU5" s="21">
        <f>IF(MU$1&lt;INDEX('Valo FX'!$Q:$Q,MATCH($A5,'Valo FX'!$A:$A,0)),0,IF(MU$1&lt;INDEX('Valo FX'!$R:$R,MATCH($A5,'Valo FX'!$A:$A,0)),INDEX(Base!$U:$U,MATCH($A5,Base!$A:$A,0)),IF(MU$1=INDEX('Valo FX'!$R:$R,MATCH($A5,'Valo FX'!$A:$A,0)),INDEX(Base!$V:$V,MATCH($A5,Base!$A:$A,0)),0)))</f>
        <v>0</v>
      </c>
      <c r="MV5" s="21">
        <f>IF(MV$1&lt;INDEX('Valo FX'!$Q:$Q,MATCH($A5,'Valo FX'!$A:$A,0)),0,IF(MV$1&lt;INDEX('Valo FX'!$R:$R,MATCH($A5,'Valo FX'!$A:$A,0)),INDEX(Base!$U:$U,MATCH($A5,Base!$A:$A,0)),IF(MV$1=INDEX('Valo FX'!$R:$R,MATCH($A5,'Valo FX'!$A:$A,0)),INDEX(Base!$V:$V,MATCH($A5,Base!$A:$A,0)),0)))</f>
        <v>0</v>
      </c>
      <c r="MW5" s="21">
        <f>IF(MW$1&lt;INDEX('Valo FX'!$Q:$Q,MATCH($A5,'Valo FX'!$A:$A,0)),0,IF(MW$1&lt;INDEX('Valo FX'!$R:$R,MATCH($A5,'Valo FX'!$A:$A,0)),INDEX(Base!$U:$U,MATCH($A5,Base!$A:$A,0)),IF(MW$1=INDEX('Valo FX'!$R:$R,MATCH($A5,'Valo FX'!$A:$A,0)),INDEX(Base!$V:$V,MATCH($A5,Base!$A:$A,0)),0)))</f>
        <v>0</v>
      </c>
      <c r="MX5" s="21">
        <f>IF(MX$1&lt;INDEX('Valo FX'!$Q:$Q,MATCH($A5,'Valo FX'!$A:$A,0)),0,IF(MX$1&lt;INDEX('Valo FX'!$R:$R,MATCH($A5,'Valo FX'!$A:$A,0)),INDEX(Base!$U:$U,MATCH($A5,Base!$A:$A,0)),IF(MX$1=INDEX('Valo FX'!$R:$R,MATCH($A5,'Valo FX'!$A:$A,0)),INDEX(Base!$V:$V,MATCH($A5,Base!$A:$A,0)),0)))</f>
        <v>0</v>
      </c>
      <c r="MY5" s="21">
        <f>IF(MY$1&lt;INDEX('Valo FX'!$Q:$Q,MATCH($A5,'Valo FX'!$A:$A,0)),0,IF(MY$1&lt;INDEX('Valo FX'!$R:$R,MATCH($A5,'Valo FX'!$A:$A,0)),INDEX(Base!$U:$U,MATCH($A5,Base!$A:$A,0)),IF(MY$1=INDEX('Valo FX'!$R:$R,MATCH($A5,'Valo FX'!$A:$A,0)),INDEX(Base!$V:$V,MATCH($A5,Base!$A:$A,0)),0)))</f>
        <v>0</v>
      </c>
    </row>
    <row r="6" spans="1:363" x14ac:dyDescent="0.2">
      <c r="A6" s="7">
        <f>+'Valo FX'!A7</f>
        <v>4</v>
      </c>
      <c r="B6" s="58">
        <f>-'Valo FX'!T7</f>
        <v>-1772.9011835115232</v>
      </c>
      <c r="C6" s="21">
        <f>IF(C$1&lt;INDEX('Valo FX'!$Q:$Q,MATCH($A6,'Valo FX'!$A:$A,0)),0,IF(C$1&lt;INDEX('Valo FX'!$R:$R,MATCH($A6,'Valo FX'!$A:$A,0)),INDEX(Base!$U:$U,MATCH($A6,Base!$A:$A,0)),IF(C$1=INDEX('Valo FX'!$R:$R,MATCH($A6,'Valo FX'!$A:$A,0)),INDEX(Base!$V:$V,MATCH($A6,Base!$A:$A,0)),0)))</f>
        <v>0</v>
      </c>
      <c r="D6" s="21">
        <f>IF(D$1&lt;INDEX('Valo FX'!$Q:$Q,MATCH($A6,'Valo FX'!$A:$A,0)),0,IF(D$1&lt;INDEX('Valo FX'!$R:$R,MATCH($A6,'Valo FX'!$A:$A,0)),INDEX(Base!$U:$U,MATCH($A6,Base!$A:$A,0)),IF(D$1=INDEX('Valo FX'!$R:$R,MATCH($A6,'Valo FX'!$A:$A,0)),INDEX(Base!$V:$V,MATCH($A6,Base!$A:$A,0)),0)))</f>
        <v>0</v>
      </c>
      <c r="E6" s="21">
        <f>IF(E$1&lt;INDEX('Valo FX'!$Q:$Q,MATCH($A6,'Valo FX'!$A:$A,0)),0,IF(E$1&lt;INDEX('Valo FX'!$R:$R,MATCH($A6,'Valo FX'!$A:$A,0)),INDEX(Base!$U:$U,MATCH($A6,Base!$A:$A,0)),IF(E$1=INDEX('Valo FX'!$R:$R,MATCH($A6,'Valo FX'!$A:$A,0)),INDEX(Base!$V:$V,MATCH($A6,Base!$A:$A,0)),0)))</f>
        <v>0</v>
      </c>
      <c r="F6" s="21">
        <f>IF(F$1&lt;INDEX('Valo FX'!$Q:$Q,MATCH($A6,'Valo FX'!$A:$A,0)),0,IF(F$1&lt;INDEX('Valo FX'!$R:$R,MATCH($A6,'Valo FX'!$A:$A,0)),INDEX(Base!$U:$U,MATCH($A6,Base!$A:$A,0)),IF(F$1=INDEX('Valo FX'!$R:$R,MATCH($A6,'Valo FX'!$A:$A,0)),INDEX(Base!$V:$V,MATCH($A6,Base!$A:$A,0)),0)))</f>
        <v>0</v>
      </c>
      <c r="G6" s="21">
        <f>IF(G$1&lt;INDEX('Valo FX'!$Q:$Q,MATCH($A6,'Valo FX'!$A:$A,0)),0,IF(G$1&lt;INDEX('Valo FX'!$R:$R,MATCH($A6,'Valo FX'!$A:$A,0)),INDEX(Base!$U:$U,MATCH($A6,Base!$A:$A,0)),IF(G$1=INDEX('Valo FX'!$R:$R,MATCH($A6,'Valo FX'!$A:$A,0)),INDEX(Base!$V:$V,MATCH($A6,Base!$A:$A,0)),0)))</f>
        <v>0</v>
      </c>
      <c r="H6" s="21">
        <f>IF(H$1&lt;INDEX('Valo FX'!$Q:$Q,MATCH($A6,'Valo FX'!$A:$A,0)),0,IF(H$1&lt;INDEX('Valo FX'!$R:$R,MATCH($A6,'Valo FX'!$A:$A,0)),INDEX(Base!$U:$U,MATCH($A6,Base!$A:$A,0)),IF(H$1=INDEX('Valo FX'!$R:$R,MATCH($A6,'Valo FX'!$A:$A,0)),INDEX(Base!$V:$V,MATCH($A6,Base!$A:$A,0)),0)))</f>
        <v>0</v>
      </c>
      <c r="I6" s="21">
        <f>IF(I$1&lt;INDEX('Valo FX'!$Q:$Q,MATCH($A6,'Valo FX'!$A:$A,0)),0,IF(I$1&lt;INDEX('Valo FX'!$R:$R,MATCH($A6,'Valo FX'!$A:$A,0)),INDEX(Base!$U:$U,MATCH($A6,Base!$A:$A,0)),IF(I$1=INDEX('Valo FX'!$R:$R,MATCH($A6,'Valo FX'!$A:$A,0)),INDEX(Base!$V:$V,MATCH($A6,Base!$A:$A,0)),0)))</f>
        <v>13.571168</v>
      </c>
      <c r="J6" s="21">
        <f>IF(J$1&lt;INDEX('Valo FX'!$Q:$Q,MATCH($A6,'Valo FX'!$A:$A,0)),0,IF(J$1&lt;INDEX('Valo FX'!$R:$R,MATCH($A6,'Valo FX'!$A:$A,0)),INDEX(Base!$U:$U,MATCH($A6,Base!$A:$A,0)),IF(J$1=INDEX('Valo FX'!$R:$R,MATCH($A6,'Valo FX'!$A:$A,0)),INDEX(Base!$V:$V,MATCH($A6,Base!$A:$A,0)),0)))</f>
        <v>13.571168</v>
      </c>
      <c r="K6" s="21">
        <f>IF(K$1&lt;INDEX('Valo FX'!$Q:$Q,MATCH($A6,'Valo FX'!$A:$A,0)),0,IF(K$1&lt;INDEX('Valo FX'!$R:$R,MATCH($A6,'Valo FX'!$A:$A,0)),INDEX(Base!$U:$U,MATCH($A6,Base!$A:$A,0)),IF(K$1=INDEX('Valo FX'!$R:$R,MATCH($A6,'Valo FX'!$A:$A,0)),INDEX(Base!$V:$V,MATCH($A6,Base!$A:$A,0)),0)))</f>
        <v>13.571168</v>
      </c>
      <c r="L6" s="21">
        <f>IF(L$1&lt;INDEX('Valo FX'!$Q:$Q,MATCH($A6,'Valo FX'!$A:$A,0)),0,IF(L$1&lt;INDEX('Valo FX'!$R:$R,MATCH($A6,'Valo FX'!$A:$A,0)),INDEX(Base!$U:$U,MATCH($A6,Base!$A:$A,0)),IF(L$1=INDEX('Valo FX'!$R:$R,MATCH($A6,'Valo FX'!$A:$A,0)),INDEX(Base!$V:$V,MATCH($A6,Base!$A:$A,0)),0)))</f>
        <v>13.571168</v>
      </c>
      <c r="M6" s="21">
        <f>IF(M$1&lt;INDEX('Valo FX'!$Q:$Q,MATCH($A6,'Valo FX'!$A:$A,0)),0,IF(M$1&lt;INDEX('Valo FX'!$R:$R,MATCH($A6,'Valo FX'!$A:$A,0)),INDEX(Base!$U:$U,MATCH($A6,Base!$A:$A,0)),IF(M$1=INDEX('Valo FX'!$R:$R,MATCH($A6,'Valo FX'!$A:$A,0)),INDEX(Base!$V:$V,MATCH($A6,Base!$A:$A,0)),0)))</f>
        <v>13.571168</v>
      </c>
      <c r="N6" s="21">
        <f>IF(N$1&lt;INDEX('Valo FX'!$Q:$Q,MATCH($A6,'Valo FX'!$A:$A,0)),0,IF(N$1&lt;INDEX('Valo FX'!$R:$R,MATCH($A6,'Valo FX'!$A:$A,0)),INDEX(Base!$U:$U,MATCH($A6,Base!$A:$A,0)),IF(N$1=INDEX('Valo FX'!$R:$R,MATCH($A6,'Valo FX'!$A:$A,0)),INDEX(Base!$V:$V,MATCH($A6,Base!$A:$A,0)),0)))</f>
        <v>13.571168</v>
      </c>
      <c r="O6" s="21">
        <f>IF(O$1&lt;INDEX('Valo FX'!$Q:$Q,MATCH($A6,'Valo FX'!$A:$A,0)),0,IF(O$1&lt;INDEX('Valo FX'!$R:$R,MATCH($A6,'Valo FX'!$A:$A,0)),INDEX(Base!$U:$U,MATCH($A6,Base!$A:$A,0)),IF(O$1=INDEX('Valo FX'!$R:$R,MATCH($A6,'Valo FX'!$A:$A,0)),INDEX(Base!$V:$V,MATCH($A6,Base!$A:$A,0)),0)))</f>
        <v>13.571168</v>
      </c>
      <c r="P6" s="21">
        <f>IF(P$1&lt;INDEX('Valo FX'!$Q:$Q,MATCH($A6,'Valo FX'!$A:$A,0)),0,IF(P$1&lt;INDEX('Valo FX'!$R:$R,MATCH($A6,'Valo FX'!$A:$A,0)),INDEX(Base!$U:$U,MATCH($A6,Base!$A:$A,0)),IF(P$1=INDEX('Valo FX'!$R:$R,MATCH($A6,'Valo FX'!$A:$A,0)),INDEX(Base!$V:$V,MATCH($A6,Base!$A:$A,0)),0)))</f>
        <v>13.571168</v>
      </c>
      <c r="Q6" s="21">
        <f>IF(Q$1&lt;INDEX('Valo FX'!$Q:$Q,MATCH($A6,'Valo FX'!$A:$A,0)),0,IF(Q$1&lt;INDEX('Valo FX'!$R:$R,MATCH($A6,'Valo FX'!$A:$A,0)),INDEX(Base!$U:$U,MATCH($A6,Base!$A:$A,0)),IF(Q$1=INDEX('Valo FX'!$R:$R,MATCH($A6,'Valo FX'!$A:$A,0)),INDEX(Base!$V:$V,MATCH($A6,Base!$A:$A,0)),0)))</f>
        <v>13.571168</v>
      </c>
      <c r="R6" s="21">
        <f>IF(R$1&lt;INDEX('Valo FX'!$Q:$Q,MATCH($A6,'Valo FX'!$A:$A,0)),0,IF(R$1&lt;INDEX('Valo FX'!$R:$R,MATCH($A6,'Valo FX'!$A:$A,0)),INDEX(Base!$U:$U,MATCH($A6,Base!$A:$A,0)),IF(R$1=INDEX('Valo FX'!$R:$R,MATCH($A6,'Valo FX'!$A:$A,0)),INDEX(Base!$V:$V,MATCH($A6,Base!$A:$A,0)),0)))</f>
        <v>13.571168</v>
      </c>
      <c r="S6" s="21">
        <f>IF(S$1&lt;INDEX('Valo FX'!$Q:$Q,MATCH($A6,'Valo FX'!$A:$A,0)),0,IF(S$1&lt;INDEX('Valo FX'!$R:$R,MATCH($A6,'Valo FX'!$A:$A,0)),INDEX(Base!$U:$U,MATCH($A6,Base!$A:$A,0)),IF(S$1=INDEX('Valo FX'!$R:$R,MATCH($A6,'Valo FX'!$A:$A,0)),INDEX(Base!$V:$V,MATCH($A6,Base!$A:$A,0)),0)))</f>
        <v>13.571168</v>
      </c>
      <c r="T6" s="21">
        <f>IF(T$1&lt;INDEX('Valo FX'!$Q:$Q,MATCH($A6,'Valo FX'!$A:$A,0)),0,IF(T$1&lt;INDEX('Valo FX'!$R:$R,MATCH($A6,'Valo FX'!$A:$A,0)),INDEX(Base!$U:$U,MATCH($A6,Base!$A:$A,0)),IF(T$1=INDEX('Valo FX'!$R:$R,MATCH($A6,'Valo FX'!$A:$A,0)),INDEX(Base!$V:$V,MATCH($A6,Base!$A:$A,0)),0)))</f>
        <v>13.571168</v>
      </c>
      <c r="U6" s="21">
        <f>IF(U$1&lt;INDEX('Valo FX'!$Q:$Q,MATCH($A6,'Valo FX'!$A:$A,0)),0,IF(U$1&lt;INDEX('Valo FX'!$R:$R,MATCH($A6,'Valo FX'!$A:$A,0)),INDEX(Base!$U:$U,MATCH($A6,Base!$A:$A,0)),IF(U$1=INDEX('Valo FX'!$R:$R,MATCH($A6,'Valo FX'!$A:$A,0)),INDEX(Base!$V:$V,MATCH($A6,Base!$A:$A,0)),0)))</f>
        <v>13.571168</v>
      </c>
      <c r="V6" s="21">
        <f>IF(V$1&lt;INDEX('Valo FX'!$Q:$Q,MATCH($A6,'Valo FX'!$A:$A,0)),0,IF(V$1&lt;INDEX('Valo FX'!$R:$R,MATCH($A6,'Valo FX'!$A:$A,0)),INDEX(Base!$U:$U,MATCH($A6,Base!$A:$A,0)),IF(V$1=INDEX('Valo FX'!$R:$R,MATCH($A6,'Valo FX'!$A:$A,0)),INDEX(Base!$V:$V,MATCH($A6,Base!$A:$A,0)),0)))</f>
        <v>13.571168</v>
      </c>
      <c r="W6" s="21">
        <f>IF(W$1&lt;INDEX('Valo FX'!$Q:$Q,MATCH($A6,'Valo FX'!$A:$A,0)),0,IF(W$1&lt;INDEX('Valo FX'!$R:$R,MATCH($A6,'Valo FX'!$A:$A,0)),INDEX(Base!$U:$U,MATCH($A6,Base!$A:$A,0)),IF(W$1=INDEX('Valo FX'!$R:$R,MATCH($A6,'Valo FX'!$A:$A,0)),INDEX(Base!$V:$V,MATCH($A6,Base!$A:$A,0)),0)))</f>
        <v>13.571168</v>
      </c>
      <c r="X6" s="21">
        <f>IF(X$1&lt;INDEX('Valo FX'!$Q:$Q,MATCH($A6,'Valo FX'!$A:$A,0)),0,IF(X$1&lt;INDEX('Valo FX'!$R:$R,MATCH($A6,'Valo FX'!$A:$A,0)),INDEX(Base!$U:$U,MATCH($A6,Base!$A:$A,0)),IF(X$1=INDEX('Valo FX'!$R:$R,MATCH($A6,'Valo FX'!$A:$A,0)),INDEX(Base!$V:$V,MATCH($A6,Base!$A:$A,0)),0)))</f>
        <v>13.571168</v>
      </c>
      <c r="Y6" s="21">
        <f>IF(Y$1&lt;INDEX('Valo FX'!$Q:$Q,MATCH($A6,'Valo FX'!$A:$A,0)),0,IF(Y$1&lt;INDEX('Valo FX'!$R:$R,MATCH($A6,'Valo FX'!$A:$A,0)),INDEX(Base!$U:$U,MATCH($A6,Base!$A:$A,0)),IF(Y$1=INDEX('Valo FX'!$R:$R,MATCH($A6,'Valo FX'!$A:$A,0)),INDEX(Base!$V:$V,MATCH($A6,Base!$A:$A,0)),0)))</f>
        <v>13.571168</v>
      </c>
      <c r="Z6" s="21">
        <f>IF(Z$1&lt;INDEX('Valo FX'!$Q:$Q,MATCH($A6,'Valo FX'!$A:$A,0)),0,IF(Z$1&lt;INDEX('Valo FX'!$R:$R,MATCH($A6,'Valo FX'!$A:$A,0)),INDEX(Base!$U:$U,MATCH($A6,Base!$A:$A,0)),IF(Z$1=INDEX('Valo FX'!$R:$R,MATCH($A6,'Valo FX'!$A:$A,0)),INDEX(Base!$V:$V,MATCH($A6,Base!$A:$A,0)),0)))</f>
        <v>13.571168</v>
      </c>
      <c r="AA6" s="21">
        <f>IF(AA$1&lt;INDEX('Valo FX'!$Q:$Q,MATCH($A6,'Valo FX'!$A:$A,0)),0,IF(AA$1&lt;INDEX('Valo FX'!$R:$R,MATCH($A6,'Valo FX'!$A:$A,0)),INDEX(Base!$U:$U,MATCH($A6,Base!$A:$A,0)),IF(AA$1=INDEX('Valo FX'!$R:$R,MATCH($A6,'Valo FX'!$A:$A,0)),INDEX(Base!$V:$V,MATCH($A6,Base!$A:$A,0)),0)))</f>
        <v>13.571168</v>
      </c>
      <c r="AB6" s="21">
        <f>IF(AB$1&lt;INDEX('Valo FX'!$Q:$Q,MATCH($A6,'Valo FX'!$A:$A,0)),0,IF(AB$1&lt;INDEX('Valo FX'!$R:$R,MATCH($A6,'Valo FX'!$A:$A,0)),INDEX(Base!$U:$U,MATCH($A6,Base!$A:$A,0)),IF(AB$1=INDEX('Valo FX'!$R:$R,MATCH($A6,'Valo FX'!$A:$A,0)),INDEX(Base!$V:$V,MATCH($A6,Base!$A:$A,0)),0)))</f>
        <v>13.571168</v>
      </c>
      <c r="AC6" s="21">
        <f>IF(AC$1&lt;INDEX('Valo FX'!$Q:$Q,MATCH($A6,'Valo FX'!$A:$A,0)),0,IF(AC$1&lt;INDEX('Valo FX'!$R:$R,MATCH($A6,'Valo FX'!$A:$A,0)),INDEX(Base!$U:$U,MATCH($A6,Base!$A:$A,0)),IF(AC$1=INDEX('Valo FX'!$R:$R,MATCH($A6,'Valo FX'!$A:$A,0)),INDEX(Base!$V:$V,MATCH($A6,Base!$A:$A,0)),0)))</f>
        <v>13.571168</v>
      </c>
      <c r="AD6" s="21">
        <f>IF(AD$1&lt;INDEX('Valo FX'!$Q:$Q,MATCH($A6,'Valo FX'!$A:$A,0)),0,IF(AD$1&lt;INDEX('Valo FX'!$R:$R,MATCH($A6,'Valo FX'!$A:$A,0)),INDEX(Base!$U:$U,MATCH($A6,Base!$A:$A,0)),IF(AD$1=INDEX('Valo FX'!$R:$R,MATCH($A6,'Valo FX'!$A:$A,0)),INDEX(Base!$V:$V,MATCH($A6,Base!$A:$A,0)),0)))</f>
        <v>13.571168</v>
      </c>
      <c r="AE6" s="21">
        <f>IF(AE$1&lt;INDEX('Valo FX'!$Q:$Q,MATCH($A6,'Valo FX'!$A:$A,0)),0,IF(AE$1&lt;INDEX('Valo FX'!$R:$R,MATCH($A6,'Valo FX'!$A:$A,0)),INDEX(Base!$U:$U,MATCH($A6,Base!$A:$A,0)),IF(AE$1=INDEX('Valo FX'!$R:$R,MATCH($A6,'Valo FX'!$A:$A,0)),INDEX(Base!$V:$V,MATCH($A6,Base!$A:$A,0)),0)))</f>
        <v>13.571168</v>
      </c>
      <c r="AF6" s="21">
        <f>IF(AF$1&lt;INDEX('Valo FX'!$Q:$Q,MATCH($A6,'Valo FX'!$A:$A,0)),0,IF(AF$1&lt;INDEX('Valo FX'!$R:$R,MATCH($A6,'Valo FX'!$A:$A,0)),INDEX(Base!$U:$U,MATCH($A6,Base!$A:$A,0)),IF(AF$1=INDEX('Valo FX'!$R:$R,MATCH($A6,'Valo FX'!$A:$A,0)),INDEX(Base!$V:$V,MATCH($A6,Base!$A:$A,0)),0)))</f>
        <v>13.571168</v>
      </c>
      <c r="AG6" s="21">
        <f>IF(AG$1&lt;INDEX('Valo FX'!$Q:$Q,MATCH($A6,'Valo FX'!$A:$A,0)),0,IF(AG$1&lt;INDEX('Valo FX'!$R:$R,MATCH($A6,'Valo FX'!$A:$A,0)),INDEX(Base!$U:$U,MATCH($A6,Base!$A:$A,0)),IF(AG$1=INDEX('Valo FX'!$R:$R,MATCH($A6,'Valo FX'!$A:$A,0)),INDEX(Base!$V:$V,MATCH($A6,Base!$A:$A,0)),0)))</f>
        <v>13.571168</v>
      </c>
      <c r="AH6" s="21">
        <f>IF(AH$1&lt;INDEX('Valo FX'!$Q:$Q,MATCH($A6,'Valo FX'!$A:$A,0)),0,IF(AH$1&lt;INDEX('Valo FX'!$R:$R,MATCH($A6,'Valo FX'!$A:$A,0)),INDEX(Base!$U:$U,MATCH($A6,Base!$A:$A,0)),IF(AH$1=INDEX('Valo FX'!$R:$R,MATCH($A6,'Valo FX'!$A:$A,0)),INDEX(Base!$V:$V,MATCH($A6,Base!$A:$A,0)),0)))</f>
        <v>13.571168</v>
      </c>
      <c r="AI6" s="21">
        <f>IF(AI$1&lt;INDEX('Valo FX'!$Q:$Q,MATCH($A6,'Valo FX'!$A:$A,0)),0,IF(AI$1&lt;INDEX('Valo FX'!$R:$R,MATCH($A6,'Valo FX'!$A:$A,0)),INDEX(Base!$U:$U,MATCH($A6,Base!$A:$A,0)),IF(AI$1=INDEX('Valo FX'!$R:$R,MATCH($A6,'Valo FX'!$A:$A,0)),INDEX(Base!$V:$V,MATCH($A6,Base!$A:$A,0)),0)))</f>
        <v>13.571168</v>
      </c>
      <c r="AJ6" s="21">
        <f>IF(AJ$1&lt;INDEX('Valo FX'!$Q:$Q,MATCH($A6,'Valo FX'!$A:$A,0)),0,IF(AJ$1&lt;INDEX('Valo FX'!$R:$R,MATCH($A6,'Valo FX'!$A:$A,0)),INDEX(Base!$U:$U,MATCH($A6,Base!$A:$A,0)),IF(AJ$1=INDEX('Valo FX'!$R:$R,MATCH($A6,'Valo FX'!$A:$A,0)),INDEX(Base!$V:$V,MATCH($A6,Base!$A:$A,0)),0)))</f>
        <v>13.571168</v>
      </c>
      <c r="AK6" s="21">
        <f>IF(AK$1&lt;INDEX('Valo FX'!$Q:$Q,MATCH($A6,'Valo FX'!$A:$A,0)),0,IF(AK$1&lt;INDEX('Valo FX'!$R:$R,MATCH($A6,'Valo FX'!$A:$A,0)),INDEX(Base!$U:$U,MATCH($A6,Base!$A:$A,0)),IF(AK$1=INDEX('Valo FX'!$R:$R,MATCH($A6,'Valo FX'!$A:$A,0)),INDEX(Base!$V:$V,MATCH($A6,Base!$A:$A,0)),0)))</f>
        <v>13.571168</v>
      </c>
      <c r="AL6" s="21">
        <f>IF(AL$1&lt;INDEX('Valo FX'!$Q:$Q,MATCH($A6,'Valo FX'!$A:$A,0)),0,IF(AL$1&lt;INDEX('Valo FX'!$R:$R,MATCH($A6,'Valo FX'!$A:$A,0)),INDEX(Base!$U:$U,MATCH($A6,Base!$A:$A,0)),IF(AL$1=INDEX('Valo FX'!$R:$R,MATCH($A6,'Valo FX'!$A:$A,0)),INDEX(Base!$V:$V,MATCH($A6,Base!$A:$A,0)),0)))</f>
        <v>13.571168</v>
      </c>
      <c r="AM6" s="21">
        <f>IF(AM$1&lt;INDEX('Valo FX'!$Q:$Q,MATCH($A6,'Valo FX'!$A:$A,0)),0,IF(AM$1&lt;INDEX('Valo FX'!$R:$R,MATCH($A6,'Valo FX'!$A:$A,0)),INDEX(Base!$U:$U,MATCH($A6,Base!$A:$A,0)),IF(AM$1=INDEX('Valo FX'!$R:$R,MATCH($A6,'Valo FX'!$A:$A,0)),INDEX(Base!$V:$V,MATCH($A6,Base!$A:$A,0)),0)))</f>
        <v>13.571168</v>
      </c>
      <c r="AN6" s="21">
        <f>IF(AN$1&lt;INDEX('Valo FX'!$Q:$Q,MATCH($A6,'Valo FX'!$A:$A,0)),0,IF(AN$1&lt;INDEX('Valo FX'!$R:$R,MATCH($A6,'Valo FX'!$A:$A,0)),INDEX(Base!$U:$U,MATCH($A6,Base!$A:$A,0)),IF(AN$1=INDEX('Valo FX'!$R:$R,MATCH($A6,'Valo FX'!$A:$A,0)),INDEX(Base!$V:$V,MATCH($A6,Base!$A:$A,0)),0)))</f>
        <v>13.571168</v>
      </c>
      <c r="AO6" s="21">
        <f>IF(AO$1&lt;INDEX('Valo FX'!$Q:$Q,MATCH($A6,'Valo FX'!$A:$A,0)),0,IF(AO$1&lt;INDEX('Valo FX'!$R:$R,MATCH($A6,'Valo FX'!$A:$A,0)),INDEX(Base!$U:$U,MATCH($A6,Base!$A:$A,0)),IF(AO$1=INDEX('Valo FX'!$R:$R,MATCH($A6,'Valo FX'!$A:$A,0)),INDEX(Base!$V:$V,MATCH($A6,Base!$A:$A,0)),0)))</f>
        <v>13.571168</v>
      </c>
      <c r="AP6" s="21">
        <f>IF(AP$1&lt;INDEX('Valo FX'!$Q:$Q,MATCH($A6,'Valo FX'!$A:$A,0)),0,IF(AP$1&lt;INDEX('Valo FX'!$R:$R,MATCH($A6,'Valo FX'!$A:$A,0)),INDEX(Base!$U:$U,MATCH($A6,Base!$A:$A,0)),IF(AP$1=INDEX('Valo FX'!$R:$R,MATCH($A6,'Valo FX'!$A:$A,0)),INDEX(Base!$V:$V,MATCH($A6,Base!$A:$A,0)),0)))</f>
        <v>13.571168</v>
      </c>
      <c r="AQ6" s="21">
        <f>IF(AQ$1&lt;INDEX('Valo FX'!$Q:$Q,MATCH($A6,'Valo FX'!$A:$A,0)),0,IF(AQ$1&lt;INDEX('Valo FX'!$R:$R,MATCH($A6,'Valo FX'!$A:$A,0)),INDEX(Base!$U:$U,MATCH($A6,Base!$A:$A,0)),IF(AQ$1=INDEX('Valo FX'!$R:$R,MATCH($A6,'Valo FX'!$A:$A,0)),INDEX(Base!$V:$V,MATCH($A6,Base!$A:$A,0)),0)))</f>
        <v>13.571168</v>
      </c>
      <c r="AR6" s="21">
        <f>IF(AR$1&lt;INDEX('Valo FX'!$Q:$Q,MATCH($A6,'Valo FX'!$A:$A,0)),0,IF(AR$1&lt;INDEX('Valo FX'!$R:$R,MATCH($A6,'Valo FX'!$A:$A,0)),INDEX(Base!$U:$U,MATCH($A6,Base!$A:$A,0)),IF(AR$1=INDEX('Valo FX'!$R:$R,MATCH($A6,'Valo FX'!$A:$A,0)),INDEX(Base!$V:$V,MATCH($A6,Base!$A:$A,0)),0)))</f>
        <v>13.571168</v>
      </c>
      <c r="AS6" s="21">
        <f>IF(AS$1&lt;INDEX('Valo FX'!$Q:$Q,MATCH($A6,'Valo FX'!$A:$A,0)),0,IF(AS$1&lt;INDEX('Valo FX'!$R:$R,MATCH($A6,'Valo FX'!$A:$A,0)),INDEX(Base!$U:$U,MATCH($A6,Base!$A:$A,0)),IF(AS$1=INDEX('Valo FX'!$R:$R,MATCH($A6,'Valo FX'!$A:$A,0)),INDEX(Base!$V:$V,MATCH($A6,Base!$A:$A,0)),0)))</f>
        <v>13.571168</v>
      </c>
      <c r="AT6" s="21">
        <f>IF(AT$1&lt;INDEX('Valo FX'!$Q:$Q,MATCH($A6,'Valo FX'!$A:$A,0)),0,IF(AT$1&lt;INDEX('Valo FX'!$R:$R,MATCH($A6,'Valo FX'!$A:$A,0)),INDEX(Base!$U:$U,MATCH($A6,Base!$A:$A,0)),IF(AT$1=INDEX('Valo FX'!$R:$R,MATCH($A6,'Valo FX'!$A:$A,0)),INDEX(Base!$V:$V,MATCH($A6,Base!$A:$A,0)),0)))</f>
        <v>13.571168</v>
      </c>
      <c r="AU6" s="21">
        <f>IF(AU$1&lt;INDEX('Valo FX'!$Q:$Q,MATCH($A6,'Valo FX'!$A:$A,0)),0,IF(AU$1&lt;INDEX('Valo FX'!$R:$R,MATCH($A6,'Valo FX'!$A:$A,0)),INDEX(Base!$U:$U,MATCH($A6,Base!$A:$A,0)),IF(AU$1=INDEX('Valo FX'!$R:$R,MATCH($A6,'Valo FX'!$A:$A,0)),INDEX(Base!$V:$V,MATCH($A6,Base!$A:$A,0)),0)))</f>
        <v>13.571168</v>
      </c>
      <c r="AV6" s="21">
        <f>IF(AV$1&lt;INDEX('Valo FX'!$Q:$Q,MATCH($A6,'Valo FX'!$A:$A,0)),0,IF(AV$1&lt;INDEX('Valo FX'!$R:$R,MATCH($A6,'Valo FX'!$A:$A,0)),INDEX(Base!$U:$U,MATCH($A6,Base!$A:$A,0)),IF(AV$1=INDEX('Valo FX'!$R:$R,MATCH($A6,'Valo FX'!$A:$A,0)),INDEX(Base!$V:$V,MATCH($A6,Base!$A:$A,0)),0)))</f>
        <v>13.571168</v>
      </c>
      <c r="AW6" s="21">
        <f>IF(AW$1&lt;INDEX('Valo FX'!$Q:$Q,MATCH($A6,'Valo FX'!$A:$A,0)),0,IF(AW$1&lt;INDEX('Valo FX'!$R:$R,MATCH($A6,'Valo FX'!$A:$A,0)),INDEX(Base!$U:$U,MATCH($A6,Base!$A:$A,0)),IF(AW$1=INDEX('Valo FX'!$R:$R,MATCH($A6,'Valo FX'!$A:$A,0)),INDEX(Base!$V:$V,MATCH($A6,Base!$A:$A,0)),0)))</f>
        <v>13.571168</v>
      </c>
      <c r="AX6" s="21">
        <f>IF(AX$1&lt;INDEX('Valo FX'!$Q:$Q,MATCH($A6,'Valo FX'!$A:$A,0)),0,IF(AX$1&lt;INDEX('Valo FX'!$R:$R,MATCH($A6,'Valo FX'!$A:$A,0)),INDEX(Base!$U:$U,MATCH($A6,Base!$A:$A,0)),IF(AX$1=INDEX('Valo FX'!$R:$R,MATCH($A6,'Valo FX'!$A:$A,0)),INDEX(Base!$V:$V,MATCH($A6,Base!$A:$A,0)),0)))</f>
        <v>13.571168</v>
      </c>
      <c r="AY6" s="21">
        <f>IF(AY$1&lt;INDEX('Valo FX'!$Q:$Q,MATCH($A6,'Valo FX'!$A:$A,0)),0,IF(AY$1&lt;INDEX('Valo FX'!$R:$R,MATCH($A6,'Valo FX'!$A:$A,0)),INDEX(Base!$U:$U,MATCH($A6,Base!$A:$A,0)),IF(AY$1=INDEX('Valo FX'!$R:$R,MATCH($A6,'Valo FX'!$A:$A,0)),INDEX(Base!$V:$V,MATCH($A6,Base!$A:$A,0)),0)))</f>
        <v>13.571168</v>
      </c>
      <c r="AZ6" s="21">
        <f>IF(AZ$1&lt;INDEX('Valo FX'!$Q:$Q,MATCH($A6,'Valo FX'!$A:$A,0)),0,IF(AZ$1&lt;INDEX('Valo FX'!$R:$R,MATCH($A6,'Valo FX'!$A:$A,0)),INDEX(Base!$U:$U,MATCH($A6,Base!$A:$A,0)),IF(AZ$1=INDEX('Valo FX'!$R:$R,MATCH($A6,'Valo FX'!$A:$A,0)),INDEX(Base!$V:$V,MATCH($A6,Base!$A:$A,0)),0)))</f>
        <v>13.571168</v>
      </c>
      <c r="BA6" s="21">
        <f>IF(BA$1&lt;INDEX('Valo FX'!$Q:$Q,MATCH($A6,'Valo FX'!$A:$A,0)),0,IF(BA$1&lt;INDEX('Valo FX'!$R:$R,MATCH($A6,'Valo FX'!$A:$A,0)),INDEX(Base!$U:$U,MATCH($A6,Base!$A:$A,0)),IF(BA$1=INDEX('Valo FX'!$R:$R,MATCH($A6,'Valo FX'!$A:$A,0)),INDEX(Base!$V:$V,MATCH($A6,Base!$A:$A,0)),0)))</f>
        <v>13.571168</v>
      </c>
      <c r="BB6" s="21">
        <f>IF(BB$1&lt;INDEX('Valo FX'!$Q:$Q,MATCH($A6,'Valo FX'!$A:$A,0)),0,IF(BB$1&lt;INDEX('Valo FX'!$R:$R,MATCH($A6,'Valo FX'!$A:$A,0)),INDEX(Base!$U:$U,MATCH($A6,Base!$A:$A,0)),IF(BB$1=INDEX('Valo FX'!$R:$R,MATCH($A6,'Valo FX'!$A:$A,0)),INDEX(Base!$V:$V,MATCH($A6,Base!$A:$A,0)),0)))</f>
        <v>13.571168</v>
      </c>
      <c r="BC6" s="21">
        <f>IF(BC$1&lt;INDEX('Valo FX'!$Q:$Q,MATCH($A6,'Valo FX'!$A:$A,0)),0,IF(BC$1&lt;INDEX('Valo FX'!$R:$R,MATCH($A6,'Valo FX'!$A:$A,0)),INDEX(Base!$U:$U,MATCH($A6,Base!$A:$A,0)),IF(BC$1=INDEX('Valo FX'!$R:$R,MATCH($A6,'Valo FX'!$A:$A,0)),INDEX(Base!$V:$V,MATCH($A6,Base!$A:$A,0)),0)))</f>
        <v>13.571168</v>
      </c>
      <c r="BD6" s="21">
        <f>IF(BD$1&lt;INDEX('Valo FX'!$Q:$Q,MATCH($A6,'Valo FX'!$A:$A,0)),0,IF(BD$1&lt;INDEX('Valo FX'!$R:$R,MATCH($A6,'Valo FX'!$A:$A,0)),INDEX(Base!$U:$U,MATCH($A6,Base!$A:$A,0)),IF(BD$1=INDEX('Valo FX'!$R:$R,MATCH($A6,'Valo FX'!$A:$A,0)),INDEX(Base!$V:$V,MATCH($A6,Base!$A:$A,0)),0)))</f>
        <v>13.571168</v>
      </c>
      <c r="BE6" s="21">
        <f>IF(BE$1&lt;INDEX('Valo FX'!$Q:$Q,MATCH($A6,'Valo FX'!$A:$A,0)),0,IF(BE$1&lt;INDEX('Valo FX'!$R:$R,MATCH($A6,'Valo FX'!$A:$A,0)),INDEX(Base!$U:$U,MATCH($A6,Base!$A:$A,0)),IF(BE$1=INDEX('Valo FX'!$R:$R,MATCH($A6,'Valo FX'!$A:$A,0)),INDEX(Base!$V:$V,MATCH($A6,Base!$A:$A,0)),0)))</f>
        <v>13.571168</v>
      </c>
      <c r="BF6" s="21">
        <f>IF(BF$1&lt;INDEX('Valo FX'!$Q:$Q,MATCH($A6,'Valo FX'!$A:$A,0)),0,IF(BF$1&lt;INDEX('Valo FX'!$R:$R,MATCH($A6,'Valo FX'!$A:$A,0)),INDEX(Base!$U:$U,MATCH($A6,Base!$A:$A,0)),IF(BF$1=INDEX('Valo FX'!$R:$R,MATCH($A6,'Valo FX'!$A:$A,0)),INDEX(Base!$V:$V,MATCH($A6,Base!$A:$A,0)),0)))</f>
        <v>13.571168</v>
      </c>
      <c r="BG6" s="21">
        <f>IF(BG$1&lt;INDEX('Valo FX'!$Q:$Q,MATCH($A6,'Valo FX'!$A:$A,0)),0,IF(BG$1&lt;INDEX('Valo FX'!$R:$R,MATCH($A6,'Valo FX'!$A:$A,0)),INDEX(Base!$U:$U,MATCH($A6,Base!$A:$A,0)),IF(BG$1=INDEX('Valo FX'!$R:$R,MATCH($A6,'Valo FX'!$A:$A,0)),INDEX(Base!$V:$V,MATCH($A6,Base!$A:$A,0)),0)))</f>
        <v>13.571168</v>
      </c>
      <c r="BH6" s="21">
        <f>IF(BH$1&lt;INDEX('Valo FX'!$Q:$Q,MATCH($A6,'Valo FX'!$A:$A,0)),0,IF(BH$1&lt;INDEX('Valo FX'!$R:$R,MATCH($A6,'Valo FX'!$A:$A,0)),INDEX(Base!$U:$U,MATCH($A6,Base!$A:$A,0)),IF(BH$1=INDEX('Valo FX'!$R:$R,MATCH($A6,'Valo FX'!$A:$A,0)),INDEX(Base!$V:$V,MATCH($A6,Base!$A:$A,0)),0)))</f>
        <v>13.571168</v>
      </c>
      <c r="BI6" s="21">
        <f>IF(BI$1&lt;INDEX('Valo FX'!$Q:$Q,MATCH($A6,'Valo FX'!$A:$A,0)),0,IF(BI$1&lt;INDEX('Valo FX'!$R:$R,MATCH($A6,'Valo FX'!$A:$A,0)),INDEX(Base!$U:$U,MATCH($A6,Base!$A:$A,0)),IF(BI$1=INDEX('Valo FX'!$R:$R,MATCH($A6,'Valo FX'!$A:$A,0)),INDEX(Base!$V:$V,MATCH($A6,Base!$A:$A,0)),0)))</f>
        <v>13.571168</v>
      </c>
      <c r="BJ6" s="21">
        <f>IF(BJ$1&lt;INDEX('Valo FX'!$Q:$Q,MATCH($A6,'Valo FX'!$A:$A,0)),0,IF(BJ$1&lt;INDEX('Valo FX'!$R:$R,MATCH($A6,'Valo FX'!$A:$A,0)),INDEX(Base!$U:$U,MATCH($A6,Base!$A:$A,0)),IF(BJ$1=INDEX('Valo FX'!$R:$R,MATCH($A6,'Valo FX'!$A:$A,0)),INDEX(Base!$V:$V,MATCH($A6,Base!$A:$A,0)),0)))</f>
        <v>13.571168</v>
      </c>
      <c r="BK6" s="21">
        <f>IF(BK$1&lt;INDEX('Valo FX'!$Q:$Q,MATCH($A6,'Valo FX'!$A:$A,0)),0,IF(BK$1&lt;INDEX('Valo FX'!$R:$R,MATCH($A6,'Valo FX'!$A:$A,0)),INDEX(Base!$U:$U,MATCH($A6,Base!$A:$A,0)),IF(BK$1=INDEX('Valo FX'!$R:$R,MATCH($A6,'Valo FX'!$A:$A,0)),INDEX(Base!$V:$V,MATCH($A6,Base!$A:$A,0)),0)))</f>
        <v>13.571168</v>
      </c>
      <c r="BL6" s="21">
        <f>IF(BL$1&lt;INDEX('Valo FX'!$Q:$Q,MATCH($A6,'Valo FX'!$A:$A,0)),0,IF(BL$1&lt;INDEX('Valo FX'!$R:$R,MATCH($A6,'Valo FX'!$A:$A,0)),INDEX(Base!$U:$U,MATCH($A6,Base!$A:$A,0)),IF(BL$1=INDEX('Valo FX'!$R:$R,MATCH($A6,'Valo FX'!$A:$A,0)),INDEX(Base!$V:$V,MATCH($A6,Base!$A:$A,0)),0)))</f>
        <v>13.571168</v>
      </c>
      <c r="BM6" s="21">
        <f>IF(BM$1&lt;INDEX('Valo FX'!$Q:$Q,MATCH($A6,'Valo FX'!$A:$A,0)),0,IF(BM$1&lt;INDEX('Valo FX'!$R:$R,MATCH($A6,'Valo FX'!$A:$A,0)),INDEX(Base!$U:$U,MATCH($A6,Base!$A:$A,0)),IF(BM$1=INDEX('Valo FX'!$R:$R,MATCH($A6,'Valo FX'!$A:$A,0)),INDEX(Base!$V:$V,MATCH($A6,Base!$A:$A,0)),0)))</f>
        <v>13.571168</v>
      </c>
      <c r="BN6" s="21">
        <f>IF(BN$1&lt;INDEX('Valo FX'!$Q:$Q,MATCH($A6,'Valo FX'!$A:$A,0)),0,IF(BN$1&lt;INDEX('Valo FX'!$R:$R,MATCH($A6,'Valo FX'!$A:$A,0)),INDEX(Base!$U:$U,MATCH($A6,Base!$A:$A,0)),IF(BN$1=INDEX('Valo FX'!$R:$R,MATCH($A6,'Valo FX'!$A:$A,0)),INDEX(Base!$V:$V,MATCH($A6,Base!$A:$A,0)),0)))</f>
        <v>13.571168</v>
      </c>
      <c r="BO6" s="21">
        <f>IF(BO$1&lt;INDEX('Valo FX'!$Q:$Q,MATCH($A6,'Valo FX'!$A:$A,0)),0,IF(BO$1&lt;INDEX('Valo FX'!$R:$R,MATCH($A6,'Valo FX'!$A:$A,0)),INDEX(Base!$U:$U,MATCH($A6,Base!$A:$A,0)),IF(BO$1=INDEX('Valo FX'!$R:$R,MATCH($A6,'Valo FX'!$A:$A,0)),INDEX(Base!$V:$V,MATCH($A6,Base!$A:$A,0)),0)))</f>
        <v>13.571168</v>
      </c>
      <c r="BP6" s="21">
        <f>IF(BP$1&lt;INDEX('Valo FX'!$Q:$Q,MATCH($A6,'Valo FX'!$A:$A,0)),0,IF(BP$1&lt;INDEX('Valo FX'!$R:$R,MATCH($A6,'Valo FX'!$A:$A,0)),INDEX(Base!$U:$U,MATCH($A6,Base!$A:$A,0)),IF(BP$1=INDEX('Valo FX'!$R:$R,MATCH($A6,'Valo FX'!$A:$A,0)),INDEX(Base!$V:$V,MATCH($A6,Base!$A:$A,0)),0)))</f>
        <v>13.571168</v>
      </c>
      <c r="BQ6" s="21">
        <f>IF(BQ$1&lt;INDEX('Valo FX'!$Q:$Q,MATCH($A6,'Valo FX'!$A:$A,0)),0,IF(BQ$1&lt;INDEX('Valo FX'!$R:$R,MATCH($A6,'Valo FX'!$A:$A,0)),INDEX(Base!$U:$U,MATCH($A6,Base!$A:$A,0)),IF(BQ$1=INDEX('Valo FX'!$R:$R,MATCH($A6,'Valo FX'!$A:$A,0)),INDEX(Base!$V:$V,MATCH($A6,Base!$A:$A,0)),0)))</f>
        <v>13.571168</v>
      </c>
      <c r="BR6" s="21">
        <f>IF(BR$1&lt;INDEX('Valo FX'!$Q:$Q,MATCH($A6,'Valo FX'!$A:$A,0)),0,IF(BR$1&lt;INDEX('Valo FX'!$R:$R,MATCH($A6,'Valo FX'!$A:$A,0)),INDEX(Base!$U:$U,MATCH($A6,Base!$A:$A,0)),IF(BR$1=INDEX('Valo FX'!$R:$R,MATCH($A6,'Valo FX'!$A:$A,0)),INDEX(Base!$V:$V,MATCH($A6,Base!$A:$A,0)),0)))</f>
        <v>13.571168</v>
      </c>
      <c r="BS6" s="21">
        <f>IF(BS$1&lt;INDEX('Valo FX'!$Q:$Q,MATCH($A6,'Valo FX'!$A:$A,0)),0,IF(BS$1&lt;INDEX('Valo FX'!$R:$R,MATCH($A6,'Valo FX'!$A:$A,0)),INDEX(Base!$U:$U,MATCH($A6,Base!$A:$A,0)),IF(BS$1=INDEX('Valo FX'!$R:$R,MATCH($A6,'Valo FX'!$A:$A,0)),INDEX(Base!$V:$V,MATCH($A6,Base!$A:$A,0)),0)))</f>
        <v>13.571168</v>
      </c>
      <c r="BT6" s="21">
        <f>IF(BT$1&lt;INDEX('Valo FX'!$Q:$Q,MATCH($A6,'Valo FX'!$A:$A,0)),0,IF(BT$1&lt;INDEX('Valo FX'!$R:$R,MATCH($A6,'Valo FX'!$A:$A,0)),INDEX(Base!$U:$U,MATCH($A6,Base!$A:$A,0)),IF(BT$1=INDEX('Valo FX'!$R:$R,MATCH($A6,'Valo FX'!$A:$A,0)),INDEX(Base!$V:$V,MATCH($A6,Base!$A:$A,0)),0)))</f>
        <v>13.571168</v>
      </c>
      <c r="BU6" s="21">
        <f>IF(BU$1&lt;INDEX('Valo FX'!$Q:$Q,MATCH($A6,'Valo FX'!$A:$A,0)),0,IF(BU$1&lt;INDEX('Valo FX'!$R:$R,MATCH($A6,'Valo FX'!$A:$A,0)),INDEX(Base!$U:$U,MATCH($A6,Base!$A:$A,0)),IF(BU$1=INDEX('Valo FX'!$R:$R,MATCH($A6,'Valo FX'!$A:$A,0)),INDEX(Base!$V:$V,MATCH($A6,Base!$A:$A,0)),0)))</f>
        <v>13.571168</v>
      </c>
      <c r="BV6" s="21">
        <f>IF(BV$1&lt;INDEX('Valo FX'!$Q:$Q,MATCH($A6,'Valo FX'!$A:$A,0)),0,IF(BV$1&lt;INDEX('Valo FX'!$R:$R,MATCH($A6,'Valo FX'!$A:$A,0)),INDEX(Base!$U:$U,MATCH($A6,Base!$A:$A,0)),IF(BV$1=INDEX('Valo FX'!$R:$R,MATCH($A6,'Valo FX'!$A:$A,0)),INDEX(Base!$V:$V,MATCH($A6,Base!$A:$A,0)),0)))</f>
        <v>13.571168</v>
      </c>
      <c r="BW6" s="21">
        <f>IF(BW$1&lt;INDEX('Valo FX'!$Q:$Q,MATCH($A6,'Valo FX'!$A:$A,0)),0,IF(BW$1&lt;INDEX('Valo FX'!$R:$R,MATCH($A6,'Valo FX'!$A:$A,0)),INDEX(Base!$U:$U,MATCH($A6,Base!$A:$A,0)),IF(BW$1=INDEX('Valo FX'!$R:$R,MATCH($A6,'Valo FX'!$A:$A,0)),INDEX(Base!$V:$V,MATCH($A6,Base!$A:$A,0)),0)))</f>
        <v>13.571168</v>
      </c>
      <c r="BX6" s="21">
        <f>IF(BX$1&lt;INDEX('Valo FX'!$Q:$Q,MATCH($A6,'Valo FX'!$A:$A,0)),0,IF(BX$1&lt;INDEX('Valo FX'!$R:$R,MATCH($A6,'Valo FX'!$A:$A,0)),INDEX(Base!$U:$U,MATCH($A6,Base!$A:$A,0)),IF(BX$1=INDEX('Valo FX'!$R:$R,MATCH($A6,'Valo FX'!$A:$A,0)),INDEX(Base!$V:$V,MATCH($A6,Base!$A:$A,0)),0)))</f>
        <v>13.571168</v>
      </c>
      <c r="BY6" s="21">
        <f>IF(BY$1&lt;INDEX('Valo FX'!$Q:$Q,MATCH($A6,'Valo FX'!$A:$A,0)),0,IF(BY$1&lt;INDEX('Valo FX'!$R:$R,MATCH($A6,'Valo FX'!$A:$A,0)),INDEX(Base!$U:$U,MATCH($A6,Base!$A:$A,0)),IF(BY$1=INDEX('Valo FX'!$R:$R,MATCH($A6,'Valo FX'!$A:$A,0)),INDEX(Base!$V:$V,MATCH($A6,Base!$A:$A,0)),0)))</f>
        <v>13.571168</v>
      </c>
      <c r="BZ6" s="21">
        <f>IF(BZ$1&lt;INDEX('Valo FX'!$Q:$Q,MATCH($A6,'Valo FX'!$A:$A,0)),0,IF(BZ$1&lt;INDEX('Valo FX'!$R:$R,MATCH($A6,'Valo FX'!$A:$A,0)),INDEX(Base!$U:$U,MATCH($A6,Base!$A:$A,0)),IF(BZ$1=INDEX('Valo FX'!$R:$R,MATCH($A6,'Valo FX'!$A:$A,0)),INDEX(Base!$V:$V,MATCH($A6,Base!$A:$A,0)),0)))</f>
        <v>13.571168</v>
      </c>
      <c r="CA6" s="21">
        <f>IF(CA$1&lt;INDEX('Valo FX'!$Q:$Q,MATCH($A6,'Valo FX'!$A:$A,0)),0,IF(CA$1&lt;INDEX('Valo FX'!$R:$R,MATCH($A6,'Valo FX'!$A:$A,0)),INDEX(Base!$U:$U,MATCH($A6,Base!$A:$A,0)),IF(CA$1=INDEX('Valo FX'!$R:$R,MATCH($A6,'Valo FX'!$A:$A,0)),INDEX(Base!$V:$V,MATCH($A6,Base!$A:$A,0)),0)))</f>
        <v>13.571168</v>
      </c>
      <c r="CB6" s="21">
        <f>IF(CB$1&lt;INDEX('Valo FX'!$Q:$Q,MATCH($A6,'Valo FX'!$A:$A,0)),0,IF(CB$1&lt;INDEX('Valo FX'!$R:$R,MATCH($A6,'Valo FX'!$A:$A,0)),INDEX(Base!$U:$U,MATCH($A6,Base!$A:$A,0)),IF(CB$1=INDEX('Valo FX'!$R:$R,MATCH($A6,'Valo FX'!$A:$A,0)),INDEX(Base!$V:$V,MATCH($A6,Base!$A:$A,0)),0)))</f>
        <v>13.571168</v>
      </c>
      <c r="CC6" s="21">
        <f>IF(CC$1&lt;INDEX('Valo FX'!$Q:$Q,MATCH($A6,'Valo FX'!$A:$A,0)),0,IF(CC$1&lt;INDEX('Valo FX'!$R:$R,MATCH($A6,'Valo FX'!$A:$A,0)),INDEX(Base!$U:$U,MATCH($A6,Base!$A:$A,0)),IF(CC$1=INDEX('Valo FX'!$R:$R,MATCH($A6,'Valo FX'!$A:$A,0)),INDEX(Base!$V:$V,MATCH($A6,Base!$A:$A,0)),0)))</f>
        <v>13.571168</v>
      </c>
      <c r="CD6" s="21">
        <f>IF(CD$1&lt;INDEX('Valo FX'!$Q:$Q,MATCH($A6,'Valo FX'!$A:$A,0)),0,IF(CD$1&lt;INDEX('Valo FX'!$R:$R,MATCH($A6,'Valo FX'!$A:$A,0)),INDEX(Base!$U:$U,MATCH($A6,Base!$A:$A,0)),IF(CD$1=INDEX('Valo FX'!$R:$R,MATCH($A6,'Valo FX'!$A:$A,0)),INDEX(Base!$V:$V,MATCH($A6,Base!$A:$A,0)),0)))</f>
        <v>13.571168</v>
      </c>
      <c r="CE6" s="21">
        <f>IF(CE$1&lt;INDEX('Valo FX'!$Q:$Q,MATCH($A6,'Valo FX'!$A:$A,0)),0,IF(CE$1&lt;INDEX('Valo FX'!$R:$R,MATCH($A6,'Valo FX'!$A:$A,0)),INDEX(Base!$U:$U,MATCH($A6,Base!$A:$A,0)),IF(CE$1=INDEX('Valo FX'!$R:$R,MATCH($A6,'Valo FX'!$A:$A,0)),INDEX(Base!$V:$V,MATCH($A6,Base!$A:$A,0)),0)))</f>
        <v>13.571168</v>
      </c>
      <c r="CF6" s="21">
        <f>IF(CF$1&lt;INDEX('Valo FX'!$Q:$Q,MATCH($A6,'Valo FX'!$A:$A,0)),0,IF(CF$1&lt;INDEX('Valo FX'!$R:$R,MATCH($A6,'Valo FX'!$A:$A,0)),INDEX(Base!$U:$U,MATCH($A6,Base!$A:$A,0)),IF(CF$1=INDEX('Valo FX'!$R:$R,MATCH($A6,'Valo FX'!$A:$A,0)),INDEX(Base!$V:$V,MATCH($A6,Base!$A:$A,0)),0)))</f>
        <v>13.571168</v>
      </c>
      <c r="CG6" s="21">
        <f>IF(CG$1&lt;INDEX('Valo FX'!$Q:$Q,MATCH($A6,'Valo FX'!$A:$A,0)),0,IF(CG$1&lt;INDEX('Valo FX'!$R:$R,MATCH($A6,'Valo FX'!$A:$A,0)),INDEX(Base!$U:$U,MATCH($A6,Base!$A:$A,0)),IF(CG$1=INDEX('Valo FX'!$R:$R,MATCH($A6,'Valo FX'!$A:$A,0)),INDEX(Base!$V:$V,MATCH($A6,Base!$A:$A,0)),0)))</f>
        <v>13.571168</v>
      </c>
      <c r="CH6" s="21">
        <f>IF(CH$1&lt;INDEX('Valo FX'!$Q:$Q,MATCH($A6,'Valo FX'!$A:$A,0)),0,IF(CH$1&lt;INDEX('Valo FX'!$R:$R,MATCH($A6,'Valo FX'!$A:$A,0)),INDEX(Base!$U:$U,MATCH($A6,Base!$A:$A,0)),IF(CH$1=INDEX('Valo FX'!$R:$R,MATCH($A6,'Valo FX'!$A:$A,0)),INDEX(Base!$V:$V,MATCH($A6,Base!$A:$A,0)),0)))</f>
        <v>13.571168</v>
      </c>
      <c r="CI6" s="21">
        <f>IF(CI$1&lt;INDEX('Valo FX'!$Q:$Q,MATCH($A6,'Valo FX'!$A:$A,0)),0,IF(CI$1&lt;INDEX('Valo FX'!$R:$R,MATCH($A6,'Valo FX'!$A:$A,0)),INDEX(Base!$U:$U,MATCH($A6,Base!$A:$A,0)),IF(CI$1=INDEX('Valo FX'!$R:$R,MATCH($A6,'Valo FX'!$A:$A,0)),INDEX(Base!$V:$V,MATCH($A6,Base!$A:$A,0)),0)))</f>
        <v>13.571168</v>
      </c>
      <c r="CJ6" s="21">
        <f>IF(CJ$1&lt;INDEX('Valo FX'!$Q:$Q,MATCH($A6,'Valo FX'!$A:$A,0)),0,IF(CJ$1&lt;INDEX('Valo FX'!$R:$R,MATCH($A6,'Valo FX'!$A:$A,0)),INDEX(Base!$U:$U,MATCH($A6,Base!$A:$A,0)),IF(CJ$1=INDEX('Valo FX'!$R:$R,MATCH($A6,'Valo FX'!$A:$A,0)),INDEX(Base!$V:$V,MATCH($A6,Base!$A:$A,0)),0)))</f>
        <v>13.571168</v>
      </c>
      <c r="CK6" s="21">
        <f>IF(CK$1&lt;INDEX('Valo FX'!$Q:$Q,MATCH($A6,'Valo FX'!$A:$A,0)),0,IF(CK$1&lt;INDEX('Valo FX'!$R:$R,MATCH($A6,'Valo FX'!$A:$A,0)),INDEX(Base!$U:$U,MATCH($A6,Base!$A:$A,0)),IF(CK$1=INDEX('Valo FX'!$R:$R,MATCH($A6,'Valo FX'!$A:$A,0)),INDEX(Base!$V:$V,MATCH($A6,Base!$A:$A,0)),0)))</f>
        <v>13.571168</v>
      </c>
      <c r="CL6" s="21">
        <f>IF(CL$1&lt;INDEX('Valo FX'!$Q:$Q,MATCH($A6,'Valo FX'!$A:$A,0)),0,IF(CL$1&lt;INDEX('Valo FX'!$R:$R,MATCH($A6,'Valo FX'!$A:$A,0)),INDEX(Base!$U:$U,MATCH($A6,Base!$A:$A,0)),IF(CL$1=INDEX('Valo FX'!$R:$R,MATCH($A6,'Valo FX'!$A:$A,0)),INDEX(Base!$V:$V,MATCH($A6,Base!$A:$A,0)),0)))</f>
        <v>13.571168</v>
      </c>
      <c r="CM6" s="21">
        <f>IF(CM$1&lt;INDEX('Valo FX'!$Q:$Q,MATCH($A6,'Valo FX'!$A:$A,0)),0,IF(CM$1&lt;INDEX('Valo FX'!$R:$R,MATCH($A6,'Valo FX'!$A:$A,0)),INDEX(Base!$U:$U,MATCH($A6,Base!$A:$A,0)),IF(CM$1=INDEX('Valo FX'!$R:$R,MATCH($A6,'Valo FX'!$A:$A,0)),INDEX(Base!$V:$V,MATCH($A6,Base!$A:$A,0)),0)))</f>
        <v>13.571168</v>
      </c>
      <c r="CN6" s="21">
        <f>IF(CN$1&lt;INDEX('Valo FX'!$Q:$Q,MATCH($A6,'Valo FX'!$A:$A,0)),0,IF(CN$1&lt;INDEX('Valo FX'!$R:$R,MATCH($A6,'Valo FX'!$A:$A,0)),INDEX(Base!$U:$U,MATCH($A6,Base!$A:$A,0)),IF(CN$1=INDEX('Valo FX'!$R:$R,MATCH($A6,'Valo FX'!$A:$A,0)),INDEX(Base!$V:$V,MATCH($A6,Base!$A:$A,0)),0)))</f>
        <v>13.571168</v>
      </c>
      <c r="CO6" s="21">
        <f>IF(CO$1&lt;INDEX('Valo FX'!$Q:$Q,MATCH($A6,'Valo FX'!$A:$A,0)),0,IF(CO$1&lt;INDEX('Valo FX'!$R:$R,MATCH($A6,'Valo FX'!$A:$A,0)),INDEX(Base!$U:$U,MATCH($A6,Base!$A:$A,0)),IF(CO$1=INDEX('Valo FX'!$R:$R,MATCH($A6,'Valo FX'!$A:$A,0)),INDEX(Base!$V:$V,MATCH($A6,Base!$A:$A,0)),0)))</f>
        <v>13.571168</v>
      </c>
      <c r="CP6" s="21">
        <f>IF(CP$1&lt;INDEX('Valo FX'!$Q:$Q,MATCH($A6,'Valo FX'!$A:$A,0)),0,IF(CP$1&lt;INDEX('Valo FX'!$R:$R,MATCH($A6,'Valo FX'!$A:$A,0)),INDEX(Base!$U:$U,MATCH($A6,Base!$A:$A,0)),IF(CP$1=INDEX('Valo FX'!$R:$R,MATCH($A6,'Valo FX'!$A:$A,0)),INDEX(Base!$V:$V,MATCH($A6,Base!$A:$A,0)),0)))</f>
        <v>13.571168</v>
      </c>
      <c r="CQ6" s="21">
        <f>IF(CQ$1&lt;INDEX('Valo FX'!$Q:$Q,MATCH($A6,'Valo FX'!$A:$A,0)),0,IF(CQ$1&lt;INDEX('Valo FX'!$R:$R,MATCH($A6,'Valo FX'!$A:$A,0)),INDEX(Base!$U:$U,MATCH($A6,Base!$A:$A,0)),IF(CQ$1=INDEX('Valo FX'!$R:$R,MATCH($A6,'Valo FX'!$A:$A,0)),INDEX(Base!$V:$V,MATCH($A6,Base!$A:$A,0)),0)))</f>
        <v>13.571168</v>
      </c>
      <c r="CR6" s="21">
        <f>IF(CR$1&lt;INDEX('Valo FX'!$Q:$Q,MATCH($A6,'Valo FX'!$A:$A,0)),0,IF(CR$1&lt;INDEX('Valo FX'!$R:$R,MATCH($A6,'Valo FX'!$A:$A,0)),INDEX(Base!$U:$U,MATCH($A6,Base!$A:$A,0)),IF(CR$1=INDEX('Valo FX'!$R:$R,MATCH($A6,'Valo FX'!$A:$A,0)),INDEX(Base!$V:$V,MATCH($A6,Base!$A:$A,0)),0)))</f>
        <v>13.571168</v>
      </c>
      <c r="CS6" s="21">
        <f>IF(CS$1&lt;INDEX('Valo FX'!$Q:$Q,MATCH($A6,'Valo FX'!$A:$A,0)),0,IF(CS$1&lt;INDEX('Valo FX'!$R:$R,MATCH($A6,'Valo FX'!$A:$A,0)),INDEX(Base!$U:$U,MATCH($A6,Base!$A:$A,0)),IF(CS$1=INDEX('Valo FX'!$R:$R,MATCH($A6,'Valo FX'!$A:$A,0)),INDEX(Base!$V:$V,MATCH($A6,Base!$A:$A,0)),0)))</f>
        <v>13.571168</v>
      </c>
      <c r="CT6" s="21">
        <f>IF(CT$1&lt;INDEX('Valo FX'!$Q:$Q,MATCH($A6,'Valo FX'!$A:$A,0)),0,IF(CT$1&lt;INDEX('Valo FX'!$R:$R,MATCH($A6,'Valo FX'!$A:$A,0)),INDEX(Base!$U:$U,MATCH($A6,Base!$A:$A,0)),IF(CT$1=INDEX('Valo FX'!$R:$R,MATCH($A6,'Valo FX'!$A:$A,0)),INDEX(Base!$V:$V,MATCH($A6,Base!$A:$A,0)),0)))</f>
        <v>13.571168</v>
      </c>
      <c r="CU6" s="21">
        <f>IF(CU$1&lt;INDEX('Valo FX'!$Q:$Q,MATCH($A6,'Valo FX'!$A:$A,0)),0,IF(CU$1&lt;INDEX('Valo FX'!$R:$R,MATCH($A6,'Valo FX'!$A:$A,0)),INDEX(Base!$U:$U,MATCH($A6,Base!$A:$A,0)),IF(CU$1=INDEX('Valo FX'!$R:$R,MATCH($A6,'Valo FX'!$A:$A,0)),INDEX(Base!$V:$V,MATCH($A6,Base!$A:$A,0)),0)))</f>
        <v>13.571168</v>
      </c>
      <c r="CV6" s="21">
        <f>IF(CV$1&lt;INDEX('Valo FX'!$Q:$Q,MATCH($A6,'Valo FX'!$A:$A,0)),0,IF(CV$1&lt;INDEX('Valo FX'!$R:$R,MATCH($A6,'Valo FX'!$A:$A,0)),INDEX(Base!$U:$U,MATCH($A6,Base!$A:$A,0)),IF(CV$1=INDEX('Valo FX'!$R:$R,MATCH($A6,'Valo FX'!$A:$A,0)),INDEX(Base!$V:$V,MATCH($A6,Base!$A:$A,0)),0)))</f>
        <v>13.571168</v>
      </c>
      <c r="CW6" s="21">
        <f>IF(CW$1&lt;INDEX('Valo FX'!$Q:$Q,MATCH($A6,'Valo FX'!$A:$A,0)),0,IF(CW$1&lt;INDEX('Valo FX'!$R:$R,MATCH($A6,'Valo FX'!$A:$A,0)),INDEX(Base!$U:$U,MATCH($A6,Base!$A:$A,0)),IF(CW$1=INDEX('Valo FX'!$R:$R,MATCH($A6,'Valo FX'!$A:$A,0)),INDEX(Base!$V:$V,MATCH($A6,Base!$A:$A,0)),0)))</f>
        <v>13.571168</v>
      </c>
      <c r="CX6" s="21">
        <f>IF(CX$1&lt;INDEX('Valo FX'!$Q:$Q,MATCH($A6,'Valo FX'!$A:$A,0)),0,IF(CX$1&lt;INDEX('Valo FX'!$R:$R,MATCH($A6,'Valo FX'!$A:$A,0)),INDEX(Base!$U:$U,MATCH($A6,Base!$A:$A,0)),IF(CX$1=INDEX('Valo FX'!$R:$R,MATCH($A6,'Valo FX'!$A:$A,0)),INDEX(Base!$V:$V,MATCH($A6,Base!$A:$A,0)),0)))</f>
        <v>13.571168</v>
      </c>
      <c r="CY6" s="21">
        <f>IF(CY$1&lt;INDEX('Valo FX'!$Q:$Q,MATCH($A6,'Valo FX'!$A:$A,0)),0,IF(CY$1&lt;INDEX('Valo FX'!$R:$R,MATCH($A6,'Valo FX'!$A:$A,0)),INDEX(Base!$U:$U,MATCH($A6,Base!$A:$A,0)),IF(CY$1=INDEX('Valo FX'!$R:$R,MATCH($A6,'Valo FX'!$A:$A,0)),INDEX(Base!$V:$V,MATCH($A6,Base!$A:$A,0)),0)))</f>
        <v>13.571168</v>
      </c>
      <c r="CZ6" s="21">
        <f>IF(CZ$1&lt;INDEX('Valo FX'!$Q:$Q,MATCH($A6,'Valo FX'!$A:$A,0)),0,IF(CZ$1&lt;INDEX('Valo FX'!$R:$R,MATCH($A6,'Valo FX'!$A:$A,0)),INDEX(Base!$U:$U,MATCH($A6,Base!$A:$A,0)),IF(CZ$1=INDEX('Valo FX'!$R:$R,MATCH($A6,'Valo FX'!$A:$A,0)),INDEX(Base!$V:$V,MATCH($A6,Base!$A:$A,0)),0)))</f>
        <v>13.571168</v>
      </c>
      <c r="DA6" s="21">
        <f>IF(DA$1&lt;INDEX('Valo FX'!$Q:$Q,MATCH($A6,'Valo FX'!$A:$A,0)),0,IF(DA$1&lt;INDEX('Valo FX'!$R:$R,MATCH($A6,'Valo FX'!$A:$A,0)),INDEX(Base!$U:$U,MATCH($A6,Base!$A:$A,0)),IF(DA$1=INDEX('Valo FX'!$R:$R,MATCH($A6,'Valo FX'!$A:$A,0)),INDEX(Base!$V:$V,MATCH($A6,Base!$A:$A,0)),0)))</f>
        <v>13.571168</v>
      </c>
      <c r="DB6" s="21">
        <f>IF(DB$1&lt;INDEX('Valo FX'!$Q:$Q,MATCH($A6,'Valo FX'!$A:$A,0)),0,IF(DB$1&lt;INDEX('Valo FX'!$R:$R,MATCH($A6,'Valo FX'!$A:$A,0)),INDEX(Base!$U:$U,MATCH($A6,Base!$A:$A,0)),IF(DB$1=INDEX('Valo FX'!$R:$R,MATCH($A6,'Valo FX'!$A:$A,0)),INDEX(Base!$V:$V,MATCH($A6,Base!$A:$A,0)),0)))</f>
        <v>13.571168</v>
      </c>
      <c r="DC6" s="21">
        <f>IF(DC$1&lt;INDEX('Valo FX'!$Q:$Q,MATCH($A6,'Valo FX'!$A:$A,0)),0,IF(DC$1&lt;INDEX('Valo FX'!$R:$R,MATCH($A6,'Valo FX'!$A:$A,0)),INDEX(Base!$U:$U,MATCH($A6,Base!$A:$A,0)),IF(DC$1=INDEX('Valo FX'!$R:$R,MATCH($A6,'Valo FX'!$A:$A,0)),INDEX(Base!$V:$V,MATCH($A6,Base!$A:$A,0)),0)))</f>
        <v>13.571168</v>
      </c>
      <c r="DD6" s="21">
        <f>IF(DD$1&lt;INDEX('Valo FX'!$Q:$Q,MATCH($A6,'Valo FX'!$A:$A,0)),0,IF(DD$1&lt;INDEX('Valo FX'!$R:$R,MATCH($A6,'Valo FX'!$A:$A,0)),INDEX(Base!$U:$U,MATCH($A6,Base!$A:$A,0)),IF(DD$1=INDEX('Valo FX'!$R:$R,MATCH($A6,'Valo FX'!$A:$A,0)),INDEX(Base!$V:$V,MATCH($A6,Base!$A:$A,0)),0)))</f>
        <v>13.571168</v>
      </c>
      <c r="DE6" s="21">
        <f>IF(DE$1&lt;INDEX('Valo FX'!$Q:$Q,MATCH($A6,'Valo FX'!$A:$A,0)),0,IF(DE$1&lt;INDEX('Valo FX'!$R:$R,MATCH($A6,'Valo FX'!$A:$A,0)),INDEX(Base!$U:$U,MATCH($A6,Base!$A:$A,0)),IF(DE$1=INDEX('Valo FX'!$R:$R,MATCH($A6,'Valo FX'!$A:$A,0)),INDEX(Base!$V:$V,MATCH($A6,Base!$A:$A,0)),0)))</f>
        <v>13.571168</v>
      </c>
      <c r="DF6" s="21">
        <f>IF(DF$1&lt;INDEX('Valo FX'!$Q:$Q,MATCH($A6,'Valo FX'!$A:$A,0)),0,IF(DF$1&lt;INDEX('Valo FX'!$R:$R,MATCH($A6,'Valo FX'!$A:$A,0)),INDEX(Base!$U:$U,MATCH($A6,Base!$A:$A,0)),IF(DF$1=INDEX('Valo FX'!$R:$R,MATCH($A6,'Valo FX'!$A:$A,0)),INDEX(Base!$V:$V,MATCH($A6,Base!$A:$A,0)),0)))</f>
        <v>13.571168</v>
      </c>
      <c r="DG6" s="21">
        <f>IF(DG$1&lt;INDEX('Valo FX'!$Q:$Q,MATCH($A6,'Valo FX'!$A:$A,0)),0,IF(DG$1&lt;INDEX('Valo FX'!$R:$R,MATCH($A6,'Valo FX'!$A:$A,0)),INDEX(Base!$U:$U,MATCH($A6,Base!$A:$A,0)),IF(DG$1=INDEX('Valo FX'!$R:$R,MATCH($A6,'Valo FX'!$A:$A,0)),INDEX(Base!$V:$V,MATCH($A6,Base!$A:$A,0)),0)))</f>
        <v>13.571168</v>
      </c>
      <c r="DH6" s="21">
        <f>IF(DH$1&lt;INDEX('Valo FX'!$Q:$Q,MATCH($A6,'Valo FX'!$A:$A,0)),0,IF(DH$1&lt;INDEX('Valo FX'!$R:$R,MATCH($A6,'Valo FX'!$A:$A,0)),INDEX(Base!$U:$U,MATCH($A6,Base!$A:$A,0)),IF(DH$1=INDEX('Valo FX'!$R:$R,MATCH($A6,'Valo FX'!$A:$A,0)),INDEX(Base!$V:$V,MATCH($A6,Base!$A:$A,0)),0)))</f>
        <v>13.571168</v>
      </c>
      <c r="DI6" s="21">
        <f>IF(DI$1&lt;INDEX('Valo FX'!$Q:$Q,MATCH($A6,'Valo FX'!$A:$A,0)),0,IF(DI$1&lt;INDEX('Valo FX'!$R:$R,MATCH($A6,'Valo FX'!$A:$A,0)),INDEX(Base!$U:$U,MATCH($A6,Base!$A:$A,0)),IF(DI$1=INDEX('Valo FX'!$R:$R,MATCH($A6,'Valo FX'!$A:$A,0)),INDEX(Base!$V:$V,MATCH($A6,Base!$A:$A,0)),0)))</f>
        <v>13.571168</v>
      </c>
      <c r="DJ6" s="21">
        <f>IF(DJ$1&lt;INDEX('Valo FX'!$Q:$Q,MATCH($A6,'Valo FX'!$A:$A,0)),0,IF(DJ$1&lt;INDEX('Valo FX'!$R:$R,MATCH($A6,'Valo FX'!$A:$A,0)),INDEX(Base!$U:$U,MATCH($A6,Base!$A:$A,0)),IF(DJ$1=INDEX('Valo FX'!$R:$R,MATCH($A6,'Valo FX'!$A:$A,0)),INDEX(Base!$V:$V,MATCH($A6,Base!$A:$A,0)),0)))</f>
        <v>13.571168</v>
      </c>
      <c r="DK6" s="21">
        <f>IF(DK$1&lt;INDEX('Valo FX'!$Q:$Q,MATCH($A6,'Valo FX'!$A:$A,0)),0,IF(DK$1&lt;INDEX('Valo FX'!$R:$R,MATCH($A6,'Valo FX'!$A:$A,0)),INDEX(Base!$U:$U,MATCH($A6,Base!$A:$A,0)),IF(DK$1=INDEX('Valo FX'!$R:$R,MATCH($A6,'Valo FX'!$A:$A,0)),INDEX(Base!$V:$V,MATCH($A6,Base!$A:$A,0)),0)))</f>
        <v>13.571168</v>
      </c>
      <c r="DL6" s="21">
        <f>IF(DL$1&lt;INDEX('Valo FX'!$Q:$Q,MATCH($A6,'Valo FX'!$A:$A,0)),0,IF(DL$1&lt;INDEX('Valo FX'!$R:$R,MATCH($A6,'Valo FX'!$A:$A,0)),INDEX(Base!$U:$U,MATCH($A6,Base!$A:$A,0)),IF(DL$1=INDEX('Valo FX'!$R:$R,MATCH($A6,'Valo FX'!$A:$A,0)),INDEX(Base!$V:$V,MATCH($A6,Base!$A:$A,0)),0)))</f>
        <v>13.571168</v>
      </c>
      <c r="DM6" s="21">
        <f>IF(DM$1&lt;INDEX('Valo FX'!$Q:$Q,MATCH($A6,'Valo FX'!$A:$A,0)),0,IF(DM$1&lt;INDEX('Valo FX'!$R:$R,MATCH($A6,'Valo FX'!$A:$A,0)),INDEX(Base!$U:$U,MATCH($A6,Base!$A:$A,0)),IF(DM$1=INDEX('Valo FX'!$R:$R,MATCH($A6,'Valo FX'!$A:$A,0)),INDEX(Base!$V:$V,MATCH($A6,Base!$A:$A,0)),0)))</f>
        <v>13.571168</v>
      </c>
      <c r="DN6" s="21">
        <f>IF(DN$1&lt;INDEX('Valo FX'!$Q:$Q,MATCH($A6,'Valo FX'!$A:$A,0)),0,IF(DN$1&lt;INDEX('Valo FX'!$R:$R,MATCH($A6,'Valo FX'!$A:$A,0)),INDEX(Base!$U:$U,MATCH($A6,Base!$A:$A,0)),IF(DN$1=INDEX('Valo FX'!$R:$R,MATCH($A6,'Valo FX'!$A:$A,0)),INDEX(Base!$V:$V,MATCH($A6,Base!$A:$A,0)),0)))</f>
        <v>13.571168</v>
      </c>
      <c r="DO6" s="21">
        <f>IF(DO$1&lt;INDEX('Valo FX'!$Q:$Q,MATCH($A6,'Valo FX'!$A:$A,0)),0,IF(DO$1&lt;INDEX('Valo FX'!$R:$R,MATCH($A6,'Valo FX'!$A:$A,0)),INDEX(Base!$U:$U,MATCH($A6,Base!$A:$A,0)),IF(DO$1=INDEX('Valo FX'!$R:$R,MATCH($A6,'Valo FX'!$A:$A,0)),INDEX(Base!$V:$V,MATCH($A6,Base!$A:$A,0)),0)))</f>
        <v>13.571168</v>
      </c>
      <c r="DP6" s="21">
        <f>IF(DP$1&lt;INDEX('Valo FX'!$Q:$Q,MATCH($A6,'Valo FX'!$A:$A,0)),0,IF(DP$1&lt;INDEX('Valo FX'!$R:$R,MATCH($A6,'Valo FX'!$A:$A,0)),INDEX(Base!$U:$U,MATCH($A6,Base!$A:$A,0)),IF(DP$1=INDEX('Valo FX'!$R:$R,MATCH($A6,'Valo FX'!$A:$A,0)),INDEX(Base!$V:$V,MATCH($A6,Base!$A:$A,0)),0)))</f>
        <v>13.571168</v>
      </c>
      <c r="DQ6" s="21">
        <f>IF(DQ$1&lt;INDEX('Valo FX'!$Q:$Q,MATCH($A6,'Valo FX'!$A:$A,0)),0,IF(DQ$1&lt;INDEX('Valo FX'!$R:$R,MATCH($A6,'Valo FX'!$A:$A,0)),INDEX(Base!$U:$U,MATCH($A6,Base!$A:$A,0)),IF(DQ$1=INDEX('Valo FX'!$R:$R,MATCH($A6,'Valo FX'!$A:$A,0)),INDEX(Base!$V:$V,MATCH($A6,Base!$A:$A,0)),0)))</f>
        <v>13.571168</v>
      </c>
      <c r="DR6" s="21">
        <f>IF(DR$1&lt;INDEX('Valo FX'!$Q:$Q,MATCH($A6,'Valo FX'!$A:$A,0)),0,IF(DR$1&lt;INDEX('Valo FX'!$R:$R,MATCH($A6,'Valo FX'!$A:$A,0)),INDEX(Base!$U:$U,MATCH($A6,Base!$A:$A,0)),IF(DR$1=INDEX('Valo FX'!$R:$R,MATCH($A6,'Valo FX'!$A:$A,0)),INDEX(Base!$V:$V,MATCH($A6,Base!$A:$A,0)),0)))</f>
        <v>13.571168</v>
      </c>
      <c r="DS6" s="21">
        <f>IF(DS$1&lt;INDEX('Valo FX'!$Q:$Q,MATCH($A6,'Valo FX'!$A:$A,0)),0,IF(DS$1&lt;INDEX('Valo FX'!$R:$R,MATCH($A6,'Valo FX'!$A:$A,0)),INDEX(Base!$U:$U,MATCH($A6,Base!$A:$A,0)),IF(DS$1=INDEX('Valo FX'!$R:$R,MATCH($A6,'Valo FX'!$A:$A,0)),INDEX(Base!$V:$V,MATCH($A6,Base!$A:$A,0)),0)))</f>
        <v>13.571168</v>
      </c>
      <c r="DT6" s="21">
        <f>IF(DT$1&lt;INDEX('Valo FX'!$Q:$Q,MATCH($A6,'Valo FX'!$A:$A,0)),0,IF(DT$1&lt;INDEX('Valo FX'!$R:$R,MATCH($A6,'Valo FX'!$A:$A,0)),INDEX(Base!$U:$U,MATCH($A6,Base!$A:$A,0)),IF(DT$1=INDEX('Valo FX'!$R:$R,MATCH($A6,'Valo FX'!$A:$A,0)),INDEX(Base!$V:$V,MATCH($A6,Base!$A:$A,0)),0)))</f>
        <v>13.571168</v>
      </c>
      <c r="DU6" s="21">
        <f>IF(DU$1&lt;INDEX('Valo FX'!$Q:$Q,MATCH($A6,'Valo FX'!$A:$A,0)),0,IF(DU$1&lt;INDEX('Valo FX'!$R:$R,MATCH($A6,'Valo FX'!$A:$A,0)),INDEX(Base!$U:$U,MATCH($A6,Base!$A:$A,0)),IF(DU$1=INDEX('Valo FX'!$R:$R,MATCH($A6,'Valo FX'!$A:$A,0)),INDEX(Base!$V:$V,MATCH($A6,Base!$A:$A,0)),0)))</f>
        <v>13.571168</v>
      </c>
      <c r="DV6" s="21">
        <f>IF(DV$1&lt;INDEX('Valo FX'!$Q:$Q,MATCH($A6,'Valo FX'!$A:$A,0)),0,IF(DV$1&lt;INDEX('Valo FX'!$R:$R,MATCH($A6,'Valo FX'!$A:$A,0)),INDEX(Base!$U:$U,MATCH($A6,Base!$A:$A,0)),IF(DV$1=INDEX('Valo FX'!$R:$R,MATCH($A6,'Valo FX'!$A:$A,0)),INDEX(Base!$V:$V,MATCH($A6,Base!$A:$A,0)),0)))</f>
        <v>13.571168</v>
      </c>
      <c r="DW6" s="21">
        <f>IF(DW$1&lt;INDEX('Valo FX'!$Q:$Q,MATCH($A6,'Valo FX'!$A:$A,0)),0,IF(DW$1&lt;INDEX('Valo FX'!$R:$R,MATCH($A6,'Valo FX'!$A:$A,0)),INDEX(Base!$U:$U,MATCH($A6,Base!$A:$A,0)),IF(DW$1=INDEX('Valo FX'!$R:$R,MATCH($A6,'Valo FX'!$A:$A,0)),INDEX(Base!$V:$V,MATCH($A6,Base!$A:$A,0)),0)))</f>
        <v>13.571168</v>
      </c>
      <c r="DX6" s="21">
        <f>IF(DX$1&lt;INDEX('Valo FX'!$Q:$Q,MATCH($A6,'Valo FX'!$A:$A,0)),0,IF(DX$1&lt;INDEX('Valo FX'!$R:$R,MATCH($A6,'Valo FX'!$A:$A,0)),INDEX(Base!$U:$U,MATCH($A6,Base!$A:$A,0)),IF(DX$1=INDEX('Valo FX'!$R:$R,MATCH($A6,'Valo FX'!$A:$A,0)),INDEX(Base!$V:$V,MATCH($A6,Base!$A:$A,0)),0)))</f>
        <v>13.571168</v>
      </c>
      <c r="DY6" s="21">
        <f>IF(DY$1&lt;INDEX('Valo FX'!$Q:$Q,MATCH($A6,'Valo FX'!$A:$A,0)),0,IF(DY$1&lt;INDEX('Valo FX'!$R:$R,MATCH($A6,'Valo FX'!$A:$A,0)),INDEX(Base!$U:$U,MATCH($A6,Base!$A:$A,0)),IF(DY$1=INDEX('Valo FX'!$R:$R,MATCH($A6,'Valo FX'!$A:$A,0)),INDEX(Base!$V:$V,MATCH($A6,Base!$A:$A,0)),0)))</f>
        <v>13.571168</v>
      </c>
      <c r="DZ6" s="21">
        <f>IF(DZ$1&lt;INDEX('Valo FX'!$Q:$Q,MATCH($A6,'Valo FX'!$A:$A,0)),0,IF(DZ$1&lt;INDEX('Valo FX'!$R:$R,MATCH($A6,'Valo FX'!$A:$A,0)),INDEX(Base!$U:$U,MATCH($A6,Base!$A:$A,0)),IF(DZ$1=INDEX('Valo FX'!$R:$R,MATCH($A6,'Valo FX'!$A:$A,0)),INDEX(Base!$V:$V,MATCH($A6,Base!$A:$A,0)),0)))</f>
        <v>13.571168</v>
      </c>
      <c r="EA6" s="21">
        <f>IF(EA$1&lt;INDEX('Valo FX'!$Q:$Q,MATCH($A6,'Valo FX'!$A:$A,0)),0,IF(EA$1&lt;INDEX('Valo FX'!$R:$R,MATCH($A6,'Valo FX'!$A:$A,0)),INDEX(Base!$U:$U,MATCH($A6,Base!$A:$A,0)),IF(EA$1=INDEX('Valo FX'!$R:$R,MATCH($A6,'Valo FX'!$A:$A,0)),INDEX(Base!$V:$V,MATCH($A6,Base!$A:$A,0)),0)))</f>
        <v>13.571168</v>
      </c>
      <c r="EB6" s="21">
        <f>IF(EB$1&lt;INDEX('Valo FX'!$Q:$Q,MATCH($A6,'Valo FX'!$A:$A,0)),0,IF(EB$1&lt;INDEX('Valo FX'!$R:$R,MATCH($A6,'Valo FX'!$A:$A,0)),INDEX(Base!$U:$U,MATCH($A6,Base!$A:$A,0)),IF(EB$1=INDEX('Valo FX'!$R:$R,MATCH($A6,'Valo FX'!$A:$A,0)),INDEX(Base!$V:$V,MATCH($A6,Base!$A:$A,0)),0)))</f>
        <v>13.571168</v>
      </c>
      <c r="EC6" s="21">
        <f>IF(EC$1&lt;INDEX('Valo FX'!$Q:$Q,MATCH($A6,'Valo FX'!$A:$A,0)),0,IF(EC$1&lt;INDEX('Valo FX'!$R:$R,MATCH($A6,'Valo FX'!$A:$A,0)),INDEX(Base!$U:$U,MATCH($A6,Base!$A:$A,0)),IF(EC$1=INDEX('Valo FX'!$R:$R,MATCH($A6,'Valo FX'!$A:$A,0)),INDEX(Base!$V:$V,MATCH($A6,Base!$A:$A,0)),0)))</f>
        <v>13.571168</v>
      </c>
      <c r="ED6" s="21">
        <f>IF(ED$1&lt;INDEX('Valo FX'!$Q:$Q,MATCH($A6,'Valo FX'!$A:$A,0)),0,IF(ED$1&lt;INDEX('Valo FX'!$R:$R,MATCH($A6,'Valo FX'!$A:$A,0)),INDEX(Base!$U:$U,MATCH($A6,Base!$A:$A,0)),IF(ED$1=INDEX('Valo FX'!$R:$R,MATCH($A6,'Valo FX'!$A:$A,0)),INDEX(Base!$V:$V,MATCH($A6,Base!$A:$A,0)),0)))</f>
        <v>13.571168</v>
      </c>
      <c r="EE6" s="21">
        <f>IF(EE$1&lt;INDEX('Valo FX'!$Q:$Q,MATCH($A6,'Valo FX'!$A:$A,0)),0,IF(EE$1&lt;INDEX('Valo FX'!$R:$R,MATCH($A6,'Valo FX'!$A:$A,0)),INDEX(Base!$U:$U,MATCH($A6,Base!$A:$A,0)),IF(EE$1=INDEX('Valo FX'!$R:$R,MATCH($A6,'Valo FX'!$A:$A,0)),INDEX(Base!$V:$V,MATCH($A6,Base!$A:$A,0)),0)))</f>
        <v>13.571168</v>
      </c>
      <c r="EF6" s="21">
        <f>IF(EF$1&lt;INDEX('Valo FX'!$Q:$Q,MATCH($A6,'Valo FX'!$A:$A,0)),0,IF(EF$1&lt;INDEX('Valo FX'!$R:$R,MATCH($A6,'Valo FX'!$A:$A,0)),INDEX(Base!$U:$U,MATCH($A6,Base!$A:$A,0)),IF(EF$1=INDEX('Valo FX'!$R:$R,MATCH($A6,'Valo FX'!$A:$A,0)),INDEX(Base!$V:$V,MATCH($A6,Base!$A:$A,0)),0)))</f>
        <v>13.571168</v>
      </c>
      <c r="EG6" s="21">
        <f>IF(EG$1&lt;INDEX('Valo FX'!$Q:$Q,MATCH($A6,'Valo FX'!$A:$A,0)),0,IF(EG$1&lt;INDEX('Valo FX'!$R:$R,MATCH($A6,'Valo FX'!$A:$A,0)),INDEX(Base!$U:$U,MATCH($A6,Base!$A:$A,0)),IF(EG$1=INDEX('Valo FX'!$R:$R,MATCH($A6,'Valo FX'!$A:$A,0)),INDEX(Base!$V:$V,MATCH($A6,Base!$A:$A,0)),0)))</f>
        <v>13.571168</v>
      </c>
      <c r="EH6" s="21">
        <f>IF(EH$1&lt;INDEX('Valo FX'!$Q:$Q,MATCH($A6,'Valo FX'!$A:$A,0)),0,IF(EH$1&lt;INDEX('Valo FX'!$R:$R,MATCH($A6,'Valo FX'!$A:$A,0)),INDEX(Base!$U:$U,MATCH($A6,Base!$A:$A,0)),IF(EH$1=INDEX('Valo FX'!$R:$R,MATCH($A6,'Valo FX'!$A:$A,0)),INDEX(Base!$V:$V,MATCH($A6,Base!$A:$A,0)),0)))</f>
        <v>13.571168</v>
      </c>
      <c r="EI6" s="21">
        <f>IF(EI$1&lt;INDEX('Valo FX'!$Q:$Q,MATCH($A6,'Valo FX'!$A:$A,0)),0,IF(EI$1&lt;INDEX('Valo FX'!$R:$R,MATCH($A6,'Valo FX'!$A:$A,0)),INDEX(Base!$U:$U,MATCH($A6,Base!$A:$A,0)),IF(EI$1=INDEX('Valo FX'!$R:$R,MATCH($A6,'Valo FX'!$A:$A,0)),INDEX(Base!$V:$V,MATCH($A6,Base!$A:$A,0)),0)))</f>
        <v>13.571168</v>
      </c>
      <c r="EJ6" s="21">
        <f>IF(EJ$1&lt;INDEX('Valo FX'!$Q:$Q,MATCH($A6,'Valo FX'!$A:$A,0)),0,IF(EJ$1&lt;INDEX('Valo FX'!$R:$R,MATCH($A6,'Valo FX'!$A:$A,0)),INDEX(Base!$U:$U,MATCH($A6,Base!$A:$A,0)),IF(EJ$1=INDEX('Valo FX'!$R:$R,MATCH($A6,'Valo FX'!$A:$A,0)),INDEX(Base!$V:$V,MATCH($A6,Base!$A:$A,0)),0)))</f>
        <v>13.571168</v>
      </c>
      <c r="EK6" s="21">
        <f>IF(EK$1&lt;INDEX('Valo FX'!$Q:$Q,MATCH($A6,'Valo FX'!$A:$A,0)),0,IF(EK$1&lt;INDEX('Valo FX'!$R:$R,MATCH($A6,'Valo FX'!$A:$A,0)),INDEX(Base!$U:$U,MATCH($A6,Base!$A:$A,0)),IF(EK$1=INDEX('Valo FX'!$R:$R,MATCH($A6,'Valo FX'!$A:$A,0)),INDEX(Base!$V:$V,MATCH($A6,Base!$A:$A,0)),0)))</f>
        <v>13.571168</v>
      </c>
      <c r="EL6" s="21">
        <f>IF(EL$1&lt;INDEX('Valo FX'!$Q:$Q,MATCH($A6,'Valo FX'!$A:$A,0)),0,IF(EL$1&lt;INDEX('Valo FX'!$R:$R,MATCH($A6,'Valo FX'!$A:$A,0)),INDEX(Base!$U:$U,MATCH($A6,Base!$A:$A,0)),IF(EL$1=INDEX('Valo FX'!$R:$R,MATCH($A6,'Valo FX'!$A:$A,0)),INDEX(Base!$V:$V,MATCH($A6,Base!$A:$A,0)),0)))</f>
        <v>13.571168</v>
      </c>
      <c r="EM6" s="21">
        <f>IF(EM$1&lt;INDEX('Valo FX'!$Q:$Q,MATCH($A6,'Valo FX'!$A:$A,0)),0,IF(EM$1&lt;INDEX('Valo FX'!$R:$R,MATCH($A6,'Valo FX'!$A:$A,0)),INDEX(Base!$U:$U,MATCH($A6,Base!$A:$A,0)),IF(EM$1=INDEX('Valo FX'!$R:$R,MATCH($A6,'Valo FX'!$A:$A,0)),INDEX(Base!$V:$V,MATCH($A6,Base!$A:$A,0)),0)))</f>
        <v>13.571168</v>
      </c>
      <c r="EN6" s="21">
        <f>IF(EN$1&lt;INDEX('Valo FX'!$Q:$Q,MATCH($A6,'Valo FX'!$A:$A,0)),0,IF(EN$1&lt;INDEX('Valo FX'!$R:$R,MATCH($A6,'Valo FX'!$A:$A,0)),INDEX(Base!$U:$U,MATCH($A6,Base!$A:$A,0)),IF(EN$1=INDEX('Valo FX'!$R:$R,MATCH($A6,'Valo FX'!$A:$A,0)),INDEX(Base!$V:$V,MATCH($A6,Base!$A:$A,0)),0)))</f>
        <v>13.571168</v>
      </c>
      <c r="EO6" s="21">
        <f>IF(EO$1&lt;INDEX('Valo FX'!$Q:$Q,MATCH($A6,'Valo FX'!$A:$A,0)),0,IF(EO$1&lt;INDEX('Valo FX'!$R:$R,MATCH($A6,'Valo FX'!$A:$A,0)),INDEX(Base!$U:$U,MATCH($A6,Base!$A:$A,0)),IF(EO$1=INDEX('Valo FX'!$R:$R,MATCH($A6,'Valo FX'!$A:$A,0)),INDEX(Base!$V:$V,MATCH($A6,Base!$A:$A,0)),0)))</f>
        <v>13.571168</v>
      </c>
      <c r="EP6" s="21">
        <f>IF(EP$1&lt;INDEX('Valo FX'!$Q:$Q,MATCH($A6,'Valo FX'!$A:$A,0)),0,IF(EP$1&lt;INDEX('Valo FX'!$R:$R,MATCH($A6,'Valo FX'!$A:$A,0)),INDEX(Base!$U:$U,MATCH($A6,Base!$A:$A,0)),IF(EP$1=INDEX('Valo FX'!$R:$R,MATCH($A6,'Valo FX'!$A:$A,0)),INDEX(Base!$V:$V,MATCH($A6,Base!$A:$A,0)),0)))</f>
        <v>13.571168</v>
      </c>
      <c r="EQ6" s="21">
        <f>IF(EQ$1&lt;INDEX('Valo FX'!$Q:$Q,MATCH($A6,'Valo FX'!$A:$A,0)),0,IF(EQ$1&lt;INDEX('Valo FX'!$R:$R,MATCH($A6,'Valo FX'!$A:$A,0)),INDEX(Base!$U:$U,MATCH($A6,Base!$A:$A,0)),IF(EQ$1=INDEX('Valo FX'!$R:$R,MATCH($A6,'Valo FX'!$A:$A,0)),INDEX(Base!$V:$V,MATCH($A6,Base!$A:$A,0)),0)))</f>
        <v>13.571168</v>
      </c>
      <c r="ER6" s="21">
        <f>IF(ER$1&lt;INDEX('Valo FX'!$Q:$Q,MATCH($A6,'Valo FX'!$A:$A,0)),0,IF(ER$1&lt;INDEX('Valo FX'!$R:$R,MATCH($A6,'Valo FX'!$A:$A,0)),INDEX(Base!$U:$U,MATCH($A6,Base!$A:$A,0)),IF(ER$1=INDEX('Valo FX'!$R:$R,MATCH($A6,'Valo FX'!$A:$A,0)),INDEX(Base!$V:$V,MATCH($A6,Base!$A:$A,0)),0)))</f>
        <v>13.571168</v>
      </c>
      <c r="ES6" s="21">
        <f>IF(ES$1&lt;INDEX('Valo FX'!$Q:$Q,MATCH($A6,'Valo FX'!$A:$A,0)),0,IF(ES$1&lt;INDEX('Valo FX'!$R:$R,MATCH($A6,'Valo FX'!$A:$A,0)),INDEX(Base!$U:$U,MATCH($A6,Base!$A:$A,0)),IF(ES$1=INDEX('Valo FX'!$R:$R,MATCH($A6,'Valo FX'!$A:$A,0)),INDEX(Base!$V:$V,MATCH($A6,Base!$A:$A,0)),0)))</f>
        <v>13.571168</v>
      </c>
      <c r="ET6" s="21">
        <f>IF(ET$1&lt;INDEX('Valo FX'!$Q:$Q,MATCH($A6,'Valo FX'!$A:$A,0)),0,IF(ET$1&lt;INDEX('Valo FX'!$R:$R,MATCH($A6,'Valo FX'!$A:$A,0)),INDEX(Base!$U:$U,MATCH($A6,Base!$A:$A,0)),IF(ET$1=INDEX('Valo FX'!$R:$R,MATCH($A6,'Valo FX'!$A:$A,0)),INDEX(Base!$V:$V,MATCH($A6,Base!$A:$A,0)),0)))</f>
        <v>13.571168</v>
      </c>
      <c r="EU6" s="21">
        <f>IF(EU$1&lt;INDEX('Valo FX'!$Q:$Q,MATCH($A6,'Valo FX'!$A:$A,0)),0,IF(EU$1&lt;INDEX('Valo FX'!$R:$R,MATCH($A6,'Valo FX'!$A:$A,0)),INDEX(Base!$U:$U,MATCH($A6,Base!$A:$A,0)),IF(EU$1=INDEX('Valo FX'!$R:$R,MATCH($A6,'Valo FX'!$A:$A,0)),INDEX(Base!$V:$V,MATCH($A6,Base!$A:$A,0)),0)))</f>
        <v>13.571168</v>
      </c>
      <c r="EV6" s="21">
        <f>IF(EV$1&lt;INDEX('Valo FX'!$Q:$Q,MATCH($A6,'Valo FX'!$A:$A,0)),0,IF(EV$1&lt;INDEX('Valo FX'!$R:$R,MATCH($A6,'Valo FX'!$A:$A,0)),INDEX(Base!$U:$U,MATCH($A6,Base!$A:$A,0)),IF(EV$1=INDEX('Valo FX'!$R:$R,MATCH($A6,'Valo FX'!$A:$A,0)),INDEX(Base!$V:$V,MATCH($A6,Base!$A:$A,0)),0)))</f>
        <v>13.571168</v>
      </c>
      <c r="EW6" s="21">
        <f>IF(EW$1&lt;INDEX('Valo FX'!$Q:$Q,MATCH($A6,'Valo FX'!$A:$A,0)),0,IF(EW$1&lt;INDEX('Valo FX'!$R:$R,MATCH($A6,'Valo FX'!$A:$A,0)),INDEX(Base!$U:$U,MATCH($A6,Base!$A:$A,0)),IF(EW$1=INDEX('Valo FX'!$R:$R,MATCH($A6,'Valo FX'!$A:$A,0)),INDEX(Base!$V:$V,MATCH($A6,Base!$A:$A,0)),0)))</f>
        <v>13.571168</v>
      </c>
      <c r="EX6" s="21">
        <f>IF(EX$1&lt;INDEX('Valo FX'!$Q:$Q,MATCH($A6,'Valo FX'!$A:$A,0)),0,IF(EX$1&lt;INDEX('Valo FX'!$R:$R,MATCH($A6,'Valo FX'!$A:$A,0)),INDEX(Base!$U:$U,MATCH($A6,Base!$A:$A,0)),IF(EX$1=INDEX('Valo FX'!$R:$R,MATCH($A6,'Valo FX'!$A:$A,0)),INDEX(Base!$V:$V,MATCH($A6,Base!$A:$A,0)),0)))</f>
        <v>13.571168</v>
      </c>
      <c r="EY6" s="21">
        <f>IF(EY$1&lt;INDEX('Valo FX'!$Q:$Q,MATCH($A6,'Valo FX'!$A:$A,0)),0,IF(EY$1&lt;INDEX('Valo FX'!$R:$R,MATCH($A6,'Valo FX'!$A:$A,0)),INDEX(Base!$U:$U,MATCH($A6,Base!$A:$A,0)),IF(EY$1=INDEX('Valo FX'!$R:$R,MATCH($A6,'Valo FX'!$A:$A,0)),INDEX(Base!$V:$V,MATCH($A6,Base!$A:$A,0)),0)))</f>
        <v>13.571168</v>
      </c>
      <c r="EZ6" s="21">
        <f>IF(EZ$1&lt;INDEX('Valo FX'!$Q:$Q,MATCH($A6,'Valo FX'!$A:$A,0)),0,IF(EZ$1&lt;INDEX('Valo FX'!$R:$R,MATCH($A6,'Valo FX'!$A:$A,0)),INDEX(Base!$U:$U,MATCH($A6,Base!$A:$A,0)),IF(EZ$1=INDEX('Valo FX'!$R:$R,MATCH($A6,'Valo FX'!$A:$A,0)),INDEX(Base!$V:$V,MATCH($A6,Base!$A:$A,0)),0)))</f>
        <v>13.571168</v>
      </c>
      <c r="FA6" s="21">
        <f>IF(FA$1&lt;INDEX('Valo FX'!$Q:$Q,MATCH($A6,'Valo FX'!$A:$A,0)),0,IF(FA$1&lt;INDEX('Valo FX'!$R:$R,MATCH($A6,'Valo FX'!$A:$A,0)),INDEX(Base!$U:$U,MATCH($A6,Base!$A:$A,0)),IF(FA$1=INDEX('Valo FX'!$R:$R,MATCH($A6,'Valo FX'!$A:$A,0)),INDEX(Base!$V:$V,MATCH($A6,Base!$A:$A,0)),0)))</f>
        <v>13.571168</v>
      </c>
      <c r="FB6" s="21">
        <f>IF(FB$1&lt;INDEX('Valo FX'!$Q:$Q,MATCH($A6,'Valo FX'!$A:$A,0)),0,IF(FB$1&lt;INDEX('Valo FX'!$R:$R,MATCH($A6,'Valo FX'!$A:$A,0)),INDEX(Base!$U:$U,MATCH($A6,Base!$A:$A,0)),IF(FB$1=INDEX('Valo FX'!$R:$R,MATCH($A6,'Valo FX'!$A:$A,0)),INDEX(Base!$V:$V,MATCH($A6,Base!$A:$A,0)),0)))</f>
        <v>13.571168</v>
      </c>
      <c r="FC6" s="21">
        <f>IF(FC$1&lt;INDEX('Valo FX'!$Q:$Q,MATCH($A6,'Valo FX'!$A:$A,0)),0,IF(FC$1&lt;INDEX('Valo FX'!$R:$R,MATCH($A6,'Valo FX'!$A:$A,0)),INDEX(Base!$U:$U,MATCH($A6,Base!$A:$A,0)),IF(FC$1=INDEX('Valo FX'!$R:$R,MATCH($A6,'Valo FX'!$A:$A,0)),INDEX(Base!$V:$V,MATCH($A6,Base!$A:$A,0)),0)))</f>
        <v>13.571168</v>
      </c>
      <c r="FD6" s="21">
        <f>IF(FD$1&lt;INDEX('Valo FX'!$Q:$Q,MATCH($A6,'Valo FX'!$A:$A,0)),0,IF(FD$1&lt;INDEX('Valo FX'!$R:$R,MATCH($A6,'Valo FX'!$A:$A,0)),INDEX(Base!$U:$U,MATCH($A6,Base!$A:$A,0)),IF(FD$1=INDEX('Valo FX'!$R:$R,MATCH($A6,'Valo FX'!$A:$A,0)),INDEX(Base!$V:$V,MATCH($A6,Base!$A:$A,0)),0)))</f>
        <v>13.571168</v>
      </c>
      <c r="FE6" s="21">
        <f>IF(FE$1&lt;INDEX('Valo FX'!$Q:$Q,MATCH($A6,'Valo FX'!$A:$A,0)),0,IF(FE$1&lt;INDEX('Valo FX'!$R:$R,MATCH($A6,'Valo FX'!$A:$A,0)),INDEX(Base!$U:$U,MATCH($A6,Base!$A:$A,0)),IF(FE$1=INDEX('Valo FX'!$R:$R,MATCH($A6,'Valo FX'!$A:$A,0)),INDEX(Base!$V:$V,MATCH($A6,Base!$A:$A,0)),0)))</f>
        <v>13.571168</v>
      </c>
      <c r="FF6" s="21">
        <f>IF(FF$1&lt;INDEX('Valo FX'!$Q:$Q,MATCH($A6,'Valo FX'!$A:$A,0)),0,IF(FF$1&lt;INDEX('Valo FX'!$R:$R,MATCH($A6,'Valo FX'!$A:$A,0)),INDEX(Base!$U:$U,MATCH($A6,Base!$A:$A,0)),IF(FF$1=INDEX('Valo FX'!$R:$R,MATCH($A6,'Valo FX'!$A:$A,0)),INDEX(Base!$V:$V,MATCH($A6,Base!$A:$A,0)),0)))</f>
        <v>13.571168</v>
      </c>
      <c r="FG6" s="21">
        <f>IF(FG$1&lt;INDEX('Valo FX'!$Q:$Q,MATCH($A6,'Valo FX'!$A:$A,0)),0,IF(FG$1&lt;INDEX('Valo FX'!$R:$R,MATCH($A6,'Valo FX'!$A:$A,0)),INDEX(Base!$U:$U,MATCH($A6,Base!$A:$A,0)),IF(FG$1=INDEX('Valo FX'!$R:$R,MATCH($A6,'Valo FX'!$A:$A,0)),INDEX(Base!$V:$V,MATCH($A6,Base!$A:$A,0)),0)))</f>
        <v>13.571168</v>
      </c>
      <c r="FH6" s="21">
        <f>IF(FH$1&lt;INDEX('Valo FX'!$Q:$Q,MATCH($A6,'Valo FX'!$A:$A,0)),0,IF(FH$1&lt;INDEX('Valo FX'!$R:$R,MATCH($A6,'Valo FX'!$A:$A,0)),INDEX(Base!$U:$U,MATCH($A6,Base!$A:$A,0)),IF(FH$1=INDEX('Valo FX'!$R:$R,MATCH($A6,'Valo FX'!$A:$A,0)),INDEX(Base!$V:$V,MATCH($A6,Base!$A:$A,0)),0)))</f>
        <v>13.571168</v>
      </c>
      <c r="FI6" s="21">
        <f>IF(FI$1&lt;INDEX('Valo FX'!$Q:$Q,MATCH($A6,'Valo FX'!$A:$A,0)),0,IF(FI$1&lt;INDEX('Valo FX'!$R:$R,MATCH($A6,'Valo FX'!$A:$A,0)),INDEX(Base!$U:$U,MATCH($A6,Base!$A:$A,0)),IF(FI$1=INDEX('Valo FX'!$R:$R,MATCH($A6,'Valo FX'!$A:$A,0)),INDEX(Base!$V:$V,MATCH($A6,Base!$A:$A,0)),0)))</f>
        <v>13.571168</v>
      </c>
      <c r="FJ6" s="21">
        <f>IF(FJ$1&lt;INDEX('Valo FX'!$Q:$Q,MATCH($A6,'Valo FX'!$A:$A,0)),0,IF(FJ$1&lt;INDEX('Valo FX'!$R:$R,MATCH($A6,'Valo FX'!$A:$A,0)),INDEX(Base!$U:$U,MATCH($A6,Base!$A:$A,0)),IF(FJ$1=INDEX('Valo FX'!$R:$R,MATCH($A6,'Valo FX'!$A:$A,0)),INDEX(Base!$V:$V,MATCH($A6,Base!$A:$A,0)),0)))</f>
        <v>13.571168</v>
      </c>
      <c r="FK6" s="21">
        <f>IF(FK$1&lt;INDEX('Valo FX'!$Q:$Q,MATCH($A6,'Valo FX'!$A:$A,0)),0,IF(FK$1&lt;INDEX('Valo FX'!$R:$R,MATCH($A6,'Valo FX'!$A:$A,0)),INDEX(Base!$U:$U,MATCH($A6,Base!$A:$A,0)),IF(FK$1=INDEX('Valo FX'!$R:$R,MATCH($A6,'Valo FX'!$A:$A,0)),INDEX(Base!$V:$V,MATCH($A6,Base!$A:$A,0)),0)))</f>
        <v>13.571168</v>
      </c>
      <c r="FL6" s="21">
        <f>IF(FL$1&lt;INDEX('Valo FX'!$Q:$Q,MATCH($A6,'Valo FX'!$A:$A,0)),0,IF(FL$1&lt;INDEX('Valo FX'!$R:$R,MATCH($A6,'Valo FX'!$A:$A,0)),INDEX(Base!$U:$U,MATCH($A6,Base!$A:$A,0)),IF(FL$1=INDEX('Valo FX'!$R:$R,MATCH($A6,'Valo FX'!$A:$A,0)),INDEX(Base!$V:$V,MATCH($A6,Base!$A:$A,0)),0)))</f>
        <v>13.571168</v>
      </c>
      <c r="FM6" s="21">
        <f>IF(FM$1&lt;INDEX('Valo FX'!$Q:$Q,MATCH($A6,'Valo FX'!$A:$A,0)),0,IF(FM$1&lt;INDEX('Valo FX'!$R:$R,MATCH($A6,'Valo FX'!$A:$A,0)),INDEX(Base!$U:$U,MATCH($A6,Base!$A:$A,0)),IF(FM$1=INDEX('Valo FX'!$R:$R,MATCH($A6,'Valo FX'!$A:$A,0)),INDEX(Base!$V:$V,MATCH($A6,Base!$A:$A,0)),0)))</f>
        <v>13.571168</v>
      </c>
      <c r="FN6" s="21">
        <f>IF(FN$1&lt;INDEX('Valo FX'!$Q:$Q,MATCH($A6,'Valo FX'!$A:$A,0)),0,IF(FN$1&lt;INDEX('Valo FX'!$R:$R,MATCH($A6,'Valo FX'!$A:$A,0)),INDEX(Base!$U:$U,MATCH($A6,Base!$A:$A,0)),IF(FN$1=INDEX('Valo FX'!$R:$R,MATCH($A6,'Valo FX'!$A:$A,0)),INDEX(Base!$V:$V,MATCH($A6,Base!$A:$A,0)),0)))</f>
        <v>13.571168</v>
      </c>
      <c r="FO6" s="21">
        <f>IF(FO$1&lt;INDEX('Valo FX'!$Q:$Q,MATCH($A6,'Valo FX'!$A:$A,0)),0,IF(FO$1&lt;INDEX('Valo FX'!$R:$R,MATCH($A6,'Valo FX'!$A:$A,0)),INDEX(Base!$U:$U,MATCH($A6,Base!$A:$A,0)),IF(FO$1=INDEX('Valo FX'!$R:$R,MATCH($A6,'Valo FX'!$A:$A,0)),INDEX(Base!$V:$V,MATCH($A6,Base!$A:$A,0)),0)))</f>
        <v>13.571168</v>
      </c>
      <c r="FP6" s="21">
        <f>IF(FP$1&lt;INDEX('Valo FX'!$Q:$Q,MATCH($A6,'Valo FX'!$A:$A,0)),0,IF(FP$1&lt;INDEX('Valo FX'!$R:$R,MATCH($A6,'Valo FX'!$A:$A,0)),INDEX(Base!$U:$U,MATCH($A6,Base!$A:$A,0)),IF(FP$1=INDEX('Valo FX'!$R:$R,MATCH($A6,'Valo FX'!$A:$A,0)),INDEX(Base!$V:$V,MATCH($A6,Base!$A:$A,0)),0)))</f>
        <v>13.571168</v>
      </c>
      <c r="FQ6" s="21">
        <f>IF(FQ$1&lt;INDEX('Valo FX'!$Q:$Q,MATCH($A6,'Valo FX'!$A:$A,0)),0,IF(FQ$1&lt;INDEX('Valo FX'!$R:$R,MATCH($A6,'Valo FX'!$A:$A,0)),INDEX(Base!$U:$U,MATCH($A6,Base!$A:$A,0)),IF(FQ$1=INDEX('Valo FX'!$R:$R,MATCH($A6,'Valo FX'!$A:$A,0)),INDEX(Base!$V:$V,MATCH($A6,Base!$A:$A,0)),0)))</f>
        <v>13.571168</v>
      </c>
      <c r="FR6" s="21">
        <f>IF(FR$1&lt;INDEX('Valo FX'!$Q:$Q,MATCH($A6,'Valo FX'!$A:$A,0)),0,IF(FR$1&lt;INDEX('Valo FX'!$R:$R,MATCH($A6,'Valo FX'!$A:$A,0)),INDEX(Base!$U:$U,MATCH($A6,Base!$A:$A,0)),IF(FR$1=INDEX('Valo FX'!$R:$R,MATCH($A6,'Valo FX'!$A:$A,0)),INDEX(Base!$V:$V,MATCH($A6,Base!$A:$A,0)),0)))</f>
        <v>13.571168</v>
      </c>
      <c r="FS6" s="21">
        <f>IF(FS$1&lt;INDEX('Valo FX'!$Q:$Q,MATCH($A6,'Valo FX'!$A:$A,0)),0,IF(FS$1&lt;INDEX('Valo FX'!$R:$R,MATCH($A6,'Valo FX'!$A:$A,0)),INDEX(Base!$U:$U,MATCH($A6,Base!$A:$A,0)),IF(FS$1=INDEX('Valo FX'!$R:$R,MATCH($A6,'Valo FX'!$A:$A,0)),INDEX(Base!$V:$V,MATCH($A6,Base!$A:$A,0)),0)))</f>
        <v>13.571168</v>
      </c>
      <c r="FT6" s="21">
        <f>IF(FT$1&lt;INDEX('Valo FX'!$Q:$Q,MATCH($A6,'Valo FX'!$A:$A,0)),0,IF(FT$1&lt;INDEX('Valo FX'!$R:$R,MATCH($A6,'Valo FX'!$A:$A,0)),INDEX(Base!$U:$U,MATCH($A6,Base!$A:$A,0)),IF(FT$1=INDEX('Valo FX'!$R:$R,MATCH($A6,'Valo FX'!$A:$A,0)),INDEX(Base!$V:$V,MATCH($A6,Base!$A:$A,0)),0)))</f>
        <v>13.571168</v>
      </c>
      <c r="FU6" s="21">
        <f>IF(FU$1&lt;INDEX('Valo FX'!$Q:$Q,MATCH($A6,'Valo FX'!$A:$A,0)),0,IF(FU$1&lt;INDEX('Valo FX'!$R:$R,MATCH($A6,'Valo FX'!$A:$A,0)),INDEX(Base!$U:$U,MATCH($A6,Base!$A:$A,0)),IF(FU$1=INDEX('Valo FX'!$R:$R,MATCH($A6,'Valo FX'!$A:$A,0)),INDEX(Base!$V:$V,MATCH($A6,Base!$A:$A,0)),0)))</f>
        <v>13.571168</v>
      </c>
      <c r="FV6" s="21">
        <f>IF(FV$1&lt;INDEX('Valo FX'!$Q:$Q,MATCH($A6,'Valo FX'!$A:$A,0)),0,IF(FV$1&lt;INDEX('Valo FX'!$R:$R,MATCH($A6,'Valo FX'!$A:$A,0)),INDEX(Base!$U:$U,MATCH($A6,Base!$A:$A,0)),IF(FV$1=INDEX('Valo FX'!$R:$R,MATCH($A6,'Valo FX'!$A:$A,0)),INDEX(Base!$V:$V,MATCH($A6,Base!$A:$A,0)),0)))</f>
        <v>13.571168</v>
      </c>
      <c r="FW6" s="21">
        <f>IF(FW$1&lt;INDEX('Valo FX'!$Q:$Q,MATCH($A6,'Valo FX'!$A:$A,0)),0,IF(FW$1&lt;INDEX('Valo FX'!$R:$R,MATCH($A6,'Valo FX'!$A:$A,0)),INDEX(Base!$U:$U,MATCH($A6,Base!$A:$A,0)),IF(FW$1=INDEX('Valo FX'!$R:$R,MATCH($A6,'Valo FX'!$A:$A,0)),INDEX(Base!$V:$V,MATCH($A6,Base!$A:$A,0)),0)))</f>
        <v>13.571168</v>
      </c>
      <c r="FX6" s="21">
        <f>IF(FX$1&lt;INDEX('Valo FX'!$Q:$Q,MATCH($A6,'Valo FX'!$A:$A,0)),0,IF(FX$1&lt;INDEX('Valo FX'!$R:$R,MATCH($A6,'Valo FX'!$A:$A,0)),INDEX(Base!$U:$U,MATCH($A6,Base!$A:$A,0)),IF(FX$1=INDEX('Valo FX'!$R:$R,MATCH($A6,'Valo FX'!$A:$A,0)),INDEX(Base!$V:$V,MATCH($A6,Base!$A:$A,0)),0)))</f>
        <v>13.571168</v>
      </c>
      <c r="FY6" s="21">
        <f>IF(FY$1&lt;INDEX('Valo FX'!$Q:$Q,MATCH($A6,'Valo FX'!$A:$A,0)),0,IF(FY$1&lt;INDEX('Valo FX'!$R:$R,MATCH($A6,'Valo FX'!$A:$A,0)),INDEX(Base!$U:$U,MATCH($A6,Base!$A:$A,0)),IF(FY$1=INDEX('Valo FX'!$R:$R,MATCH($A6,'Valo FX'!$A:$A,0)),INDEX(Base!$V:$V,MATCH($A6,Base!$A:$A,0)),0)))</f>
        <v>13.571168</v>
      </c>
      <c r="FZ6" s="21">
        <f>IF(FZ$1&lt;INDEX('Valo FX'!$Q:$Q,MATCH($A6,'Valo FX'!$A:$A,0)),0,IF(FZ$1&lt;INDEX('Valo FX'!$R:$R,MATCH($A6,'Valo FX'!$A:$A,0)),INDEX(Base!$U:$U,MATCH($A6,Base!$A:$A,0)),IF(FZ$1=INDEX('Valo FX'!$R:$R,MATCH($A6,'Valo FX'!$A:$A,0)),INDEX(Base!$V:$V,MATCH($A6,Base!$A:$A,0)),0)))</f>
        <v>13.571168</v>
      </c>
      <c r="GA6" s="21">
        <f>IF(GA$1&lt;INDEX('Valo FX'!$Q:$Q,MATCH($A6,'Valo FX'!$A:$A,0)),0,IF(GA$1&lt;INDEX('Valo FX'!$R:$R,MATCH($A6,'Valo FX'!$A:$A,0)),INDEX(Base!$U:$U,MATCH($A6,Base!$A:$A,0)),IF(GA$1=INDEX('Valo FX'!$R:$R,MATCH($A6,'Valo FX'!$A:$A,0)),INDEX(Base!$V:$V,MATCH($A6,Base!$A:$A,0)),0)))</f>
        <v>13.571168</v>
      </c>
      <c r="GB6" s="21">
        <f>IF(GB$1&lt;INDEX('Valo FX'!$Q:$Q,MATCH($A6,'Valo FX'!$A:$A,0)),0,IF(GB$1&lt;INDEX('Valo FX'!$R:$R,MATCH($A6,'Valo FX'!$A:$A,0)),INDEX(Base!$U:$U,MATCH($A6,Base!$A:$A,0)),IF(GB$1=INDEX('Valo FX'!$R:$R,MATCH($A6,'Valo FX'!$A:$A,0)),INDEX(Base!$V:$V,MATCH($A6,Base!$A:$A,0)),0)))</f>
        <v>13.571168</v>
      </c>
      <c r="GC6" s="21">
        <f>IF(GC$1&lt;INDEX('Valo FX'!$Q:$Q,MATCH($A6,'Valo FX'!$A:$A,0)),0,IF(GC$1&lt;INDEX('Valo FX'!$R:$R,MATCH($A6,'Valo FX'!$A:$A,0)),INDEX(Base!$U:$U,MATCH($A6,Base!$A:$A,0)),IF(GC$1=INDEX('Valo FX'!$R:$R,MATCH($A6,'Valo FX'!$A:$A,0)),INDEX(Base!$V:$V,MATCH($A6,Base!$A:$A,0)),0)))</f>
        <v>13.571168</v>
      </c>
      <c r="GD6" s="21">
        <f>IF(GD$1&lt;INDEX('Valo FX'!$Q:$Q,MATCH($A6,'Valo FX'!$A:$A,0)),0,IF(GD$1&lt;INDEX('Valo FX'!$R:$R,MATCH($A6,'Valo FX'!$A:$A,0)),INDEX(Base!$U:$U,MATCH($A6,Base!$A:$A,0)),IF(GD$1=INDEX('Valo FX'!$R:$R,MATCH($A6,'Valo FX'!$A:$A,0)),INDEX(Base!$V:$V,MATCH($A6,Base!$A:$A,0)),0)))</f>
        <v>13.571168</v>
      </c>
      <c r="GE6" s="21">
        <f>IF(GE$1&lt;INDEX('Valo FX'!$Q:$Q,MATCH($A6,'Valo FX'!$A:$A,0)),0,IF(GE$1&lt;INDEX('Valo FX'!$R:$R,MATCH($A6,'Valo FX'!$A:$A,0)),INDEX(Base!$U:$U,MATCH($A6,Base!$A:$A,0)),IF(GE$1=INDEX('Valo FX'!$R:$R,MATCH($A6,'Valo FX'!$A:$A,0)),INDEX(Base!$V:$V,MATCH($A6,Base!$A:$A,0)),0)))</f>
        <v>13.571168</v>
      </c>
      <c r="GF6" s="21">
        <f>IF(GF$1&lt;INDEX('Valo FX'!$Q:$Q,MATCH($A6,'Valo FX'!$A:$A,0)),0,IF(GF$1&lt;INDEX('Valo FX'!$R:$R,MATCH($A6,'Valo FX'!$A:$A,0)),INDEX(Base!$U:$U,MATCH($A6,Base!$A:$A,0)),IF(GF$1=INDEX('Valo FX'!$R:$R,MATCH($A6,'Valo FX'!$A:$A,0)),INDEX(Base!$V:$V,MATCH($A6,Base!$A:$A,0)),0)))</f>
        <v>13.571168</v>
      </c>
      <c r="GG6" s="21">
        <f>IF(GG$1&lt;INDEX('Valo FX'!$Q:$Q,MATCH($A6,'Valo FX'!$A:$A,0)),0,IF(GG$1&lt;INDEX('Valo FX'!$R:$R,MATCH($A6,'Valo FX'!$A:$A,0)),INDEX(Base!$U:$U,MATCH($A6,Base!$A:$A,0)),IF(GG$1=INDEX('Valo FX'!$R:$R,MATCH($A6,'Valo FX'!$A:$A,0)),INDEX(Base!$V:$V,MATCH($A6,Base!$A:$A,0)),0)))</f>
        <v>13.571168</v>
      </c>
      <c r="GH6" s="21">
        <f>IF(GH$1&lt;INDEX('Valo FX'!$Q:$Q,MATCH($A6,'Valo FX'!$A:$A,0)),0,IF(GH$1&lt;INDEX('Valo FX'!$R:$R,MATCH($A6,'Valo FX'!$A:$A,0)),INDEX(Base!$U:$U,MATCH($A6,Base!$A:$A,0)),IF(GH$1=INDEX('Valo FX'!$R:$R,MATCH($A6,'Valo FX'!$A:$A,0)),INDEX(Base!$V:$V,MATCH($A6,Base!$A:$A,0)),0)))</f>
        <v>13.571168</v>
      </c>
      <c r="GI6" s="21">
        <f>IF(GI$1&lt;INDEX('Valo FX'!$Q:$Q,MATCH($A6,'Valo FX'!$A:$A,0)),0,IF(GI$1&lt;INDEX('Valo FX'!$R:$R,MATCH($A6,'Valo FX'!$A:$A,0)),INDEX(Base!$U:$U,MATCH($A6,Base!$A:$A,0)),IF(GI$1=INDEX('Valo FX'!$R:$R,MATCH($A6,'Valo FX'!$A:$A,0)),INDEX(Base!$V:$V,MATCH($A6,Base!$A:$A,0)),0)))</f>
        <v>13.571168</v>
      </c>
      <c r="GJ6" s="21">
        <f>IF(GJ$1&lt;INDEX('Valo FX'!$Q:$Q,MATCH($A6,'Valo FX'!$A:$A,0)),0,IF(GJ$1&lt;INDEX('Valo FX'!$R:$R,MATCH($A6,'Valo FX'!$A:$A,0)),INDEX(Base!$U:$U,MATCH($A6,Base!$A:$A,0)),IF(GJ$1=INDEX('Valo FX'!$R:$R,MATCH($A6,'Valo FX'!$A:$A,0)),INDEX(Base!$V:$V,MATCH($A6,Base!$A:$A,0)),0)))</f>
        <v>13.571168</v>
      </c>
      <c r="GK6" s="21">
        <f>IF(GK$1&lt;INDEX('Valo FX'!$Q:$Q,MATCH($A6,'Valo FX'!$A:$A,0)),0,IF(GK$1&lt;INDEX('Valo FX'!$R:$R,MATCH($A6,'Valo FX'!$A:$A,0)),INDEX(Base!$U:$U,MATCH($A6,Base!$A:$A,0)),IF(GK$1=INDEX('Valo FX'!$R:$R,MATCH($A6,'Valo FX'!$A:$A,0)),INDEX(Base!$V:$V,MATCH($A6,Base!$A:$A,0)),0)))</f>
        <v>13.571168</v>
      </c>
      <c r="GL6" s="21">
        <f>IF(GL$1&lt;INDEX('Valo FX'!$Q:$Q,MATCH($A6,'Valo FX'!$A:$A,0)),0,IF(GL$1&lt;INDEX('Valo FX'!$R:$R,MATCH($A6,'Valo FX'!$A:$A,0)),INDEX(Base!$U:$U,MATCH($A6,Base!$A:$A,0)),IF(GL$1=INDEX('Valo FX'!$R:$R,MATCH($A6,'Valo FX'!$A:$A,0)),INDEX(Base!$V:$V,MATCH($A6,Base!$A:$A,0)),0)))</f>
        <v>13.571168</v>
      </c>
      <c r="GM6" s="21">
        <f>IF(GM$1&lt;INDEX('Valo FX'!$Q:$Q,MATCH($A6,'Valo FX'!$A:$A,0)),0,IF(GM$1&lt;INDEX('Valo FX'!$R:$R,MATCH($A6,'Valo FX'!$A:$A,0)),INDEX(Base!$U:$U,MATCH($A6,Base!$A:$A,0)),IF(GM$1=INDEX('Valo FX'!$R:$R,MATCH($A6,'Valo FX'!$A:$A,0)),INDEX(Base!$V:$V,MATCH($A6,Base!$A:$A,0)),0)))</f>
        <v>13.571168</v>
      </c>
      <c r="GN6" s="21">
        <f>IF(GN$1&lt;INDEX('Valo FX'!$Q:$Q,MATCH($A6,'Valo FX'!$A:$A,0)),0,IF(GN$1&lt;INDEX('Valo FX'!$R:$R,MATCH($A6,'Valo FX'!$A:$A,0)),INDEX(Base!$U:$U,MATCH($A6,Base!$A:$A,0)),IF(GN$1=INDEX('Valo FX'!$R:$R,MATCH($A6,'Valo FX'!$A:$A,0)),INDEX(Base!$V:$V,MATCH($A6,Base!$A:$A,0)),0)))</f>
        <v>13.571168</v>
      </c>
      <c r="GO6" s="21">
        <f>IF(GO$1&lt;INDEX('Valo FX'!$Q:$Q,MATCH($A6,'Valo FX'!$A:$A,0)),0,IF(GO$1&lt;INDEX('Valo FX'!$R:$R,MATCH($A6,'Valo FX'!$A:$A,0)),INDEX(Base!$U:$U,MATCH($A6,Base!$A:$A,0)),IF(GO$1=INDEX('Valo FX'!$R:$R,MATCH($A6,'Valo FX'!$A:$A,0)),INDEX(Base!$V:$V,MATCH($A6,Base!$A:$A,0)),0)))</f>
        <v>13.571168</v>
      </c>
      <c r="GP6" s="21">
        <f>IF(GP$1&lt;INDEX('Valo FX'!$Q:$Q,MATCH($A6,'Valo FX'!$A:$A,0)),0,IF(GP$1&lt;INDEX('Valo FX'!$R:$R,MATCH($A6,'Valo FX'!$A:$A,0)),INDEX(Base!$U:$U,MATCH($A6,Base!$A:$A,0)),IF(GP$1=INDEX('Valo FX'!$R:$R,MATCH($A6,'Valo FX'!$A:$A,0)),INDEX(Base!$V:$V,MATCH($A6,Base!$A:$A,0)),0)))</f>
        <v>13.571168</v>
      </c>
      <c r="GQ6" s="21">
        <f>IF(GQ$1&lt;INDEX('Valo FX'!$Q:$Q,MATCH($A6,'Valo FX'!$A:$A,0)),0,IF(GQ$1&lt;INDEX('Valo FX'!$R:$R,MATCH($A6,'Valo FX'!$A:$A,0)),INDEX(Base!$U:$U,MATCH($A6,Base!$A:$A,0)),IF(GQ$1=INDEX('Valo FX'!$R:$R,MATCH($A6,'Valo FX'!$A:$A,0)),INDEX(Base!$V:$V,MATCH($A6,Base!$A:$A,0)),0)))</f>
        <v>13.571168</v>
      </c>
      <c r="GR6" s="21">
        <f>IF(GR$1&lt;INDEX('Valo FX'!$Q:$Q,MATCH($A6,'Valo FX'!$A:$A,0)),0,IF(GR$1&lt;INDEX('Valo FX'!$R:$R,MATCH($A6,'Valo FX'!$A:$A,0)),INDEX(Base!$U:$U,MATCH($A6,Base!$A:$A,0)),IF(GR$1=INDEX('Valo FX'!$R:$R,MATCH($A6,'Valo FX'!$A:$A,0)),INDEX(Base!$V:$V,MATCH($A6,Base!$A:$A,0)),0)))</f>
        <v>13.571168</v>
      </c>
      <c r="GS6" s="21">
        <f>IF(GS$1&lt;INDEX('Valo FX'!$Q:$Q,MATCH($A6,'Valo FX'!$A:$A,0)),0,IF(GS$1&lt;INDEX('Valo FX'!$R:$R,MATCH($A6,'Valo FX'!$A:$A,0)),INDEX(Base!$U:$U,MATCH($A6,Base!$A:$A,0)),IF(GS$1=INDEX('Valo FX'!$R:$R,MATCH($A6,'Valo FX'!$A:$A,0)),INDEX(Base!$V:$V,MATCH($A6,Base!$A:$A,0)),0)))</f>
        <v>13.571168</v>
      </c>
      <c r="GT6" s="21">
        <f>IF(GT$1&lt;INDEX('Valo FX'!$Q:$Q,MATCH($A6,'Valo FX'!$A:$A,0)),0,IF(GT$1&lt;INDEX('Valo FX'!$R:$R,MATCH($A6,'Valo FX'!$A:$A,0)),INDEX(Base!$U:$U,MATCH($A6,Base!$A:$A,0)),IF(GT$1=INDEX('Valo FX'!$R:$R,MATCH($A6,'Valo FX'!$A:$A,0)),INDEX(Base!$V:$V,MATCH($A6,Base!$A:$A,0)),0)))</f>
        <v>13.571168</v>
      </c>
      <c r="GU6" s="21">
        <f>IF(GU$1&lt;INDEX('Valo FX'!$Q:$Q,MATCH($A6,'Valo FX'!$A:$A,0)),0,IF(GU$1&lt;INDEX('Valo FX'!$R:$R,MATCH($A6,'Valo FX'!$A:$A,0)),INDEX(Base!$U:$U,MATCH($A6,Base!$A:$A,0)),IF(GU$1=INDEX('Valo FX'!$R:$R,MATCH($A6,'Valo FX'!$A:$A,0)),INDEX(Base!$V:$V,MATCH($A6,Base!$A:$A,0)),0)))</f>
        <v>13.571168</v>
      </c>
      <c r="GV6" s="21">
        <f>IF(GV$1&lt;INDEX('Valo FX'!$Q:$Q,MATCH($A6,'Valo FX'!$A:$A,0)),0,IF(GV$1&lt;INDEX('Valo FX'!$R:$R,MATCH($A6,'Valo FX'!$A:$A,0)),INDEX(Base!$U:$U,MATCH($A6,Base!$A:$A,0)),IF(GV$1=INDEX('Valo FX'!$R:$R,MATCH($A6,'Valo FX'!$A:$A,0)),INDEX(Base!$V:$V,MATCH($A6,Base!$A:$A,0)),0)))</f>
        <v>13.571168</v>
      </c>
      <c r="GW6" s="21">
        <f>IF(GW$1&lt;INDEX('Valo FX'!$Q:$Q,MATCH($A6,'Valo FX'!$A:$A,0)),0,IF(GW$1&lt;INDEX('Valo FX'!$R:$R,MATCH($A6,'Valo FX'!$A:$A,0)),INDEX(Base!$U:$U,MATCH($A6,Base!$A:$A,0)),IF(GW$1=INDEX('Valo FX'!$R:$R,MATCH($A6,'Valo FX'!$A:$A,0)),INDEX(Base!$V:$V,MATCH($A6,Base!$A:$A,0)),0)))</f>
        <v>13.571168</v>
      </c>
      <c r="GX6" s="21">
        <f>IF(GX$1&lt;INDEX('Valo FX'!$Q:$Q,MATCH($A6,'Valo FX'!$A:$A,0)),0,IF(GX$1&lt;INDEX('Valo FX'!$R:$R,MATCH($A6,'Valo FX'!$A:$A,0)),INDEX(Base!$U:$U,MATCH($A6,Base!$A:$A,0)),IF(GX$1=INDEX('Valo FX'!$R:$R,MATCH($A6,'Valo FX'!$A:$A,0)),INDEX(Base!$V:$V,MATCH($A6,Base!$A:$A,0)),0)))</f>
        <v>13.571168</v>
      </c>
      <c r="GY6" s="21">
        <f>IF(GY$1&lt;INDEX('Valo FX'!$Q:$Q,MATCH($A6,'Valo FX'!$A:$A,0)),0,IF(GY$1&lt;INDEX('Valo FX'!$R:$R,MATCH($A6,'Valo FX'!$A:$A,0)),INDEX(Base!$U:$U,MATCH($A6,Base!$A:$A,0)),IF(GY$1=INDEX('Valo FX'!$R:$R,MATCH($A6,'Valo FX'!$A:$A,0)),INDEX(Base!$V:$V,MATCH($A6,Base!$A:$A,0)),0)))</f>
        <v>13.571168</v>
      </c>
      <c r="GZ6" s="21">
        <f>IF(GZ$1&lt;INDEX('Valo FX'!$Q:$Q,MATCH($A6,'Valo FX'!$A:$A,0)),0,IF(GZ$1&lt;INDEX('Valo FX'!$R:$R,MATCH($A6,'Valo FX'!$A:$A,0)),INDEX(Base!$U:$U,MATCH($A6,Base!$A:$A,0)),IF(GZ$1=INDEX('Valo FX'!$R:$R,MATCH($A6,'Valo FX'!$A:$A,0)),INDEX(Base!$V:$V,MATCH($A6,Base!$A:$A,0)),0)))</f>
        <v>13.571168</v>
      </c>
      <c r="HA6" s="21">
        <f>IF(HA$1&lt;INDEX('Valo FX'!$Q:$Q,MATCH($A6,'Valo FX'!$A:$A,0)),0,IF(HA$1&lt;INDEX('Valo FX'!$R:$R,MATCH($A6,'Valo FX'!$A:$A,0)),INDEX(Base!$U:$U,MATCH($A6,Base!$A:$A,0)),IF(HA$1=INDEX('Valo FX'!$R:$R,MATCH($A6,'Valo FX'!$A:$A,0)),INDEX(Base!$V:$V,MATCH($A6,Base!$A:$A,0)),0)))</f>
        <v>13.571168</v>
      </c>
      <c r="HB6" s="21">
        <f>IF(HB$1&lt;INDEX('Valo FX'!$Q:$Q,MATCH($A6,'Valo FX'!$A:$A,0)),0,IF(HB$1&lt;INDEX('Valo FX'!$R:$R,MATCH($A6,'Valo FX'!$A:$A,0)),INDEX(Base!$U:$U,MATCH($A6,Base!$A:$A,0)),IF(HB$1=INDEX('Valo FX'!$R:$R,MATCH($A6,'Valo FX'!$A:$A,0)),INDEX(Base!$V:$V,MATCH($A6,Base!$A:$A,0)),0)))</f>
        <v>13.571168</v>
      </c>
      <c r="HC6" s="21">
        <f>IF(HC$1&lt;INDEX('Valo FX'!$Q:$Q,MATCH($A6,'Valo FX'!$A:$A,0)),0,IF(HC$1&lt;INDEX('Valo FX'!$R:$R,MATCH($A6,'Valo FX'!$A:$A,0)),INDEX(Base!$U:$U,MATCH($A6,Base!$A:$A,0)),IF(HC$1=INDEX('Valo FX'!$R:$R,MATCH($A6,'Valo FX'!$A:$A,0)),INDEX(Base!$V:$V,MATCH($A6,Base!$A:$A,0)),0)))</f>
        <v>13.571168</v>
      </c>
      <c r="HD6" s="21">
        <f>IF(HD$1&lt;INDEX('Valo FX'!$Q:$Q,MATCH($A6,'Valo FX'!$A:$A,0)),0,IF(HD$1&lt;INDEX('Valo FX'!$R:$R,MATCH($A6,'Valo FX'!$A:$A,0)),INDEX(Base!$U:$U,MATCH($A6,Base!$A:$A,0)),IF(HD$1=INDEX('Valo FX'!$R:$R,MATCH($A6,'Valo FX'!$A:$A,0)),INDEX(Base!$V:$V,MATCH($A6,Base!$A:$A,0)),0)))</f>
        <v>13.571168</v>
      </c>
      <c r="HE6" s="21">
        <f>IF(HE$1&lt;INDEX('Valo FX'!$Q:$Q,MATCH($A6,'Valo FX'!$A:$A,0)),0,IF(HE$1&lt;INDEX('Valo FX'!$R:$R,MATCH($A6,'Valo FX'!$A:$A,0)),INDEX(Base!$U:$U,MATCH($A6,Base!$A:$A,0)),IF(HE$1=INDEX('Valo FX'!$R:$R,MATCH($A6,'Valo FX'!$A:$A,0)),INDEX(Base!$V:$V,MATCH($A6,Base!$A:$A,0)),0)))</f>
        <v>13.571168</v>
      </c>
      <c r="HF6" s="21">
        <f>IF(HF$1&lt;INDEX('Valo FX'!$Q:$Q,MATCH($A6,'Valo FX'!$A:$A,0)),0,IF(HF$1&lt;INDEX('Valo FX'!$R:$R,MATCH($A6,'Valo FX'!$A:$A,0)),INDEX(Base!$U:$U,MATCH($A6,Base!$A:$A,0)),IF(HF$1=INDEX('Valo FX'!$R:$R,MATCH($A6,'Valo FX'!$A:$A,0)),INDEX(Base!$V:$V,MATCH($A6,Base!$A:$A,0)),0)))</f>
        <v>13.571168</v>
      </c>
      <c r="HG6" s="21">
        <f>IF(HG$1&lt;INDEX('Valo FX'!$Q:$Q,MATCH($A6,'Valo FX'!$A:$A,0)),0,IF(HG$1&lt;INDEX('Valo FX'!$R:$R,MATCH($A6,'Valo FX'!$A:$A,0)),INDEX(Base!$U:$U,MATCH($A6,Base!$A:$A,0)),IF(HG$1=INDEX('Valo FX'!$R:$R,MATCH($A6,'Valo FX'!$A:$A,0)),INDEX(Base!$V:$V,MATCH($A6,Base!$A:$A,0)),0)))</f>
        <v>13.571168</v>
      </c>
      <c r="HH6" s="21">
        <f>IF(HH$1&lt;INDEX('Valo FX'!$Q:$Q,MATCH($A6,'Valo FX'!$A:$A,0)),0,IF(HH$1&lt;INDEX('Valo FX'!$R:$R,MATCH($A6,'Valo FX'!$A:$A,0)),INDEX(Base!$U:$U,MATCH($A6,Base!$A:$A,0)),IF(HH$1=INDEX('Valo FX'!$R:$R,MATCH($A6,'Valo FX'!$A:$A,0)),INDEX(Base!$V:$V,MATCH($A6,Base!$A:$A,0)),0)))</f>
        <v>13.571168</v>
      </c>
      <c r="HI6" s="21">
        <f>IF(HI$1&lt;INDEX('Valo FX'!$Q:$Q,MATCH($A6,'Valo FX'!$A:$A,0)),0,IF(HI$1&lt;INDEX('Valo FX'!$R:$R,MATCH($A6,'Valo FX'!$A:$A,0)),INDEX(Base!$U:$U,MATCH($A6,Base!$A:$A,0)),IF(HI$1=INDEX('Valo FX'!$R:$R,MATCH($A6,'Valo FX'!$A:$A,0)),INDEX(Base!$V:$V,MATCH($A6,Base!$A:$A,0)),0)))</f>
        <v>13.571168</v>
      </c>
      <c r="HJ6" s="21">
        <f>IF(HJ$1&lt;INDEX('Valo FX'!$Q:$Q,MATCH($A6,'Valo FX'!$A:$A,0)),0,IF(HJ$1&lt;INDEX('Valo FX'!$R:$R,MATCH($A6,'Valo FX'!$A:$A,0)),INDEX(Base!$U:$U,MATCH($A6,Base!$A:$A,0)),IF(HJ$1=INDEX('Valo FX'!$R:$R,MATCH($A6,'Valo FX'!$A:$A,0)),INDEX(Base!$V:$V,MATCH($A6,Base!$A:$A,0)),0)))</f>
        <v>13.571168</v>
      </c>
      <c r="HK6" s="21">
        <f>IF(HK$1&lt;INDEX('Valo FX'!$Q:$Q,MATCH($A6,'Valo FX'!$A:$A,0)),0,IF(HK$1&lt;INDEX('Valo FX'!$R:$R,MATCH($A6,'Valo FX'!$A:$A,0)),INDEX(Base!$U:$U,MATCH($A6,Base!$A:$A,0)),IF(HK$1=INDEX('Valo FX'!$R:$R,MATCH($A6,'Valo FX'!$A:$A,0)),INDEX(Base!$V:$V,MATCH($A6,Base!$A:$A,0)),0)))</f>
        <v>13.571168</v>
      </c>
      <c r="HL6" s="21">
        <f>IF(HL$1&lt;INDEX('Valo FX'!$Q:$Q,MATCH($A6,'Valo FX'!$A:$A,0)),0,IF(HL$1&lt;INDEX('Valo FX'!$R:$R,MATCH($A6,'Valo FX'!$A:$A,0)),INDEX(Base!$U:$U,MATCH($A6,Base!$A:$A,0)),IF(HL$1=INDEX('Valo FX'!$R:$R,MATCH($A6,'Valo FX'!$A:$A,0)),INDEX(Base!$V:$V,MATCH($A6,Base!$A:$A,0)),0)))</f>
        <v>13.571168</v>
      </c>
      <c r="HM6" s="21">
        <f>IF(HM$1&lt;INDEX('Valo FX'!$Q:$Q,MATCH($A6,'Valo FX'!$A:$A,0)),0,IF(HM$1&lt;INDEX('Valo FX'!$R:$R,MATCH($A6,'Valo FX'!$A:$A,0)),INDEX(Base!$U:$U,MATCH($A6,Base!$A:$A,0)),IF(HM$1=INDEX('Valo FX'!$R:$R,MATCH($A6,'Valo FX'!$A:$A,0)),INDEX(Base!$V:$V,MATCH($A6,Base!$A:$A,0)),0)))</f>
        <v>13.571168</v>
      </c>
      <c r="HN6" s="21">
        <f>IF(HN$1&lt;INDEX('Valo FX'!$Q:$Q,MATCH($A6,'Valo FX'!$A:$A,0)),0,IF(HN$1&lt;INDEX('Valo FX'!$R:$R,MATCH($A6,'Valo FX'!$A:$A,0)),INDEX(Base!$U:$U,MATCH($A6,Base!$A:$A,0)),IF(HN$1=INDEX('Valo FX'!$R:$R,MATCH($A6,'Valo FX'!$A:$A,0)),INDEX(Base!$V:$V,MATCH($A6,Base!$A:$A,0)),0)))</f>
        <v>13.571168</v>
      </c>
      <c r="HO6" s="21">
        <f>IF(HO$1&lt;INDEX('Valo FX'!$Q:$Q,MATCH($A6,'Valo FX'!$A:$A,0)),0,IF(HO$1&lt;INDEX('Valo FX'!$R:$R,MATCH($A6,'Valo FX'!$A:$A,0)),INDEX(Base!$U:$U,MATCH($A6,Base!$A:$A,0)),IF(HO$1=INDEX('Valo FX'!$R:$R,MATCH($A6,'Valo FX'!$A:$A,0)),INDEX(Base!$V:$V,MATCH($A6,Base!$A:$A,0)),0)))</f>
        <v>13.571168</v>
      </c>
      <c r="HP6" s="21">
        <f>IF(HP$1&lt;INDEX('Valo FX'!$Q:$Q,MATCH($A6,'Valo FX'!$A:$A,0)),0,IF(HP$1&lt;INDEX('Valo FX'!$R:$R,MATCH($A6,'Valo FX'!$A:$A,0)),INDEX(Base!$U:$U,MATCH($A6,Base!$A:$A,0)),IF(HP$1=INDEX('Valo FX'!$R:$R,MATCH($A6,'Valo FX'!$A:$A,0)),INDEX(Base!$V:$V,MATCH($A6,Base!$A:$A,0)),0)))</f>
        <v>13.571168</v>
      </c>
      <c r="HQ6" s="21">
        <f>IF(HQ$1&lt;INDEX('Valo FX'!$Q:$Q,MATCH($A6,'Valo FX'!$A:$A,0)),0,IF(HQ$1&lt;INDEX('Valo FX'!$R:$R,MATCH($A6,'Valo FX'!$A:$A,0)),INDEX(Base!$U:$U,MATCH($A6,Base!$A:$A,0)),IF(HQ$1=INDEX('Valo FX'!$R:$R,MATCH($A6,'Valo FX'!$A:$A,0)),INDEX(Base!$V:$V,MATCH($A6,Base!$A:$A,0)),0)))</f>
        <v>13.571168</v>
      </c>
      <c r="HR6" s="21">
        <f>IF(HR$1&lt;INDEX('Valo FX'!$Q:$Q,MATCH($A6,'Valo FX'!$A:$A,0)),0,IF(HR$1&lt;INDEX('Valo FX'!$R:$R,MATCH($A6,'Valo FX'!$A:$A,0)),INDEX(Base!$U:$U,MATCH($A6,Base!$A:$A,0)),IF(HR$1=INDEX('Valo FX'!$R:$R,MATCH($A6,'Valo FX'!$A:$A,0)),INDEX(Base!$V:$V,MATCH($A6,Base!$A:$A,0)),0)))</f>
        <v>13.571168</v>
      </c>
      <c r="HS6" s="21">
        <f>IF(HS$1&lt;INDEX('Valo FX'!$Q:$Q,MATCH($A6,'Valo FX'!$A:$A,0)),0,IF(HS$1&lt;INDEX('Valo FX'!$R:$R,MATCH($A6,'Valo FX'!$A:$A,0)),INDEX(Base!$U:$U,MATCH($A6,Base!$A:$A,0)),IF(HS$1=INDEX('Valo FX'!$R:$R,MATCH($A6,'Valo FX'!$A:$A,0)),INDEX(Base!$V:$V,MATCH($A6,Base!$A:$A,0)),0)))</f>
        <v>13.571168</v>
      </c>
      <c r="HT6" s="21">
        <f>IF(HT$1&lt;INDEX('Valo FX'!$Q:$Q,MATCH($A6,'Valo FX'!$A:$A,0)),0,IF(HT$1&lt;INDEX('Valo FX'!$R:$R,MATCH($A6,'Valo FX'!$A:$A,0)),INDEX(Base!$U:$U,MATCH($A6,Base!$A:$A,0)),IF(HT$1=INDEX('Valo FX'!$R:$R,MATCH($A6,'Valo FX'!$A:$A,0)),INDEX(Base!$V:$V,MATCH($A6,Base!$A:$A,0)),0)))</f>
        <v>13.571168</v>
      </c>
      <c r="HU6" s="21">
        <f>IF(HU$1&lt;INDEX('Valo FX'!$Q:$Q,MATCH($A6,'Valo FX'!$A:$A,0)),0,IF(HU$1&lt;INDEX('Valo FX'!$R:$R,MATCH($A6,'Valo FX'!$A:$A,0)),INDEX(Base!$U:$U,MATCH($A6,Base!$A:$A,0)),IF(HU$1=INDEX('Valo FX'!$R:$R,MATCH($A6,'Valo FX'!$A:$A,0)),INDEX(Base!$V:$V,MATCH($A6,Base!$A:$A,0)),0)))</f>
        <v>13.571168</v>
      </c>
      <c r="HV6" s="21">
        <f>IF(HV$1&lt;INDEX('Valo FX'!$Q:$Q,MATCH($A6,'Valo FX'!$A:$A,0)),0,IF(HV$1&lt;INDEX('Valo FX'!$R:$R,MATCH($A6,'Valo FX'!$A:$A,0)),INDEX(Base!$U:$U,MATCH($A6,Base!$A:$A,0)),IF(HV$1=INDEX('Valo FX'!$R:$R,MATCH($A6,'Valo FX'!$A:$A,0)),INDEX(Base!$V:$V,MATCH($A6,Base!$A:$A,0)),0)))</f>
        <v>13.571168</v>
      </c>
      <c r="HW6" s="21">
        <f>IF(HW$1&lt;INDEX('Valo FX'!$Q:$Q,MATCH($A6,'Valo FX'!$A:$A,0)),0,IF(HW$1&lt;INDEX('Valo FX'!$R:$R,MATCH($A6,'Valo FX'!$A:$A,0)),INDEX(Base!$U:$U,MATCH($A6,Base!$A:$A,0)),IF(HW$1=INDEX('Valo FX'!$R:$R,MATCH($A6,'Valo FX'!$A:$A,0)),INDEX(Base!$V:$V,MATCH($A6,Base!$A:$A,0)),0)))</f>
        <v>13.571168</v>
      </c>
      <c r="HX6" s="21">
        <f>IF(HX$1&lt;INDEX('Valo FX'!$Q:$Q,MATCH($A6,'Valo FX'!$A:$A,0)),0,IF(HX$1&lt;INDEX('Valo FX'!$R:$R,MATCH($A6,'Valo FX'!$A:$A,0)),INDEX(Base!$U:$U,MATCH($A6,Base!$A:$A,0)),IF(HX$1=INDEX('Valo FX'!$R:$R,MATCH($A6,'Valo FX'!$A:$A,0)),INDEX(Base!$V:$V,MATCH($A6,Base!$A:$A,0)),0)))</f>
        <v>13.571168</v>
      </c>
      <c r="HY6" s="21">
        <f>IF(HY$1&lt;INDEX('Valo FX'!$Q:$Q,MATCH($A6,'Valo FX'!$A:$A,0)),0,IF(HY$1&lt;INDEX('Valo FX'!$R:$R,MATCH($A6,'Valo FX'!$A:$A,0)),INDEX(Base!$U:$U,MATCH($A6,Base!$A:$A,0)),IF(HY$1=INDEX('Valo FX'!$R:$R,MATCH($A6,'Valo FX'!$A:$A,0)),INDEX(Base!$V:$V,MATCH($A6,Base!$A:$A,0)),0)))</f>
        <v>13.571168</v>
      </c>
      <c r="HZ6" s="21">
        <f>IF(HZ$1&lt;INDEX('Valo FX'!$Q:$Q,MATCH($A6,'Valo FX'!$A:$A,0)),0,IF(HZ$1&lt;INDEX('Valo FX'!$R:$R,MATCH($A6,'Valo FX'!$A:$A,0)),INDEX(Base!$U:$U,MATCH($A6,Base!$A:$A,0)),IF(HZ$1=INDEX('Valo FX'!$R:$R,MATCH($A6,'Valo FX'!$A:$A,0)),INDEX(Base!$V:$V,MATCH($A6,Base!$A:$A,0)),0)))</f>
        <v>13.571168</v>
      </c>
      <c r="IA6" s="21">
        <f>IF(IA$1&lt;INDEX('Valo FX'!$Q:$Q,MATCH($A6,'Valo FX'!$A:$A,0)),0,IF(IA$1&lt;INDEX('Valo FX'!$R:$R,MATCH($A6,'Valo FX'!$A:$A,0)),INDEX(Base!$U:$U,MATCH($A6,Base!$A:$A,0)),IF(IA$1=INDEX('Valo FX'!$R:$R,MATCH($A6,'Valo FX'!$A:$A,0)),INDEX(Base!$V:$V,MATCH($A6,Base!$A:$A,0)),0)))</f>
        <v>13.571168</v>
      </c>
      <c r="IB6" s="21">
        <f>IF(IB$1&lt;INDEX('Valo FX'!$Q:$Q,MATCH($A6,'Valo FX'!$A:$A,0)),0,IF(IB$1&lt;INDEX('Valo FX'!$R:$R,MATCH($A6,'Valo FX'!$A:$A,0)),INDEX(Base!$U:$U,MATCH($A6,Base!$A:$A,0)),IF(IB$1=INDEX('Valo FX'!$R:$R,MATCH($A6,'Valo FX'!$A:$A,0)),INDEX(Base!$V:$V,MATCH($A6,Base!$A:$A,0)),0)))</f>
        <v>13.571168</v>
      </c>
      <c r="IC6" s="21">
        <f>IF(IC$1&lt;INDEX('Valo FX'!$Q:$Q,MATCH($A6,'Valo FX'!$A:$A,0)),0,IF(IC$1&lt;INDEX('Valo FX'!$R:$R,MATCH($A6,'Valo FX'!$A:$A,0)),INDEX(Base!$U:$U,MATCH($A6,Base!$A:$A,0)),IF(IC$1=INDEX('Valo FX'!$R:$R,MATCH($A6,'Valo FX'!$A:$A,0)),INDEX(Base!$V:$V,MATCH($A6,Base!$A:$A,0)),0)))</f>
        <v>13.571168</v>
      </c>
      <c r="ID6" s="21">
        <f>IF(ID$1&lt;INDEX('Valo FX'!$Q:$Q,MATCH($A6,'Valo FX'!$A:$A,0)),0,IF(ID$1&lt;INDEX('Valo FX'!$R:$R,MATCH($A6,'Valo FX'!$A:$A,0)),INDEX(Base!$U:$U,MATCH($A6,Base!$A:$A,0)),IF(ID$1=INDEX('Valo FX'!$R:$R,MATCH($A6,'Valo FX'!$A:$A,0)),INDEX(Base!$V:$V,MATCH($A6,Base!$A:$A,0)),0)))</f>
        <v>13.571168</v>
      </c>
      <c r="IE6" s="21">
        <f>IF(IE$1&lt;INDEX('Valo FX'!$Q:$Q,MATCH($A6,'Valo FX'!$A:$A,0)),0,IF(IE$1&lt;INDEX('Valo FX'!$R:$R,MATCH($A6,'Valo FX'!$A:$A,0)),INDEX(Base!$U:$U,MATCH($A6,Base!$A:$A,0)),IF(IE$1=INDEX('Valo FX'!$R:$R,MATCH($A6,'Valo FX'!$A:$A,0)),INDEX(Base!$V:$V,MATCH($A6,Base!$A:$A,0)),0)))</f>
        <v>13.571168</v>
      </c>
      <c r="IF6" s="21">
        <f>IF(IF$1&lt;INDEX('Valo FX'!$Q:$Q,MATCH($A6,'Valo FX'!$A:$A,0)),0,IF(IF$1&lt;INDEX('Valo FX'!$R:$R,MATCH($A6,'Valo FX'!$A:$A,0)),INDEX(Base!$U:$U,MATCH($A6,Base!$A:$A,0)),IF(IF$1=INDEX('Valo FX'!$R:$R,MATCH($A6,'Valo FX'!$A:$A,0)),INDEX(Base!$V:$V,MATCH($A6,Base!$A:$A,0)),0)))</f>
        <v>13.571168</v>
      </c>
      <c r="IG6" s="21">
        <f>IF(IG$1&lt;INDEX('Valo FX'!$Q:$Q,MATCH($A6,'Valo FX'!$A:$A,0)),0,IF(IG$1&lt;INDEX('Valo FX'!$R:$R,MATCH($A6,'Valo FX'!$A:$A,0)),INDEX(Base!$U:$U,MATCH($A6,Base!$A:$A,0)),IF(IG$1=INDEX('Valo FX'!$R:$R,MATCH($A6,'Valo FX'!$A:$A,0)),INDEX(Base!$V:$V,MATCH($A6,Base!$A:$A,0)),0)))</f>
        <v>13.571168</v>
      </c>
      <c r="IH6" s="21">
        <f>IF(IH$1&lt;INDEX('Valo FX'!$Q:$Q,MATCH($A6,'Valo FX'!$A:$A,0)),0,IF(IH$1&lt;INDEX('Valo FX'!$R:$R,MATCH($A6,'Valo FX'!$A:$A,0)),INDEX(Base!$U:$U,MATCH($A6,Base!$A:$A,0)),IF(IH$1=INDEX('Valo FX'!$R:$R,MATCH($A6,'Valo FX'!$A:$A,0)),INDEX(Base!$V:$V,MATCH($A6,Base!$A:$A,0)),0)))</f>
        <v>13.571168</v>
      </c>
      <c r="II6" s="21">
        <f>IF(II$1&lt;INDEX('Valo FX'!$Q:$Q,MATCH($A6,'Valo FX'!$A:$A,0)),0,IF(II$1&lt;INDEX('Valo FX'!$R:$R,MATCH($A6,'Valo FX'!$A:$A,0)),INDEX(Base!$U:$U,MATCH($A6,Base!$A:$A,0)),IF(II$1=INDEX('Valo FX'!$R:$R,MATCH($A6,'Valo FX'!$A:$A,0)),INDEX(Base!$V:$V,MATCH($A6,Base!$A:$A,0)),0)))</f>
        <v>13.571168</v>
      </c>
      <c r="IJ6" s="21">
        <f>IF(IJ$1&lt;INDEX('Valo FX'!$Q:$Q,MATCH($A6,'Valo FX'!$A:$A,0)),0,IF(IJ$1&lt;INDEX('Valo FX'!$R:$R,MATCH($A6,'Valo FX'!$A:$A,0)),INDEX(Base!$U:$U,MATCH($A6,Base!$A:$A,0)),IF(IJ$1=INDEX('Valo FX'!$R:$R,MATCH($A6,'Valo FX'!$A:$A,0)),INDEX(Base!$V:$V,MATCH($A6,Base!$A:$A,0)),0)))</f>
        <v>13.571168</v>
      </c>
      <c r="IK6" s="21">
        <f>IF(IK$1&lt;INDEX('Valo FX'!$Q:$Q,MATCH($A6,'Valo FX'!$A:$A,0)),0,IF(IK$1&lt;INDEX('Valo FX'!$R:$R,MATCH($A6,'Valo FX'!$A:$A,0)),INDEX(Base!$U:$U,MATCH($A6,Base!$A:$A,0)),IF(IK$1=INDEX('Valo FX'!$R:$R,MATCH($A6,'Valo FX'!$A:$A,0)),INDEX(Base!$V:$V,MATCH($A6,Base!$A:$A,0)),0)))</f>
        <v>13.571168</v>
      </c>
      <c r="IL6" s="21">
        <f>IF(IL$1&lt;INDEX('Valo FX'!$Q:$Q,MATCH($A6,'Valo FX'!$A:$A,0)),0,IF(IL$1&lt;INDEX('Valo FX'!$R:$R,MATCH($A6,'Valo FX'!$A:$A,0)),INDEX(Base!$U:$U,MATCH($A6,Base!$A:$A,0)),IF(IL$1=INDEX('Valo FX'!$R:$R,MATCH($A6,'Valo FX'!$A:$A,0)),INDEX(Base!$V:$V,MATCH($A6,Base!$A:$A,0)),0)))</f>
        <v>13.571168</v>
      </c>
      <c r="IM6" s="21">
        <f>IF(IM$1&lt;INDEX('Valo FX'!$Q:$Q,MATCH($A6,'Valo FX'!$A:$A,0)),0,IF(IM$1&lt;INDEX('Valo FX'!$R:$R,MATCH($A6,'Valo FX'!$A:$A,0)),INDEX(Base!$U:$U,MATCH($A6,Base!$A:$A,0)),IF(IM$1=INDEX('Valo FX'!$R:$R,MATCH($A6,'Valo FX'!$A:$A,0)),INDEX(Base!$V:$V,MATCH($A6,Base!$A:$A,0)),0)))</f>
        <v>13.571168</v>
      </c>
      <c r="IN6" s="21">
        <f>IF(IN$1&lt;INDEX('Valo FX'!$Q:$Q,MATCH($A6,'Valo FX'!$A:$A,0)),0,IF(IN$1&lt;INDEX('Valo FX'!$R:$R,MATCH($A6,'Valo FX'!$A:$A,0)),INDEX(Base!$U:$U,MATCH($A6,Base!$A:$A,0)),IF(IN$1=INDEX('Valo FX'!$R:$R,MATCH($A6,'Valo FX'!$A:$A,0)),INDEX(Base!$V:$V,MATCH($A6,Base!$A:$A,0)),0)))</f>
        <v>13.571168</v>
      </c>
      <c r="IO6" s="21">
        <f>IF(IO$1&lt;INDEX('Valo FX'!$Q:$Q,MATCH($A6,'Valo FX'!$A:$A,0)),0,IF(IO$1&lt;INDEX('Valo FX'!$R:$R,MATCH($A6,'Valo FX'!$A:$A,0)),INDEX(Base!$U:$U,MATCH($A6,Base!$A:$A,0)),IF(IO$1=INDEX('Valo FX'!$R:$R,MATCH($A6,'Valo FX'!$A:$A,0)),INDEX(Base!$V:$V,MATCH($A6,Base!$A:$A,0)),0)))</f>
        <v>13.571168</v>
      </c>
      <c r="IP6" s="21">
        <f>IF(IP$1&lt;INDEX('Valo FX'!$Q:$Q,MATCH($A6,'Valo FX'!$A:$A,0)),0,IF(IP$1&lt;INDEX('Valo FX'!$R:$R,MATCH($A6,'Valo FX'!$A:$A,0)),INDEX(Base!$U:$U,MATCH($A6,Base!$A:$A,0)),IF(IP$1=INDEX('Valo FX'!$R:$R,MATCH($A6,'Valo FX'!$A:$A,0)),INDEX(Base!$V:$V,MATCH($A6,Base!$A:$A,0)),0)))</f>
        <v>13.571168</v>
      </c>
      <c r="IQ6" s="21">
        <f>IF(IQ$1&lt;INDEX('Valo FX'!$Q:$Q,MATCH($A6,'Valo FX'!$A:$A,0)),0,IF(IQ$1&lt;INDEX('Valo FX'!$R:$R,MATCH($A6,'Valo FX'!$A:$A,0)),INDEX(Base!$U:$U,MATCH($A6,Base!$A:$A,0)),IF(IQ$1=INDEX('Valo FX'!$R:$R,MATCH($A6,'Valo FX'!$A:$A,0)),INDEX(Base!$V:$V,MATCH($A6,Base!$A:$A,0)),0)))</f>
        <v>13.571168</v>
      </c>
      <c r="IR6" s="21">
        <f>IF(IR$1&lt;INDEX('Valo FX'!$Q:$Q,MATCH($A6,'Valo FX'!$A:$A,0)),0,IF(IR$1&lt;INDEX('Valo FX'!$R:$R,MATCH($A6,'Valo FX'!$A:$A,0)),INDEX(Base!$U:$U,MATCH($A6,Base!$A:$A,0)),IF(IR$1=INDEX('Valo FX'!$R:$R,MATCH($A6,'Valo FX'!$A:$A,0)),INDEX(Base!$V:$V,MATCH($A6,Base!$A:$A,0)),0)))</f>
        <v>13.571168</v>
      </c>
      <c r="IS6" s="21">
        <f>IF(IS$1&lt;INDEX('Valo FX'!$Q:$Q,MATCH($A6,'Valo FX'!$A:$A,0)),0,IF(IS$1&lt;INDEX('Valo FX'!$R:$R,MATCH($A6,'Valo FX'!$A:$A,0)),INDEX(Base!$U:$U,MATCH($A6,Base!$A:$A,0)),IF(IS$1=INDEX('Valo FX'!$R:$R,MATCH($A6,'Valo FX'!$A:$A,0)),INDEX(Base!$V:$V,MATCH($A6,Base!$A:$A,0)),0)))</f>
        <v>13.571168</v>
      </c>
      <c r="IT6" s="21">
        <f>IF(IT$1&lt;INDEX('Valo FX'!$Q:$Q,MATCH($A6,'Valo FX'!$A:$A,0)),0,IF(IT$1&lt;INDEX('Valo FX'!$R:$R,MATCH($A6,'Valo FX'!$A:$A,0)),INDEX(Base!$U:$U,MATCH($A6,Base!$A:$A,0)),IF(IT$1=INDEX('Valo FX'!$R:$R,MATCH($A6,'Valo FX'!$A:$A,0)),INDEX(Base!$V:$V,MATCH($A6,Base!$A:$A,0)),0)))</f>
        <v>13.571168</v>
      </c>
      <c r="IU6" s="21">
        <f>IF(IU$1&lt;INDEX('Valo FX'!$Q:$Q,MATCH($A6,'Valo FX'!$A:$A,0)),0,IF(IU$1&lt;INDEX('Valo FX'!$R:$R,MATCH($A6,'Valo FX'!$A:$A,0)),INDEX(Base!$U:$U,MATCH($A6,Base!$A:$A,0)),IF(IU$1=INDEX('Valo FX'!$R:$R,MATCH($A6,'Valo FX'!$A:$A,0)),INDEX(Base!$V:$V,MATCH($A6,Base!$A:$A,0)),0)))</f>
        <v>13.571168</v>
      </c>
      <c r="IV6" s="21">
        <f>IF(IV$1&lt;INDEX('Valo FX'!$Q:$Q,MATCH($A6,'Valo FX'!$A:$A,0)),0,IF(IV$1&lt;INDEX('Valo FX'!$R:$R,MATCH($A6,'Valo FX'!$A:$A,0)),INDEX(Base!$U:$U,MATCH($A6,Base!$A:$A,0)),IF(IV$1=INDEX('Valo FX'!$R:$R,MATCH($A6,'Valo FX'!$A:$A,0)),INDEX(Base!$V:$V,MATCH($A6,Base!$A:$A,0)),0)))</f>
        <v>13.571168</v>
      </c>
      <c r="IW6" s="21">
        <f>IF(IW$1&lt;INDEX('Valo FX'!$Q:$Q,MATCH($A6,'Valo FX'!$A:$A,0)),0,IF(IW$1&lt;INDEX('Valo FX'!$R:$R,MATCH($A6,'Valo FX'!$A:$A,0)),INDEX(Base!$U:$U,MATCH($A6,Base!$A:$A,0)),IF(IW$1=INDEX('Valo FX'!$R:$R,MATCH($A6,'Valo FX'!$A:$A,0)),INDEX(Base!$V:$V,MATCH($A6,Base!$A:$A,0)),0)))</f>
        <v>13.571168</v>
      </c>
      <c r="IX6" s="21">
        <f>IF(IX$1&lt;INDEX('Valo FX'!$Q:$Q,MATCH($A6,'Valo FX'!$A:$A,0)),0,IF(IX$1&lt;INDEX('Valo FX'!$R:$R,MATCH($A6,'Valo FX'!$A:$A,0)),INDEX(Base!$U:$U,MATCH($A6,Base!$A:$A,0)),IF(IX$1=INDEX('Valo FX'!$R:$R,MATCH($A6,'Valo FX'!$A:$A,0)),INDEX(Base!$V:$V,MATCH($A6,Base!$A:$A,0)),0)))</f>
        <v>13.571168</v>
      </c>
      <c r="IY6" s="21">
        <f>IF(IY$1&lt;INDEX('Valo FX'!$Q:$Q,MATCH($A6,'Valo FX'!$A:$A,0)),0,IF(IY$1&lt;INDEX('Valo FX'!$R:$R,MATCH($A6,'Valo FX'!$A:$A,0)),INDEX(Base!$U:$U,MATCH($A6,Base!$A:$A,0)),IF(IY$1=INDEX('Valo FX'!$R:$R,MATCH($A6,'Valo FX'!$A:$A,0)),INDEX(Base!$V:$V,MATCH($A6,Base!$A:$A,0)),0)))</f>
        <v>13.571168</v>
      </c>
      <c r="IZ6" s="21">
        <f>IF(IZ$1&lt;INDEX('Valo FX'!$Q:$Q,MATCH($A6,'Valo FX'!$A:$A,0)),0,IF(IZ$1&lt;INDEX('Valo FX'!$R:$R,MATCH($A6,'Valo FX'!$A:$A,0)),INDEX(Base!$U:$U,MATCH($A6,Base!$A:$A,0)),IF(IZ$1=INDEX('Valo FX'!$R:$R,MATCH($A6,'Valo FX'!$A:$A,0)),INDEX(Base!$V:$V,MATCH($A6,Base!$A:$A,0)),0)))</f>
        <v>13.571168</v>
      </c>
      <c r="JA6" s="21">
        <f>IF(JA$1&lt;INDEX('Valo FX'!$Q:$Q,MATCH($A6,'Valo FX'!$A:$A,0)),0,IF(JA$1&lt;INDEX('Valo FX'!$R:$R,MATCH($A6,'Valo FX'!$A:$A,0)),INDEX(Base!$U:$U,MATCH($A6,Base!$A:$A,0)),IF(JA$1=INDEX('Valo FX'!$R:$R,MATCH($A6,'Valo FX'!$A:$A,0)),INDEX(Base!$V:$V,MATCH($A6,Base!$A:$A,0)),0)))</f>
        <v>13.571168</v>
      </c>
      <c r="JB6" s="21">
        <f>IF(JB$1&lt;INDEX('Valo FX'!$Q:$Q,MATCH($A6,'Valo FX'!$A:$A,0)),0,IF(JB$1&lt;INDEX('Valo FX'!$R:$R,MATCH($A6,'Valo FX'!$A:$A,0)),INDEX(Base!$U:$U,MATCH($A6,Base!$A:$A,0)),IF(JB$1=INDEX('Valo FX'!$R:$R,MATCH($A6,'Valo FX'!$A:$A,0)),INDEX(Base!$V:$V,MATCH($A6,Base!$A:$A,0)),0)))</f>
        <v>13.571168</v>
      </c>
      <c r="JC6" s="21">
        <f>IF(JC$1&lt;INDEX('Valo FX'!$Q:$Q,MATCH($A6,'Valo FX'!$A:$A,0)),0,IF(JC$1&lt;INDEX('Valo FX'!$R:$R,MATCH($A6,'Valo FX'!$A:$A,0)),INDEX(Base!$U:$U,MATCH($A6,Base!$A:$A,0)),IF(JC$1=INDEX('Valo FX'!$R:$R,MATCH($A6,'Valo FX'!$A:$A,0)),INDEX(Base!$V:$V,MATCH($A6,Base!$A:$A,0)),0)))</f>
        <v>13.571168</v>
      </c>
      <c r="JD6" s="21">
        <f>IF(JD$1&lt;INDEX('Valo FX'!$Q:$Q,MATCH($A6,'Valo FX'!$A:$A,0)),0,IF(JD$1&lt;INDEX('Valo FX'!$R:$R,MATCH($A6,'Valo FX'!$A:$A,0)),INDEX(Base!$U:$U,MATCH($A6,Base!$A:$A,0)),IF(JD$1=INDEX('Valo FX'!$R:$R,MATCH($A6,'Valo FX'!$A:$A,0)),INDEX(Base!$V:$V,MATCH($A6,Base!$A:$A,0)),0)))</f>
        <v>13.571168</v>
      </c>
      <c r="JE6" s="21">
        <f>IF(JE$1&lt;INDEX('Valo FX'!$Q:$Q,MATCH($A6,'Valo FX'!$A:$A,0)),0,IF(JE$1&lt;INDEX('Valo FX'!$R:$R,MATCH($A6,'Valo FX'!$A:$A,0)),INDEX(Base!$U:$U,MATCH($A6,Base!$A:$A,0)),IF(JE$1=INDEX('Valo FX'!$R:$R,MATCH($A6,'Valo FX'!$A:$A,0)),INDEX(Base!$V:$V,MATCH($A6,Base!$A:$A,0)),0)))</f>
        <v>13.571168</v>
      </c>
      <c r="JF6" s="21">
        <f>IF(JF$1&lt;INDEX('Valo FX'!$Q:$Q,MATCH($A6,'Valo FX'!$A:$A,0)),0,IF(JF$1&lt;INDEX('Valo FX'!$R:$R,MATCH($A6,'Valo FX'!$A:$A,0)),INDEX(Base!$U:$U,MATCH($A6,Base!$A:$A,0)),IF(JF$1=INDEX('Valo FX'!$R:$R,MATCH($A6,'Valo FX'!$A:$A,0)),INDEX(Base!$V:$V,MATCH($A6,Base!$A:$A,0)),0)))</f>
        <v>13.571168</v>
      </c>
      <c r="JG6" s="21">
        <f>IF(JG$1&lt;INDEX('Valo FX'!$Q:$Q,MATCH($A6,'Valo FX'!$A:$A,0)),0,IF(JG$1&lt;INDEX('Valo FX'!$R:$R,MATCH($A6,'Valo FX'!$A:$A,0)),INDEX(Base!$U:$U,MATCH($A6,Base!$A:$A,0)),IF(JG$1=INDEX('Valo FX'!$R:$R,MATCH($A6,'Valo FX'!$A:$A,0)),INDEX(Base!$V:$V,MATCH($A6,Base!$A:$A,0)),0)))</f>
        <v>13.454412</v>
      </c>
      <c r="JH6" s="21">
        <f>IF(JH$1&lt;INDEX('Valo FX'!$Q:$Q,MATCH($A6,'Valo FX'!$A:$A,0)),0,IF(JH$1&lt;INDEX('Valo FX'!$R:$R,MATCH($A6,'Valo FX'!$A:$A,0)),INDEX(Base!$U:$U,MATCH($A6,Base!$A:$A,0)),IF(JH$1=INDEX('Valo FX'!$R:$R,MATCH($A6,'Valo FX'!$A:$A,0)),INDEX(Base!$V:$V,MATCH($A6,Base!$A:$A,0)),0)))</f>
        <v>0</v>
      </c>
      <c r="JI6" s="21">
        <f>IF(JI$1&lt;INDEX('Valo FX'!$Q:$Q,MATCH($A6,'Valo FX'!$A:$A,0)),0,IF(JI$1&lt;INDEX('Valo FX'!$R:$R,MATCH($A6,'Valo FX'!$A:$A,0)),INDEX(Base!$U:$U,MATCH($A6,Base!$A:$A,0)),IF(JI$1=INDEX('Valo FX'!$R:$R,MATCH($A6,'Valo FX'!$A:$A,0)),INDEX(Base!$V:$V,MATCH($A6,Base!$A:$A,0)),0)))</f>
        <v>0</v>
      </c>
      <c r="JJ6" s="21">
        <f>IF(JJ$1&lt;INDEX('Valo FX'!$Q:$Q,MATCH($A6,'Valo FX'!$A:$A,0)),0,IF(JJ$1&lt;INDEX('Valo FX'!$R:$R,MATCH($A6,'Valo FX'!$A:$A,0)),INDEX(Base!$U:$U,MATCH($A6,Base!$A:$A,0)),IF(JJ$1=INDEX('Valo FX'!$R:$R,MATCH($A6,'Valo FX'!$A:$A,0)),INDEX(Base!$V:$V,MATCH($A6,Base!$A:$A,0)),0)))</f>
        <v>0</v>
      </c>
      <c r="JK6" s="21">
        <f>IF(JK$1&lt;INDEX('Valo FX'!$Q:$Q,MATCH($A6,'Valo FX'!$A:$A,0)),0,IF(JK$1&lt;INDEX('Valo FX'!$R:$R,MATCH($A6,'Valo FX'!$A:$A,0)),INDEX(Base!$U:$U,MATCH($A6,Base!$A:$A,0)),IF(JK$1=INDEX('Valo FX'!$R:$R,MATCH($A6,'Valo FX'!$A:$A,0)),INDEX(Base!$V:$V,MATCH($A6,Base!$A:$A,0)),0)))</f>
        <v>0</v>
      </c>
      <c r="JL6" s="21">
        <f>IF(JL$1&lt;INDEX('Valo FX'!$Q:$Q,MATCH($A6,'Valo FX'!$A:$A,0)),0,IF(JL$1&lt;INDEX('Valo FX'!$R:$R,MATCH($A6,'Valo FX'!$A:$A,0)),INDEX(Base!$U:$U,MATCH($A6,Base!$A:$A,0)),IF(JL$1=INDEX('Valo FX'!$R:$R,MATCH($A6,'Valo FX'!$A:$A,0)),INDEX(Base!$V:$V,MATCH($A6,Base!$A:$A,0)),0)))</f>
        <v>0</v>
      </c>
      <c r="JM6" s="21">
        <f>IF(JM$1&lt;INDEX('Valo FX'!$Q:$Q,MATCH($A6,'Valo FX'!$A:$A,0)),0,IF(JM$1&lt;INDEX('Valo FX'!$R:$R,MATCH($A6,'Valo FX'!$A:$A,0)),INDEX(Base!$U:$U,MATCH($A6,Base!$A:$A,0)),IF(JM$1=INDEX('Valo FX'!$R:$R,MATCH($A6,'Valo FX'!$A:$A,0)),INDEX(Base!$V:$V,MATCH($A6,Base!$A:$A,0)),0)))</f>
        <v>0</v>
      </c>
      <c r="JN6" s="21">
        <f>IF(JN$1&lt;INDEX('Valo FX'!$Q:$Q,MATCH($A6,'Valo FX'!$A:$A,0)),0,IF(JN$1&lt;INDEX('Valo FX'!$R:$R,MATCH($A6,'Valo FX'!$A:$A,0)),INDEX(Base!$U:$U,MATCH($A6,Base!$A:$A,0)),IF(JN$1=INDEX('Valo FX'!$R:$R,MATCH($A6,'Valo FX'!$A:$A,0)),INDEX(Base!$V:$V,MATCH($A6,Base!$A:$A,0)),0)))</f>
        <v>0</v>
      </c>
      <c r="JO6" s="21">
        <f>IF(JO$1&lt;INDEX('Valo FX'!$Q:$Q,MATCH($A6,'Valo FX'!$A:$A,0)),0,IF(JO$1&lt;INDEX('Valo FX'!$R:$R,MATCH($A6,'Valo FX'!$A:$A,0)),INDEX(Base!$U:$U,MATCH($A6,Base!$A:$A,0)),IF(JO$1=INDEX('Valo FX'!$R:$R,MATCH($A6,'Valo FX'!$A:$A,0)),INDEX(Base!$V:$V,MATCH($A6,Base!$A:$A,0)),0)))</f>
        <v>0</v>
      </c>
      <c r="JP6" s="21">
        <f>IF(JP$1&lt;INDEX('Valo FX'!$Q:$Q,MATCH($A6,'Valo FX'!$A:$A,0)),0,IF(JP$1&lt;INDEX('Valo FX'!$R:$R,MATCH($A6,'Valo FX'!$A:$A,0)),INDEX(Base!$U:$U,MATCH($A6,Base!$A:$A,0)),IF(JP$1=INDEX('Valo FX'!$R:$R,MATCH($A6,'Valo FX'!$A:$A,0)),INDEX(Base!$V:$V,MATCH($A6,Base!$A:$A,0)),0)))</f>
        <v>0</v>
      </c>
      <c r="JQ6" s="21">
        <f>IF(JQ$1&lt;INDEX('Valo FX'!$Q:$Q,MATCH($A6,'Valo FX'!$A:$A,0)),0,IF(JQ$1&lt;INDEX('Valo FX'!$R:$R,MATCH($A6,'Valo FX'!$A:$A,0)),INDEX(Base!$U:$U,MATCH($A6,Base!$A:$A,0)),IF(JQ$1=INDEX('Valo FX'!$R:$R,MATCH($A6,'Valo FX'!$A:$A,0)),INDEX(Base!$V:$V,MATCH($A6,Base!$A:$A,0)),0)))</f>
        <v>0</v>
      </c>
      <c r="JR6" s="21">
        <f>IF(JR$1&lt;INDEX('Valo FX'!$Q:$Q,MATCH($A6,'Valo FX'!$A:$A,0)),0,IF(JR$1&lt;INDEX('Valo FX'!$R:$R,MATCH($A6,'Valo FX'!$A:$A,0)),INDEX(Base!$U:$U,MATCH($A6,Base!$A:$A,0)),IF(JR$1=INDEX('Valo FX'!$R:$R,MATCH($A6,'Valo FX'!$A:$A,0)),INDEX(Base!$V:$V,MATCH($A6,Base!$A:$A,0)),0)))</f>
        <v>0</v>
      </c>
      <c r="JS6" s="21">
        <f>IF(JS$1&lt;INDEX('Valo FX'!$Q:$Q,MATCH($A6,'Valo FX'!$A:$A,0)),0,IF(JS$1&lt;INDEX('Valo FX'!$R:$R,MATCH($A6,'Valo FX'!$A:$A,0)),INDEX(Base!$U:$U,MATCH($A6,Base!$A:$A,0)),IF(JS$1=INDEX('Valo FX'!$R:$R,MATCH($A6,'Valo FX'!$A:$A,0)),INDEX(Base!$V:$V,MATCH($A6,Base!$A:$A,0)),0)))</f>
        <v>0</v>
      </c>
      <c r="JT6" s="21">
        <f>IF(JT$1&lt;INDEX('Valo FX'!$Q:$Q,MATCH($A6,'Valo FX'!$A:$A,0)),0,IF(JT$1&lt;INDEX('Valo FX'!$R:$R,MATCH($A6,'Valo FX'!$A:$A,0)),INDEX(Base!$U:$U,MATCH($A6,Base!$A:$A,0)),IF(JT$1=INDEX('Valo FX'!$R:$R,MATCH($A6,'Valo FX'!$A:$A,0)),INDEX(Base!$V:$V,MATCH($A6,Base!$A:$A,0)),0)))</f>
        <v>0</v>
      </c>
      <c r="JU6" s="21">
        <f>IF(JU$1&lt;INDEX('Valo FX'!$Q:$Q,MATCH($A6,'Valo FX'!$A:$A,0)),0,IF(JU$1&lt;INDEX('Valo FX'!$R:$R,MATCH($A6,'Valo FX'!$A:$A,0)),INDEX(Base!$U:$U,MATCH($A6,Base!$A:$A,0)),IF(JU$1=INDEX('Valo FX'!$R:$R,MATCH($A6,'Valo FX'!$A:$A,0)),INDEX(Base!$V:$V,MATCH($A6,Base!$A:$A,0)),0)))</f>
        <v>0</v>
      </c>
      <c r="JV6" s="21">
        <f>IF(JV$1&lt;INDEX('Valo FX'!$Q:$Q,MATCH($A6,'Valo FX'!$A:$A,0)),0,IF(JV$1&lt;INDEX('Valo FX'!$R:$R,MATCH($A6,'Valo FX'!$A:$A,0)),INDEX(Base!$U:$U,MATCH($A6,Base!$A:$A,0)),IF(JV$1=INDEX('Valo FX'!$R:$R,MATCH($A6,'Valo FX'!$A:$A,0)),INDEX(Base!$V:$V,MATCH($A6,Base!$A:$A,0)),0)))</f>
        <v>0</v>
      </c>
      <c r="JW6" s="21">
        <f>IF(JW$1&lt;INDEX('Valo FX'!$Q:$Q,MATCH($A6,'Valo FX'!$A:$A,0)),0,IF(JW$1&lt;INDEX('Valo FX'!$R:$R,MATCH($A6,'Valo FX'!$A:$A,0)),INDEX(Base!$U:$U,MATCH($A6,Base!$A:$A,0)),IF(JW$1=INDEX('Valo FX'!$R:$R,MATCH($A6,'Valo FX'!$A:$A,0)),INDEX(Base!$V:$V,MATCH($A6,Base!$A:$A,0)),0)))</f>
        <v>0</v>
      </c>
      <c r="JX6" s="21">
        <f>IF(JX$1&lt;INDEX('Valo FX'!$Q:$Q,MATCH($A6,'Valo FX'!$A:$A,0)),0,IF(JX$1&lt;INDEX('Valo FX'!$R:$R,MATCH($A6,'Valo FX'!$A:$A,0)),INDEX(Base!$U:$U,MATCH($A6,Base!$A:$A,0)),IF(JX$1=INDEX('Valo FX'!$R:$R,MATCH($A6,'Valo FX'!$A:$A,0)),INDEX(Base!$V:$V,MATCH($A6,Base!$A:$A,0)),0)))</f>
        <v>0</v>
      </c>
      <c r="JY6" s="21">
        <f>IF(JY$1&lt;INDEX('Valo FX'!$Q:$Q,MATCH($A6,'Valo FX'!$A:$A,0)),0,IF(JY$1&lt;INDEX('Valo FX'!$R:$R,MATCH($A6,'Valo FX'!$A:$A,0)),INDEX(Base!$U:$U,MATCH($A6,Base!$A:$A,0)),IF(JY$1=INDEX('Valo FX'!$R:$R,MATCH($A6,'Valo FX'!$A:$A,0)),INDEX(Base!$V:$V,MATCH($A6,Base!$A:$A,0)),0)))</f>
        <v>0</v>
      </c>
      <c r="JZ6" s="21">
        <f>IF(JZ$1&lt;INDEX('Valo FX'!$Q:$Q,MATCH($A6,'Valo FX'!$A:$A,0)),0,IF(JZ$1&lt;INDEX('Valo FX'!$R:$R,MATCH($A6,'Valo FX'!$A:$A,0)),INDEX(Base!$U:$U,MATCH($A6,Base!$A:$A,0)),IF(JZ$1=INDEX('Valo FX'!$R:$R,MATCH($A6,'Valo FX'!$A:$A,0)),INDEX(Base!$V:$V,MATCH($A6,Base!$A:$A,0)),0)))</f>
        <v>0</v>
      </c>
      <c r="KA6" s="21">
        <f>IF(KA$1&lt;INDEX('Valo FX'!$Q:$Q,MATCH($A6,'Valo FX'!$A:$A,0)),0,IF(KA$1&lt;INDEX('Valo FX'!$R:$R,MATCH($A6,'Valo FX'!$A:$A,0)),INDEX(Base!$U:$U,MATCH($A6,Base!$A:$A,0)),IF(KA$1=INDEX('Valo FX'!$R:$R,MATCH($A6,'Valo FX'!$A:$A,0)),INDEX(Base!$V:$V,MATCH($A6,Base!$A:$A,0)),0)))</f>
        <v>0</v>
      </c>
      <c r="KB6" s="21">
        <f>IF(KB$1&lt;INDEX('Valo FX'!$Q:$Q,MATCH($A6,'Valo FX'!$A:$A,0)),0,IF(KB$1&lt;INDEX('Valo FX'!$R:$R,MATCH($A6,'Valo FX'!$A:$A,0)),INDEX(Base!$U:$U,MATCH($A6,Base!$A:$A,0)),IF(KB$1=INDEX('Valo FX'!$R:$R,MATCH($A6,'Valo FX'!$A:$A,0)),INDEX(Base!$V:$V,MATCH($A6,Base!$A:$A,0)),0)))</f>
        <v>0</v>
      </c>
      <c r="KC6" s="21">
        <f>IF(KC$1&lt;INDEX('Valo FX'!$Q:$Q,MATCH($A6,'Valo FX'!$A:$A,0)),0,IF(KC$1&lt;INDEX('Valo FX'!$R:$R,MATCH($A6,'Valo FX'!$A:$A,0)),INDEX(Base!$U:$U,MATCH($A6,Base!$A:$A,0)),IF(KC$1=INDEX('Valo FX'!$R:$R,MATCH($A6,'Valo FX'!$A:$A,0)),INDEX(Base!$V:$V,MATCH($A6,Base!$A:$A,0)),0)))</f>
        <v>0</v>
      </c>
      <c r="KD6" s="21">
        <f>IF(KD$1&lt;INDEX('Valo FX'!$Q:$Q,MATCH($A6,'Valo FX'!$A:$A,0)),0,IF(KD$1&lt;INDEX('Valo FX'!$R:$R,MATCH($A6,'Valo FX'!$A:$A,0)),INDEX(Base!$U:$U,MATCH($A6,Base!$A:$A,0)),IF(KD$1=INDEX('Valo FX'!$R:$R,MATCH($A6,'Valo FX'!$A:$A,0)),INDEX(Base!$V:$V,MATCH($A6,Base!$A:$A,0)),0)))</f>
        <v>0</v>
      </c>
      <c r="KE6" s="21">
        <f>IF(KE$1&lt;INDEX('Valo FX'!$Q:$Q,MATCH($A6,'Valo FX'!$A:$A,0)),0,IF(KE$1&lt;INDEX('Valo FX'!$R:$R,MATCH($A6,'Valo FX'!$A:$A,0)),INDEX(Base!$U:$U,MATCH($A6,Base!$A:$A,0)),IF(KE$1=INDEX('Valo FX'!$R:$R,MATCH($A6,'Valo FX'!$A:$A,0)),INDEX(Base!$V:$V,MATCH($A6,Base!$A:$A,0)),0)))</f>
        <v>0</v>
      </c>
      <c r="KF6" s="21">
        <f>IF(KF$1&lt;INDEX('Valo FX'!$Q:$Q,MATCH($A6,'Valo FX'!$A:$A,0)),0,IF(KF$1&lt;INDEX('Valo FX'!$R:$R,MATCH($A6,'Valo FX'!$A:$A,0)),INDEX(Base!$U:$U,MATCH($A6,Base!$A:$A,0)),IF(KF$1=INDEX('Valo FX'!$R:$R,MATCH($A6,'Valo FX'!$A:$A,0)),INDEX(Base!$V:$V,MATCH($A6,Base!$A:$A,0)),0)))</f>
        <v>0</v>
      </c>
      <c r="KG6" s="21">
        <f>IF(KG$1&lt;INDEX('Valo FX'!$Q:$Q,MATCH($A6,'Valo FX'!$A:$A,0)),0,IF(KG$1&lt;INDEX('Valo FX'!$R:$R,MATCH($A6,'Valo FX'!$A:$A,0)),INDEX(Base!$U:$U,MATCH($A6,Base!$A:$A,0)),IF(KG$1=INDEX('Valo FX'!$R:$R,MATCH($A6,'Valo FX'!$A:$A,0)),INDEX(Base!$V:$V,MATCH($A6,Base!$A:$A,0)),0)))</f>
        <v>0</v>
      </c>
      <c r="KH6" s="21">
        <f>IF(KH$1&lt;INDEX('Valo FX'!$Q:$Q,MATCH($A6,'Valo FX'!$A:$A,0)),0,IF(KH$1&lt;INDEX('Valo FX'!$R:$R,MATCH($A6,'Valo FX'!$A:$A,0)),INDEX(Base!$U:$U,MATCH($A6,Base!$A:$A,0)),IF(KH$1=INDEX('Valo FX'!$R:$R,MATCH($A6,'Valo FX'!$A:$A,0)),INDEX(Base!$V:$V,MATCH($A6,Base!$A:$A,0)),0)))</f>
        <v>0</v>
      </c>
      <c r="KI6" s="21">
        <f>IF(KI$1&lt;INDEX('Valo FX'!$Q:$Q,MATCH($A6,'Valo FX'!$A:$A,0)),0,IF(KI$1&lt;INDEX('Valo FX'!$R:$R,MATCH($A6,'Valo FX'!$A:$A,0)),INDEX(Base!$U:$U,MATCH($A6,Base!$A:$A,0)),IF(KI$1=INDEX('Valo FX'!$R:$R,MATCH($A6,'Valo FX'!$A:$A,0)),INDEX(Base!$V:$V,MATCH($A6,Base!$A:$A,0)),0)))</f>
        <v>0</v>
      </c>
      <c r="KJ6" s="21">
        <f>IF(KJ$1&lt;INDEX('Valo FX'!$Q:$Q,MATCH($A6,'Valo FX'!$A:$A,0)),0,IF(KJ$1&lt;INDEX('Valo FX'!$R:$R,MATCH($A6,'Valo FX'!$A:$A,0)),INDEX(Base!$U:$U,MATCH($A6,Base!$A:$A,0)),IF(KJ$1=INDEX('Valo FX'!$R:$R,MATCH($A6,'Valo FX'!$A:$A,0)),INDEX(Base!$V:$V,MATCH($A6,Base!$A:$A,0)),0)))</f>
        <v>0</v>
      </c>
      <c r="KK6" s="21">
        <f>IF(KK$1&lt;INDEX('Valo FX'!$Q:$Q,MATCH($A6,'Valo FX'!$A:$A,0)),0,IF(KK$1&lt;INDEX('Valo FX'!$R:$R,MATCH($A6,'Valo FX'!$A:$A,0)),INDEX(Base!$U:$U,MATCH($A6,Base!$A:$A,0)),IF(KK$1=INDEX('Valo FX'!$R:$R,MATCH($A6,'Valo FX'!$A:$A,0)),INDEX(Base!$V:$V,MATCH($A6,Base!$A:$A,0)),0)))</f>
        <v>0</v>
      </c>
      <c r="KL6" s="21">
        <f>IF(KL$1&lt;INDEX('Valo FX'!$Q:$Q,MATCH($A6,'Valo FX'!$A:$A,0)),0,IF(KL$1&lt;INDEX('Valo FX'!$R:$R,MATCH($A6,'Valo FX'!$A:$A,0)),INDEX(Base!$U:$U,MATCH($A6,Base!$A:$A,0)),IF(KL$1=INDEX('Valo FX'!$R:$R,MATCH($A6,'Valo FX'!$A:$A,0)),INDEX(Base!$V:$V,MATCH($A6,Base!$A:$A,0)),0)))</f>
        <v>0</v>
      </c>
      <c r="KM6" s="21">
        <f>IF(KM$1&lt;INDEX('Valo FX'!$Q:$Q,MATCH($A6,'Valo FX'!$A:$A,0)),0,IF(KM$1&lt;INDEX('Valo FX'!$R:$R,MATCH($A6,'Valo FX'!$A:$A,0)),INDEX(Base!$U:$U,MATCH($A6,Base!$A:$A,0)),IF(KM$1=INDEX('Valo FX'!$R:$R,MATCH($A6,'Valo FX'!$A:$A,0)),INDEX(Base!$V:$V,MATCH($A6,Base!$A:$A,0)),0)))</f>
        <v>0</v>
      </c>
      <c r="KN6" s="21">
        <f>IF(KN$1&lt;INDEX('Valo FX'!$Q:$Q,MATCH($A6,'Valo FX'!$A:$A,0)),0,IF(KN$1&lt;INDEX('Valo FX'!$R:$R,MATCH($A6,'Valo FX'!$A:$A,0)),INDEX(Base!$U:$U,MATCH($A6,Base!$A:$A,0)),IF(KN$1=INDEX('Valo FX'!$R:$R,MATCH($A6,'Valo FX'!$A:$A,0)),INDEX(Base!$V:$V,MATCH($A6,Base!$A:$A,0)),0)))</f>
        <v>0</v>
      </c>
      <c r="KO6" s="21">
        <f>IF(KO$1&lt;INDEX('Valo FX'!$Q:$Q,MATCH($A6,'Valo FX'!$A:$A,0)),0,IF(KO$1&lt;INDEX('Valo FX'!$R:$R,MATCH($A6,'Valo FX'!$A:$A,0)),INDEX(Base!$U:$U,MATCH($A6,Base!$A:$A,0)),IF(KO$1=INDEX('Valo FX'!$R:$R,MATCH($A6,'Valo FX'!$A:$A,0)),INDEX(Base!$V:$V,MATCH($A6,Base!$A:$A,0)),0)))</f>
        <v>0</v>
      </c>
      <c r="KP6" s="21">
        <f>IF(KP$1&lt;INDEX('Valo FX'!$Q:$Q,MATCH($A6,'Valo FX'!$A:$A,0)),0,IF(KP$1&lt;INDEX('Valo FX'!$R:$R,MATCH($A6,'Valo FX'!$A:$A,0)),INDEX(Base!$U:$U,MATCH($A6,Base!$A:$A,0)),IF(KP$1=INDEX('Valo FX'!$R:$R,MATCH($A6,'Valo FX'!$A:$A,0)),INDEX(Base!$V:$V,MATCH($A6,Base!$A:$A,0)),0)))</f>
        <v>0</v>
      </c>
      <c r="KQ6" s="21">
        <f>IF(KQ$1&lt;INDEX('Valo FX'!$Q:$Q,MATCH($A6,'Valo FX'!$A:$A,0)),0,IF(KQ$1&lt;INDEX('Valo FX'!$R:$R,MATCH($A6,'Valo FX'!$A:$A,0)),INDEX(Base!$U:$U,MATCH($A6,Base!$A:$A,0)),IF(KQ$1=INDEX('Valo FX'!$R:$R,MATCH($A6,'Valo FX'!$A:$A,0)),INDEX(Base!$V:$V,MATCH($A6,Base!$A:$A,0)),0)))</f>
        <v>0</v>
      </c>
      <c r="KR6" s="21">
        <f>IF(KR$1&lt;INDEX('Valo FX'!$Q:$Q,MATCH($A6,'Valo FX'!$A:$A,0)),0,IF(KR$1&lt;INDEX('Valo FX'!$R:$R,MATCH($A6,'Valo FX'!$A:$A,0)),INDEX(Base!$U:$U,MATCH($A6,Base!$A:$A,0)),IF(KR$1=INDEX('Valo FX'!$R:$R,MATCH($A6,'Valo FX'!$A:$A,0)),INDEX(Base!$V:$V,MATCH($A6,Base!$A:$A,0)),0)))</f>
        <v>0</v>
      </c>
      <c r="KS6" s="21">
        <f>IF(KS$1&lt;INDEX('Valo FX'!$Q:$Q,MATCH($A6,'Valo FX'!$A:$A,0)),0,IF(KS$1&lt;INDEX('Valo FX'!$R:$R,MATCH($A6,'Valo FX'!$A:$A,0)),INDEX(Base!$U:$U,MATCH($A6,Base!$A:$A,0)),IF(KS$1=INDEX('Valo FX'!$R:$R,MATCH($A6,'Valo FX'!$A:$A,0)),INDEX(Base!$V:$V,MATCH($A6,Base!$A:$A,0)),0)))</f>
        <v>0</v>
      </c>
      <c r="KT6" s="21">
        <f>IF(KT$1&lt;INDEX('Valo FX'!$Q:$Q,MATCH($A6,'Valo FX'!$A:$A,0)),0,IF(KT$1&lt;INDEX('Valo FX'!$R:$R,MATCH($A6,'Valo FX'!$A:$A,0)),INDEX(Base!$U:$U,MATCH($A6,Base!$A:$A,0)),IF(KT$1=INDEX('Valo FX'!$R:$R,MATCH($A6,'Valo FX'!$A:$A,0)),INDEX(Base!$V:$V,MATCH($A6,Base!$A:$A,0)),0)))</f>
        <v>0</v>
      </c>
      <c r="KU6" s="21">
        <f>IF(KU$1&lt;INDEX('Valo FX'!$Q:$Q,MATCH($A6,'Valo FX'!$A:$A,0)),0,IF(KU$1&lt;INDEX('Valo FX'!$R:$R,MATCH($A6,'Valo FX'!$A:$A,0)),INDEX(Base!$U:$U,MATCH($A6,Base!$A:$A,0)),IF(KU$1=INDEX('Valo FX'!$R:$R,MATCH($A6,'Valo FX'!$A:$A,0)),INDEX(Base!$V:$V,MATCH($A6,Base!$A:$A,0)),0)))</f>
        <v>0</v>
      </c>
      <c r="KV6" s="21">
        <f>IF(KV$1&lt;INDEX('Valo FX'!$Q:$Q,MATCH($A6,'Valo FX'!$A:$A,0)),0,IF(KV$1&lt;INDEX('Valo FX'!$R:$R,MATCH($A6,'Valo FX'!$A:$A,0)),INDEX(Base!$U:$U,MATCH($A6,Base!$A:$A,0)),IF(KV$1=INDEX('Valo FX'!$R:$R,MATCH($A6,'Valo FX'!$A:$A,0)),INDEX(Base!$V:$V,MATCH($A6,Base!$A:$A,0)),0)))</f>
        <v>0</v>
      </c>
      <c r="KW6" s="21">
        <f>IF(KW$1&lt;INDEX('Valo FX'!$Q:$Q,MATCH($A6,'Valo FX'!$A:$A,0)),0,IF(KW$1&lt;INDEX('Valo FX'!$R:$R,MATCH($A6,'Valo FX'!$A:$A,0)),INDEX(Base!$U:$U,MATCH($A6,Base!$A:$A,0)),IF(KW$1=INDEX('Valo FX'!$R:$R,MATCH($A6,'Valo FX'!$A:$A,0)),INDEX(Base!$V:$V,MATCH($A6,Base!$A:$A,0)),0)))</f>
        <v>0</v>
      </c>
      <c r="KX6" s="21">
        <f>IF(KX$1&lt;INDEX('Valo FX'!$Q:$Q,MATCH($A6,'Valo FX'!$A:$A,0)),0,IF(KX$1&lt;INDEX('Valo FX'!$R:$R,MATCH($A6,'Valo FX'!$A:$A,0)),INDEX(Base!$U:$U,MATCH($A6,Base!$A:$A,0)),IF(KX$1=INDEX('Valo FX'!$R:$R,MATCH($A6,'Valo FX'!$A:$A,0)),INDEX(Base!$V:$V,MATCH($A6,Base!$A:$A,0)),0)))</f>
        <v>0</v>
      </c>
      <c r="KY6" s="21">
        <f>IF(KY$1&lt;INDEX('Valo FX'!$Q:$Q,MATCH($A6,'Valo FX'!$A:$A,0)),0,IF(KY$1&lt;INDEX('Valo FX'!$R:$R,MATCH($A6,'Valo FX'!$A:$A,0)),INDEX(Base!$U:$U,MATCH($A6,Base!$A:$A,0)),IF(KY$1=INDEX('Valo FX'!$R:$R,MATCH($A6,'Valo FX'!$A:$A,0)),INDEX(Base!$V:$V,MATCH($A6,Base!$A:$A,0)),0)))</f>
        <v>0</v>
      </c>
      <c r="KZ6" s="21">
        <f>IF(KZ$1&lt;INDEX('Valo FX'!$Q:$Q,MATCH($A6,'Valo FX'!$A:$A,0)),0,IF(KZ$1&lt;INDEX('Valo FX'!$R:$R,MATCH($A6,'Valo FX'!$A:$A,0)),INDEX(Base!$U:$U,MATCH($A6,Base!$A:$A,0)),IF(KZ$1=INDEX('Valo FX'!$R:$R,MATCH($A6,'Valo FX'!$A:$A,0)),INDEX(Base!$V:$V,MATCH($A6,Base!$A:$A,0)),0)))</f>
        <v>0</v>
      </c>
      <c r="LA6" s="21">
        <f>IF(LA$1&lt;INDEX('Valo FX'!$Q:$Q,MATCH($A6,'Valo FX'!$A:$A,0)),0,IF(LA$1&lt;INDEX('Valo FX'!$R:$R,MATCH($A6,'Valo FX'!$A:$A,0)),INDEX(Base!$U:$U,MATCH($A6,Base!$A:$A,0)),IF(LA$1=INDEX('Valo FX'!$R:$R,MATCH($A6,'Valo FX'!$A:$A,0)),INDEX(Base!$V:$V,MATCH($A6,Base!$A:$A,0)),0)))</f>
        <v>0</v>
      </c>
      <c r="LB6" s="21">
        <f>IF(LB$1&lt;INDEX('Valo FX'!$Q:$Q,MATCH($A6,'Valo FX'!$A:$A,0)),0,IF(LB$1&lt;INDEX('Valo FX'!$R:$R,MATCH($A6,'Valo FX'!$A:$A,0)),INDEX(Base!$U:$U,MATCH($A6,Base!$A:$A,0)),IF(LB$1=INDEX('Valo FX'!$R:$R,MATCH($A6,'Valo FX'!$A:$A,0)),INDEX(Base!$V:$V,MATCH($A6,Base!$A:$A,0)),0)))</f>
        <v>0</v>
      </c>
      <c r="LC6" s="21">
        <f>IF(LC$1&lt;INDEX('Valo FX'!$Q:$Q,MATCH($A6,'Valo FX'!$A:$A,0)),0,IF(LC$1&lt;INDEX('Valo FX'!$R:$R,MATCH($A6,'Valo FX'!$A:$A,0)),INDEX(Base!$U:$U,MATCH($A6,Base!$A:$A,0)),IF(LC$1=INDEX('Valo FX'!$R:$R,MATCH($A6,'Valo FX'!$A:$A,0)),INDEX(Base!$V:$V,MATCH($A6,Base!$A:$A,0)),0)))</f>
        <v>0</v>
      </c>
      <c r="LD6" s="21">
        <f>IF(LD$1&lt;INDEX('Valo FX'!$Q:$Q,MATCH($A6,'Valo FX'!$A:$A,0)),0,IF(LD$1&lt;INDEX('Valo FX'!$R:$R,MATCH($A6,'Valo FX'!$A:$A,0)),INDEX(Base!$U:$U,MATCH($A6,Base!$A:$A,0)),IF(LD$1=INDEX('Valo FX'!$R:$R,MATCH($A6,'Valo FX'!$A:$A,0)),INDEX(Base!$V:$V,MATCH($A6,Base!$A:$A,0)),0)))</f>
        <v>0</v>
      </c>
      <c r="LE6" s="21">
        <f>IF(LE$1&lt;INDEX('Valo FX'!$Q:$Q,MATCH($A6,'Valo FX'!$A:$A,0)),0,IF(LE$1&lt;INDEX('Valo FX'!$R:$R,MATCH($A6,'Valo FX'!$A:$A,0)),INDEX(Base!$U:$U,MATCH($A6,Base!$A:$A,0)),IF(LE$1=INDEX('Valo FX'!$R:$R,MATCH($A6,'Valo FX'!$A:$A,0)),INDEX(Base!$V:$V,MATCH($A6,Base!$A:$A,0)),0)))</f>
        <v>0</v>
      </c>
      <c r="LF6" s="21">
        <f>IF(LF$1&lt;INDEX('Valo FX'!$Q:$Q,MATCH($A6,'Valo FX'!$A:$A,0)),0,IF(LF$1&lt;INDEX('Valo FX'!$R:$R,MATCH($A6,'Valo FX'!$A:$A,0)),INDEX(Base!$U:$U,MATCH($A6,Base!$A:$A,0)),IF(LF$1=INDEX('Valo FX'!$R:$R,MATCH($A6,'Valo FX'!$A:$A,0)),INDEX(Base!$V:$V,MATCH($A6,Base!$A:$A,0)),0)))</f>
        <v>0</v>
      </c>
      <c r="LG6" s="21">
        <f>IF(LG$1&lt;INDEX('Valo FX'!$Q:$Q,MATCH($A6,'Valo FX'!$A:$A,0)),0,IF(LG$1&lt;INDEX('Valo FX'!$R:$R,MATCH($A6,'Valo FX'!$A:$A,0)),INDEX(Base!$U:$U,MATCH($A6,Base!$A:$A,0)),IF(LG$1=INDEX('Valo FX'!$R:$R,MATCH($A6,'Valo FX'!$A:$A,0)),INDEX(Base!$V:$V,MATCH($A6,Base!$A:$A,0)),0)))</f>
        <v>0</v>
      </c>
      <c r="LH6" s="21">
        <f>IF(LH$1&lt;INDEX('Valo FX'!$Q:$Q,MATCH($A6,'Valo FX'!$A:$A,0)),0,IF(LH$1&lt;INDEX('Valo FX'!$R:$R,MATCH($A6,'Valo FX'!$A:$A,0)),INDEX(Base!$U:$U,MATCH($A6,Base!$A:$A,0)),IF(LH$1=INDEX('Valo FX'!$R:$R,MATCH($A6,'Valo FX'!$A:$A,0)),INDEX(Base!$V:$V,MATCH($A6,Base!$A:$A,0)),0)))</f>
        <v>0</v>
      </c>
      <c r="LI6" s="21">
        <f>IF(LI$1&lt;INDEX('Valo FX'!$Q:$Q,MATCH($A6,'Valo FX'!$A:$A,0)),0,IF(LI$1&lt;INDEX('Valo FX'!$R:$R,MATCH($A6,'Valo FX'!$A:$A,0)),INDEX(Base!$U:$U,MATCH($A6,Base!$A:$A,0)),IF(LI$1=INDEX('Valo FX'!$R:$R,MATCH($A6,'Valo FX'!$A:$A,0)),INDEX(Base!$V:$V,MATCH($A6,Base!$A:$A,0)),0)))</f>
        <v>0</v>
      </c>
      <c r="LJ6" s="21">
        <f>IF(LJ$1&lt;INDEX('Valo FX'!$Q:$Q,MATCH($A6,'Valo FX'!$A:$A,0)),0,IF(LJ$1&lt;INDEX('Valo FX'!$R:$R,MATCH($A6,'Valo FX'!$A:$A,0)),INDEX(Base!$U:$U,MATCH($A6,Base!$A:$A,0)),IF(LJ$1=INDEX('Valo FX'!$R:$R,MATCH($A6,'Valo FX'!$A:$A,0)),INDEX(Base!$V:$V,MATCH($A6,Base!$A:$A,0)),0)))</f>
        <v>0</v>
      </c>
      <c r="LK6" s="21">
        <f>IF(LK$1&lt;INDEX('Valo FX'!$Q:$Q,MATCH($A6,'Valo FX'!$A:$A,0)),0,IF(LK$1&lt;INDEX('Valo FX'!$R:$R,MATCH($A6,'Valo FX'!$A:$A,0)),INDEX(Base!$U:$U,MATCH($A6,Base!$A:$A,0)),IF(LK$1=INDEX('Valo FX'!$R:$R,MATCH($A6,'Valo FX'!$A:$A,0)),INDEX(Base!$V:$V,MATCH($A6,Base!$A:$A,0)),0)))</f>
        <v>0</v>
      </c>
      <c r="LL6" s="21">
        <f>IF(LL$1&lt;INDEX('Valo FX'!$Q:$Q,MATCH($A6,'Valo FX'!$A:$A,0)),0,IF(LL$1&lt;INDEX('Valo FX'!$R:$R,MATCH($A6,'Valo FX'!$A:$A,0)),INDEX(Base!$U:$U,MATCH($A6,Base!$A:$A,0)),IF(LL$1=INDEX('Valo FX'!$R:$R,MATCH($A6,'Valo FX'!$A:$A,0)),INDEX(Base!$V:$V,MATCH($A6,Base!$A:$A,0)),0)))</f>
        <v>0</v>
      </c>
      <c r="LM6" s="21">
        <f>IF(LM$1&lt;INDEX('Valo FX'!$Q:$Q,MATCH($A6,'Valo FX'!$A:$A,0)),0,IF(LM$1&lt;INDEX('Valo FX'!$R:$R,MATCH($A6,'Valo FX'!$A:$A,0)),INDEX(Base!$U:$U,MATCH($A6,Base!$A:$A,0)),IF(LM$1=INDEX('Valo FX'!$R:$R,MATCH($A6,'Valo FX'!$A:$A,0)),INDEX(Base!$V:$V,MATCH($A6,Base!$A:$A,0)),0)))</f>
        <v>0</v>
      </c>
      <c r="LN6" s="21">
        <f>IF(LN$1&lt;INDEX('Valo FX'!$Q:$Q,MATCH($A6,'Valo FX'!$A:$A,0)),0,IF(LN$1&lt;INDEX('Valo FX'!$R:$R,MATCH($A6,'Valo FX'!$A:$A,0)),INDEX(Base!$U:$U,MATCH($A6,Base!$A:$A,0)),IF(LN$1=INDEX('Valo FX'!$R:$R,MATCH($A6,'Valo FX'!$A:$A,0)),INDEX(Base!$V:$V,MATCH($A6,Base!$A:$A,0)),0)))</f>
        <v>0</v>
      </c>
      <c r="LO6" s="21">
        <f>IF(LO$1&lt;INDEX('Valo FX'!$Q:$Q,MATCH($A6,'Valo FX'!$A:$A,0)),0,IF(LO$1&lt;INDEX('Valo FX'!$R:$R,MATCH($A6,'Valo FX'!$A:$A,0)),INDEX(Base!$U:$U,MATCH($A6,Base!$A:$A,0)),IF(LO$1=INDEX('Valo FX'!$R:$R,MATCH($A6,'Valo FX'!$A:$A,0)),INDEX(Base!$V:$V,MATCH($A6,Base!$A:$A,0)),0)))</f>
        <v>0</v>
      </c>
      <c r="LP6" s="21">
        <f>IF(LP$1&lt;INDEX('Valo FX'!$Q:$Q,MATCH($A6,'Valo FX'!$A:$A,0)),0,IF(LP$1&lt;INDEX('Valo FX'!$R:$R,MATCH($A6,'Valo FX'!$A:$A,0)),INDEX(Base!$U:$U,MATCH($A6,Base!$A:$A,0)),IF(LP$1=INDEX('Valo FX'!$R:$R,MATCH($A6,'Valo FX'!$A:$A,0)),INDEX(Base!$V:$V,MATCH($A6,Base!$A:$A,0)),0)))</f>
        <v>0</v>
      </c>
      <c r="LQ6" s="21">
        <f>IF(LQ$1&lt;INDEX('Valo FX'!$Q:$Q,MATCH($A6,'Valo FX'!$A:$A,0)),0,IF(LQ$1&lt;INDEX('Valo FX'!$R:$R,MATCH($A6,'Valo FX'!$A:$A,0)),INDEX(Base!$U:$U,MATCH($A6,Base!$A:$A,0)),IF(LQ$1=INDEX('Valo FX'!$R:$R,MATCH($A6,'Valo FX'!$A:$A,0)),INDEX(Base!$V:$V,MATCH($A6,Base!$A:$A,0)),0)))</f>
        <v>0</v>
      </c>
      <c r="LR6" s="21">
        <f>IF(LR$1&lt;INDEX('Valo FX'!$Q:$Q,MATCH($A6,'Valo FX'!$A:$A,0)),0,IF(LR$1&lt;INDEX('Valo FX'!$R:$R,MATCH($A6,'Valo FX'!$A:$A,0)),INDEX(Base!$U:$U,MATCH($A6,Base!$A:$A,0)),IF(LR$1=INDEX('Valo FX'!$R:$R,MATCH($A6,'Valo FX'!$A:$A,0)),INDEX(Base!$V:$V,MATCH($A6,Base!$A:$A,0)),0)))</f>
        <v>0</v>
      </c>
      <c r="LS6" s="21">
        <f>IF(LS$1&lt;INDEX('Valo FX'!$Q:$Q,MATCH($A6,'Valo FX'!$A:$A,0)),0,IF(LS$1&lt;INDEX('Valo FX'!$R:$R,MATCH($A6,'Valo FX'!$A:$A,0)),INDEX(Base!$U:$U,MATCH($A6,Base!$A:$A,0)),IF(LS$1=INDEX('Valo FX'!$R:$R,MATCH($A6,'Valo FX'!$A:$A,0)),INDEX(Base!$V:$V,MATCH($A6,Base!$A:$A,0)),0)))</f>
        <v>0</v>
      </c>
      <c r="LT6" s="21">
        <f>IF(LT$1&lt;INDEX('Valo FX'!$Q:$Q,MATCH($A6,'Valo FX'!$A:$A,0)),0,IF(LT$1&lt;INDEX('Valo FX'!$R:$R,MATCH($A6,'Valo FX'!$A:$A,0)),INDEX(Base!$U:$U,MATCH($A6,Base!$A:$A,0)),IF(LT$1=INDEX('Valo FX'!$R:$R,MATCH($A6,'Valo FX'!$A:$A,0)),INDEX(Base!$V:$V,MATCH($A6,Base!$A:$A,0)),0)))</f>
        <v>0</v>
      </c>
      <c r="LU6" s="21">
        <f>IF(LU$1&lt;INDEX('Valo FX'!$Q:$Q,MATCH($A6,'Valo FX'!$A:$A,0)),0,IF(LU$1&lt;INDEX('Valo FX'!$R:$R,MATCH($A6,'Valo FX'!$A:$A,0)),INDEX(Base!$U:$U,MATCH($A6,Base!$A:$A,0)),IF(LU$1=INDEX('Valo FX'!$R:$R,MATCH($A6,'Valo FX'!$A:$A,0)),INDEX(Base!$V:$V,MATCH($A6,Base!$A:$A,0)),0)))</f>
        <v>0</v>
      </c>
      <c r="LV6" s="21">
        <f>IF(LV$1&lt;INDEX('Valo FX'!$Q:$Q,MATCH($A6,'Valo FX'!$A:$A,0)),0,IF(LV$1&lt;INDEX('Valo FX'!$R:$R,MATCH($A6,'Valo FX'!$A:$A,0)),INDEX(Base!$U:$U,MATCH($A6,Base!$A:$A,0)),IF(LV$1=INDEX('Valo FX'!$R:$R,MATCH($A6,'Valo FX'!$A:$A,0)),INDEX(Base!$V:$V,MATCH($A6,Base!$A:$A,0)),0)))</f>
        <v>0</v>
      </c>
      <c r="LW6" s="21">
        <f>IF(LW$1&lt;INDEX('Valo FX'!$Q:$Q,MATCH($A6,'Valo FX'!$A:$A,0)),0,IF(LW$1&lt;INDEX('Valo FX'!$R:$R,MATCH($A6,'Valo FX'!$A:$A,0)),INDEX(Base!$U:$U,MATCH($A6,Base!$A:$A,0)),IF(LW$1=INDEX('Valo FX'!$R:$R,MATCH($A6,'Valo FX'!$A:$A,0)),INDEX(Base!$V:$V,MATCH($A6,Base!$A:$A,0)),0)))</f>
        <v>0</v>
      </c>
      <c r="LX6" s="21">
        <f>IF(LX$1&lt;INDEX('Valo FX'!$Q:$Q,MATCH($A6,'Valo FX'!$A:$A,0)),0,IF(LX$1&lt;INDEX('Valo FX'!$R:$R,MATCH($A6,'Valo FX'!$A:$A,0)),INDEX(Base!$U:$U,MATCH($A6,Base!$A:$A,0)),IF(LX$1=INDEX('Valo FX'!$R:$R,MATCH($A6,'Valo FX'!$A:$A,0)),INDEX(Base!$V:$V,MATCH($A6,Base!$A:$A,0)),0)))</f>
        <v>0</v>
      </c>
      <c r="LY6" s="21">
        <f>IF(LY$1&lt;INDEX('Valo FX'!$Q:$Q,MATCH($A6,'Valo FX'!$A:$A,0)),0,IF(LY$1&lt;INDEX('Valo FX'!$R:$R,MATCH($A6,'Valo FX'!$A:$A,0)),INDEX(Base!$U:$U,MATCH($A6,Base!$A:$A,0)),IF(LY$1=INDEX('Valo FX'!$R:$R,MATCH($A6,'Valo FX'!$A:$A,0)),INDEX(Base!$V:$V,MATCH($A6,Base!$A:$A,0)),0)))</f>
        <v>0</v>
      </c>
      <c r="LZ6" s="21">
        <f>IF(LZ$1&lt;INDEX('Valo FX'!$Q:$Q,MATCH($A6,'Valo FX'!$A:$A,0)),0,IF(LZ$1&lt;INDEX('Valo FX'!$R:$R,MATCH($A6,'Valo FX'!$A:$A,0)),INDEX(Base!$U:$U,MATCH($A6,Base!$A:$A,0)),IF(LZ$1=INDEX('Valo FX'!$R:$R,MATCH($A6,'Valo FX'!$A:$A,0)),INDEX(Base!$V:$V,MATCH($A6,Base!$A:$A,0)),0)))</f>
        <v>0</v>
      </c>
      <c r="MA6" s="21">
        <f>IF(MA$1&lt;INDEX('Valo FX'!$Q:$Q,MATCH($A6,'Valo FX'!$A:$A,0)),0,IF(MA$1&lt;INDEX('Valo FX'!$R:$R,MATCH($A6,'Valo FX'!$A:$A,0)),INDEX(Base!$U:$U,MATCH($A6,Base!$A:$A,0)),IF(MA$1=INDEX('Valo FX'!$R:$R,MATCH($A6,'Valo FX'!$A:$A,0)),INDEX(Base!$V:$V,MATCH($A6,Base!$A:$A,0)),0)))</f>
        <v>0</v>
      </c>
      <c r="MB6" s="21">
        <f>IF(MB$1&lt;INDEX('Valo FX'!$Q:$Q,MATCH($A6,'Valo FX'!$A:$A,0)),0,IF(MB$1&lt;INDEX('Valo FX'!$R:$R,MATCH($A6,'Valo FX'!$A:$A,0)),INDEX(Base!$U:$U,MATCH($A6,Base!$A:$A,0)),IF(MB$1=INDEX('Valo FX'!$R:$R,MATCH($A6,'Valo FX'!$A:$A,0)),INDEX(Base!$V:$V,MATCH($A6,Base!$A:$A,0)),0)))</f>
        <v>0</v>
      </c>
      <c r="MC6" s="21">
        <f>IF(MC$1&lt;INDEX('Valo FX'!$Q:$Q,MATCH($A6,'Valo FX'!$A:$A,0)),0,IF(MC$1&lt;INDEX('Valo FX'!$R:$R,MATCH($A6,'Valo FX'!$A:$A,0)),INDEX(Base!$U:$U,MATCH($A6,Base!$A:$A,0)),IF(MC$1=INDEX('Valo FX'!$R:$R,MATCH($A6,'Valo FX'!$A:$A,0)),INDEX(Base!$V:$V,MATCH($A6,Base!$A:$A,0)),0)))</f>
        <v>0</v>
      </c>
      <c r="MD6" s="21">
        <f>IF(MD$1&lt;INDEX('Valo FX'!$Q:$Q,MATCH($A6,'Valo FX'!$A:$A,0)),0,IF(MD$1&lt;INDEX('Valo FX'!$R:$R,MATCH($A6,'Valo FX'!$A:$A,0)),INDEX(Base!$U:$U,MATCH($A6,Base!$A:$A,0)),IF(MD$1=INDEX('Valo FX'!$R:$R,MATCH($A6,'Valo FX'!$A:$A,0)),INDEX(Base!$V:$V,MATCH($A6,Base!$A:$A,0)),0)))</f>
        <v>0</v>
      </c>
      <c r="ME6" s="21">
        <f>IF(ME$1&lt;INDEX('Valo FX'!$Q:$Q,MATCH($A6,'Valo FX'!$A:$A,0)),0,IF(ME$1&lt;INDEX('Valo FX'!$R:$R,MATCH($A6,'Valo FX'!$A:$A,0)),INDEX(Base!$U:$U,MATCH($A6,Base!$A:$A,0)),IF(ME$1=INDEX('Valo FX'!$R:$R,MATCH($A6,'Valo FX'!$A:$A,0)),INDEX(Base!$V:$V,MATCH($A6,Base!$A:$A,0)),0)))</f>
        <v>0</v>
      </c>
      <c r="MF6" s="21">
        <f>IF(MF$1&lt;INDEX('Valo FX'!$Q:$Q,MATCH($A6,'Valo FX'!$A:$A,0)),0,IF(MF$1&lt;INDEX('Valo FX'!$R:$R,MATCH($A6,'Valo FX'!$A:$A,0)),INDEX(Base!$U:$U,MATCH($A6,Base!$A:$A,0)),IF(MF$1=INDEX('Valo FX'!$R:$R,MATCH($A6,'Valo FX'!$A:$A,0)),INDEX(Base!$V:$V,MATCH($A6,Base!$A:$A,0)),0)))</f>
        <v>0</v>
      </c>
      <c r="MG6" s="21">
        <f>IF(MG$1&lt;INDEX('Valo FX'!$Q:$Q,MATCH($A6,'Valo FX'!$A:$A,0)),0,IF(MG$1&lt;INDEX('Valo FX'!$R:$R,MATCH($A6,'Valo FX'!$A:$A,0)),INDEX(Base!$U:$U,MATCH($A6,Base!$A:$A,0)),IF(MG$1=INDEX('Valo FX'!$R:$R,MATCH($A6,'Valo FX'!$A:$A,0)),INDEX(Base!$V:$V,MATCH($A6,Base!$A:$A,0)),0)))</f>
        <v>0</v>
      </c>
      <c r="MH6" s="21">
        <f>IF(MH$1&lt;INDEX('Valo FX'!$Q:$Q,MATCH($A6,'Valo FX'!$A:$A,0)),0,IF(MH$1&lt;INDEX('Valo FX'!$R:$R,MATCH($A6,'Valo FX'!$A:$A,0)),INDEX(Base!$U:$U,MATCH($A6,Base!$A:$A,0)),IF(MH$1=INDEX('Valo FX'!$R:$R,MATCH($A6,'Valo FX'!$A:$A,0)),INDEX(Base!$V:$V,MATCH($A6,Base!$A:$A,0)),0)))</f>
        <v>0</v>
      </c>
      <c r="MI6" s="21">
        <f>IF(MI$1&lt;INDEX('Valo FX'!$Q:$Q,MATCH($A6,'Valo FX'!$A:$A,0)),0,IF(MI$1&lt;INDEX('Valo FX'!$R:$R,MATCH($A6,'Valo FX'!$A:$A,0)),INDEX(Base!$U:$U,MATCH($A6,Base!$A:$A,0)),IF(MI$1=INDEX('Valo FX'!$R:$R,MATCH($A6,'Valo FX'!$A:$A,0)),INDEX(Base!$V:$V,MATCH($A6,Base!$A:$A,0)),0)))</f>
        <v>0</v>
      </c>
      <c r="MJ6" s="21">
        <f>IF(MJ$1&lt;INDEX('Valo FX'!$Q:$Q,MATCH($A6,'Valo FX'!$A:$A,0)),0,IF(MJ$1&lt;INDEX('Valo FX'!$R:$R,MATCH($A6,'Valo FX'!$A:$A,0)),INDEX(Base!$U:$U,MATCH($A6,Base!$A:$A,0)),IF(MJ$1=INDEX('Valo FX'!$R:$R,MATCH($A6,'Valo FX'!$A:$A,0)),INDEX(Base!$V:$V,MATCH($A6,Base!$A:$A,0)),0)))</f>
        <v>0</v>
      </c>
      <c r="MK6" s="21">
        <f>IF(MK$1&lt;INDEX('Valo FX'!$Q:$Q,MATCH($A6,'Valo FX'!$A:$A,0)),0,IF(MK$1&lt;INDEX('Valo FX'!$R:$R,MATCH($A6,'Valo FX'!$A:$A,0)),INDEX(Base!$U:$U,MATCH($A6,Base!$A:$A,0)),IF(MK$1=INDEX('Valo FX'!$R:$R,MATCH($A6,'Valo FX'!$A:$A,0)),INDEX(Base!$V:$V,MATCH($A6,Base!$A:$A,0)),0)))</f>
        <v>0</v>
      </c>
      <c r="ML6" s="21">
        <f>IF(ML$1&lt;INDEX('Valo FX'!$Q:$Q,MATCH($A6,'Valo FX'!$A:$A,0)),0,IF(ML$1&lt;INDEX('Valo FX'!$R:$R,MATCH($A6,'Valo FX'!$A:$A,0)),INDEX(Base!$U:$U,MATCH($A6,Base!$A:$A,0)),IF(ML$1=INDEX('Valo FX'!$R:$R,MATCH($A6,'Valo FX'!$A:$A,0)),INDEX(Base!$V:$V,MATCH($A6,Base!$A:$A,0)),0)))</f>
        <v>0</v>
      </c>
      <c r="MM6" s="21">
        <f>IF(MM$1&lt;INDEX('Valo FX'!$Q:$Q,MATCH($A6,'Valo FX'!$A:$A,0)),0,IF(MM$1&lt;INDEX('Valo FX'!$R:$R,MATCH($A6,'Valo FX'!$A:$A,0)),INDEX(Base!$U:$U,MATCH($A6,Base!$A:$A,0)),IF(MM$1=INDEX('Valo FX'!$R:$R,MATCH($A6,'Valo FX'!$A:$A,0)),INDEX(Base!$V:$V,MATCH($A6,Base!$A:$A,0)),0)))</f>
        <v>0</v>
      </c>
      <c r="MN6" s="21">
        <f>IF(MN$1&lt;INDEX('Valo FX'!$Q:$Q,MATCH($A6,'Valo FX'!$A:$A,0)),0,IF(MN$1&lt;INDEX('Valo FX'!$R:$R,MATCH($A6,'Valo FX'!$A:$A,0)),INDEX(Base!$U:$U,MATCH($A6,Base!$A:$A,0)),IF(MN$1=INDEX('Valo FX'!$R:$R,MATCH($A6,'Valo FX'!$A:$A,0)),INDEX(Base!$V:$V,MATCH($A6,Base!$A:$A,0)),0)))</f>
        <v>0</v>
      </c>
      <c r="MO6" s="21">
        <f>IF(MO$1&lt;INDEX('Valo FX'!$Q:$Q,MATCH($A6,'Valo FX'!$A:$A,0)),0,IF(MO$1&lt;INDEX('Valo FX'!$R:$R,MATCH($A6,'Valo FX'!$A:$A,0)),INDEX(Base!$U:$U,MATCH($A6,Base!$A:$A,0)),IF(MO$1=INDEX('Valo FX'!$R:$R,MATCH($A6,'Valo FX'!$A:$A,0)),INDEX(Base!$V:$V,MATCH($A6,Base!$A:$A,0)),0)))</f>
        <v>0</v>
      </c>
      <c r="MP6" s="21">
        <f>IF(MP$1&lt;INDEX('Valo FX'!$Q:$Q,MATCH($A6,'Valo FX'!$A:$A,0)),0,IF(MP$1&lt;INDEX('Valo FX'!$R:$R,MATCH($A6,'Valo FX'!$A:$A,0)),INDEX(Base!$U:$U,MATCH($A6,Base!$A:$A,0)),IF(MP$1=INDEX('Valo FX'!$R:$R,MATCH($A6,'Valo FX'!$A:$A,0)),INDEX(Base!$V:$V,MATCH($A6,Base!$A:$A,0)),0)))</f>
        <v>0</v>
      </c>
      <c r="MQ6" s="21">
        <f>IF(MQ$1&lt;INDEX('Valo FX'!$Q:$Q,MATCH($A6,'Valo FX'!$A:$A,0)),0,IF(MQ$1&lt;INDEX('Valo FX'!$R:$R,MATCH($A6,'Valo FX'!$A:$A,0)),INDEX(Base!$U:$U,MATCH($A6,Base!$A:$A,0)),IF(MQ$1=INDEX('Valo FX'!$R:$R,MATCH($A6,'Valo FX'!$A:$A,0)),INDEX(Base!$V:$V,MATCH($A6,Base!$A:$A,0)),0)))</f>
        <v>0</v>
      </c>
      <c r="MR6" s="21">
        <f>IF(MR$1&lt;INDEX('Valo FX'!$Q:$Q,MATCH($A6,'Valo FX'!$A:$A,0)),0,IF(MR$1&lt;INDEX('Valo FX'!$R:$R,MATCH($A6,'Valo FX'!$A:$A,0)),INDEX(Base!$U:$U,MATCH($A6,Base!$A:$A,0)),IF(MR$1=INDEX('Valo FX'!$R:$R,MATCH($A6,'Valo FX'!$A:$A,0)),INDEX(Base!$V:$V,MATCH($A6,Base!$A:$A,0)),0)))</f>
        <v>0</v>
      </c>
      <c r="MS6" s="21">
        <f>IF(MS$1&lt;INDEX('Valo FX'!$Q:$Q,MATCH($A6,'Valo FX'!$A:$A,0)),0,IF(MS$1&lt;INDEX('Valo FX'!$R:$R,MATCH($A6,'Valo FX'!$A:$A,0)),INDEX(Base!$U:$U,MATCH($A6,Base!$A:$A,0)),IF(MS$1=INDEX('Valo FX'!$R:$R,MATCH($A6,'Valo FX'!$A:$A,0)),INDEX(Base!$V:$V,MATCH($A6,Base!$A:$A,0)),0)))</f>
        <v>0</v>
      </c>
      <c r="MT6" s="21">
        <f>IF(MT$1&lt;INDEX('Valo FX'!$Q:$Q,MATCH($A6,'Valo FX'!$A:$A,0)),0,IF(MT$1&lt;INDEX('Valo FX'!$R:$R,MATCH($A6,'Valo FX'!$A:$A,0)),INDEX(Base!$U:$U,MATCH($A6,Base!$A:$A,0)),IF(MT$1=INDEX('Valo FX'!$R:$R,MATCH($A6,'Valo FX'!$A:$A,0)),INDEX(Base!$V:$V,MATCH($A6,Base!$A:$A,0)),0)))</f>
        <v>0</v>
      </c>
      <c r="MU6" s="21">
        <f>IF(MU$1&lt;INDEX('Valo FX'!$Q:$Q,MATCH($A6,'Valo FX'!$A:$A,0)),0,IF(MU$1&lt;INDEX('Valo FX'!$R:$R,MATCH($A6,'Valo FX'!$A:$A,0)),INDEX(Base!$U:$U,MATCH($A6,Base!$A:$A,0)),IF(MU$1=INDEX('Valo FX'!$R:$R,MATCH($A6,'Valo FX'!$A:$A,0)),INDEX(Base!$V:$V,MATCH($A6,Base!$A:$A,0)),0)))</f>
        <v>0</v>
      </c>
      <c r="MV6" s="21">
        <f>IF(MV$1&lt;INDEX('Valo FX'!$Q:$Q,MATCH($A6,'Valo FX'!$A:$A,0)),0,IF(MV$1&lt;INDEX('Valo FX'!$R:$R,MATCH($A6,'Valo FX'!$A:$A,0)),INDEX(Base!$U:$U,MATCH($A6,Base!$A:$A,0)),IF(MV$1=INDEX('Valo FX'!$R:$R,MATCH($A6,'Valo FX'!$A:$A,0)),INDEX(Base!$V:$V,MATCH($A6,Base!$A:$A,0)),0)))</f>
        <v>0</v>
      </c>
      <c r="MW6" s="21">
        <f>IF(MW$1&lt;INDEX('Valo FX'!$Q:$Q,MATCH($A6,'Valo FX'!$A:$A,0)),0,IF(MW$1&lt;INDEX('Valo FX'!$R:$R,MATCH($A6,'Valo FX'!$A:$A,0)),INDEX(Base!$U:$U,MATCH($A6,Base!$A:$A,0)),IF(MW$1=INDEX('Valo FX'!$R:$R,MATCH($A6,'Valo FX'!$A:$A,0)),INDEX(Base!$V:$V,MATCH($A6,Base!$A:$A,0)),0)))</f>
        <v>0</v>
      </c>
      <c r="MX6" s="21">
        <f>IF(MX$1&lt;INDEX('Valo FX'!$Q:$Q,MATCH($A6,'Valo FX'!$A:$A,0)),0,IF(MX$1&lt;INDEX('Valo FX'!$R:$R,MATCH($A6,'Valo FX'!$A:$A,0)),INDEX(Base!$U:$U,MATCH($A6,Base!$A:$A,0)),IF(MX$1=INDEX('Valo FX'!$R:$R,MATCH($A6,'Valo FX'!$A:$A,0)),INDEX(Base!$V:$V,MATCH($A6,Base!$A:$A,0)),0)))</f>
        <v>0</v>
      </c>
      <c r="MY6" s="21">
        <f>IF(MY$1&lt;INDEX('Valo FX'!$Q:$Q,MATCH($A6,'Valo FX'!$A:$A,0)),0,IF(MY$1&lt;INDEX('Valo FX'!$R:$R,MATCH($A6,'Valo FX'!$A:$A,0)),INDEX(Base!$U:$U,MATCH($A6,Base!$A:$A,0)),IF(MY$1=INDEX('Valo FX'!$R:$R,MATCH($A6,'Valo FX'!$A:$A,0)),INDEX(Base!$V:$V,MATCH($A6,Base!$A:$A,0)),0)))</f>
        <v>0</v>
      </c>
    </row>
    <row r="7" spans="1:363" x14ac:dyDescent="0.2">
      <c r="A7" s="7">
        <f>+'Valo FX'!A8</f>
        <v>5</v>
      </c>
      <c r="B7" s="58">
        <f>-'Valo FX'!T8</f>
        <v>-1613.0553307444463</v>
      </c>
      <c r="C7" s="21">
        <f>IF(C$1&lt;INDEX('Valo FX'!$Q:$Q,MATCH($A7,'Valo FX'!$A:$A,0)),0,IF(C$1&lt;INDEX('Valo FX'!$R:$R,MATCH($A7,'Valo FX'!$A:$A,0)),INDEX(Base!$U:$U,MATCH($A7,Base!$A:$A,0)),IF(C$1=INDEX('Valo FX'!$R:$R,MATCH($A7,'Valo FX'!$A:$A,0)),INDEX(Base!$V:$V,MATCH($A7,Base!$A:$A,0)),0)))</f>
        <v>0</v>
      </c>
      <c r="D7" s="21">
        <f>IF(D$1&lt;INDEX('Valo FX'!$Q:$Q,MATCH($A7,'Valo FX'!$A:$A,0)),0,IF(D$1&lt;INDEX('Valo FX'!$R:$R,MATCH($A7,'Valo FX'!$A:$A,0)),INDEX(Base!$U:$U,MATCH($A7,Base!$A:$A,0)),IF(D$1=INDEX('Valo FX'!$R:$R,MATCH($A7,'Valo FX'!$A:$A,0)),INDEX(Base!$V:$V,MATCH($A7,Base!$A:$A,0)),0)))</f>
        <v>0</v>
      </c>
      <c r="E7" s="21">
        <f>IF(E$1&lt;INDEX('Valo FX'!$Q:$Q,MATCH($A7,'Valo FX'!$A:$A,0)),0,IF(E$1&lt;INDEX('Valo FX'!$R:$R,MATCH($A7,'Valo FX'!$A:$A,0)),INDEX(Base!$U:$U,MATCH($A7,Base!$A:$A,0)),IF(E$1=INDEX('Valo FX'!$R:$R,MATCH($A7,'Valo FX'!$A:$A,0)),INDEX(Base!$V:$V,MATCH($A7,Base!$A:$A,0)),0)))</f>
        <v>0</v>
      </c>
      <c r="F7" s="21">
        <f>IF(F$1&lt;INDEX('Valo FX'!$Q:$Q,MATCH($A7,'Valo FX'!$A:$A,0)),0,IF(F$1&lt;INDEX('Valo FX'!$R:$R,MATCH($A7,'Valo FX'!$A:$A,0)),INDEX(Base!$U:$U,MATCH($A7,Base!$A:$A,0)),IF(F$1=INDEX('Valo FX'!$R:$R,MATCH($A7,'Valo FX'!$A:$A,0)),INDEX(Base!$V:$V,MATCH($A7,Base!$A:$A,0)),0)))</f>
        <v>0</v>
      </c>
      <c r="G7" s="21">
        <f>IF(G$1&lt;INDEX('Valo FX'!$Q:$Q,MATCH($A7,'Valo FX'!$A:$A,0)),0,IF(G$1&lt;INDEX('Valo FX'!$R:$R,MATCH($A7,'Valo FX'!$A:$A,0)),INDEX(Base!$U:$U,MATCH($A7,Base!$A:$A,0)),IF(G$1=INDEX('Valo FX'!$R:$R,MATCH($A7,'Valo FX'!$A:$A,0)),INDEX(Base!$V:$V,MATCH($A7,Base!$A:$A,0)),0)))</f>
        <v>0</v>
      </c>
      <c r="H7" s="21">
        <f>IF(H$1&lt;INDEX('Valo FX'!$Q:$Q,MATCH($A7,'Valo FX'!$A:$A,0)),0,IF(H$1&lt;INDEX('Valo FX'!$R:$R,MATCH($A7,'Valo FX'!$A:$A,0)),INDEX(Base!$U:$U,MATCH($A7,Base!$A:$A,0)),IF(H$1=INDEX('Valo FX'!$R:$R,MATCH($A7,'Valo FX'!$A:$A,0)),INDEX(Base!$V:$V,MATCH($A7,Base!$A:$A,0)),0)))</f>
        <v>0</v>
      </c>
      <c r="I7" s="21">
        <f>IF(I$1&lt;INDEX('Valo FX'!$Q:$Q,MATCH($A7,'Valo FX'!$A:$A,0)),0,IF(I$1&lt;INDEX('Valo FX'!$R:$R,MATCH($A7,'Valo FX'!$A:$A,0)),INDEX(Base!$U:$U,MATCH($A7,Base!$A:$A,0)),IF(I$1=INDEX('Valo FX'!$R:$R,MATCH($A7,'Valo FX'!$A:$A,0)),INDEX(Base!$V:$V,MATCH($A7,Base!$A:$A,0)),0)))</f>
        <v>10.986879999999999</v>
      </c>
      <c r="J7" s="21">
        <f>IF(J$1&lt;INDEX('Valo FX'!$Q:$Q,MATCH($A7,'Valo FX'!$A:$A,0)),0,IF(J$1&lt;INDEX('Valo FX'!$R:$R,MATCH($A7,'Valo FX'!$A:$A,0)),INDEX(Base!$U:$U,MATCH($A7,Base!$A:$A,0)),IF(J$1=INDEX('Valo FX'!$R:$R,MATCH($A7,'Valo FX'!$A:$A,0)),INDEX(Base!$V:$V,MATCH($A7,Base!$A:$A,0)),0)))</f>
        <v>10.986879999999999</v>
      </c>
      <c r="K7" s="21">
        <f>IF(K$1&lt;INDEX('Valo FX'!$Q:$Q,MATCH($A7,'Valo FX'!$A:$A,0)),0,IF(K$1&lt;INDEX('Valo FX'!$R:$R,MATCH($A7,'Valo FX'!$A:$A,0)),INDEX(Base!$U:$U,MATCH($A7,Base!$A:$A,0)),IF(K$1=INDEX('Valo FX'!$R:$R,MATCH($A7,'Valo FX'!$A:$A,0)),INDEX(Base!$V:$V,MATCH($A7,Base!$A:$A,0)),0)))</f>
        <v>10.986879999999999</v>
      </c>
      <c r="L7" s="21">
        <f>IF(L$1&lt;INDEX('Valo FX'!$Q:$Q,MATCH($A7,'Valo FX'!$A:$A,0)),0,IF(L$1&lt;INDEX('Valo FX'!$R:$R,MATCH($A7,'Valo FX'!$A:$A,0)),INDEX(Base!$U:$U,MATCH($A7,Base!$A:$A,0)),IF(L$1=INDEX('Valo FX'!$R:$R,MATCH($A7,'Valo FX'!$A:$A,0)),INDEX(Base!$V:$V,MATCH($A7,Base!$A:$A,0)),0)))</f>
        <v>10.986879999999999</v>
      </c>
      <c r="M7" s="21">
        <f>IF(M$1&lt;INDEX('Valo FX'!$Q:$Q,MATCH($A7,'Valo FX'!$A:$A,0)),0,IF(M$1&lt;INDEX('Valo FX'!$R:$R,MATCH($A7,'Valo FX'!$A:$A,0)),INDEX(Base!$U:$U,MATCH($A7,Base!$A:$A,0)),IF(M$1=INDEX('Valo FX'!$R:$R,MATCH($A7,'Valo FX'!$A:$A,0)),INDEX(Base!$V:$V,MATCH($A7,Base!$A:$A,0)),0)))</f>
        <v>10.986879999999999</v>
      </c>
      <c r="N7" s="21">
        <f>IF(N$1&lt;INDEX('Valo FX'!$Q:$Q,MATCH($A7,'Valo FX'!$A:$A,0)),0,IF(N$1&lt;INDEX('Valo FX'!$R:$R,MATCH($A7,'Valo FX'!$A:$A,0)),INDEX(Base!$U:$U,MATCH($A7,Base!$A:$A,0)),IF(N$1=INDEX('Valo FX'!$R:$R,MATCH($A7,'Valo FX'!$A:$A,0)),INDEX(Base!$V:$V,MATCH($A7,Base!$A:$A,0)),0)))</f>
        <v>10.986879999999999</v>
      </c>
      <c r="O7" s="21">
        <f>IF(O$1&lt;INDEX('Valo FX'!$Q:$Q,MATCH($A7,'Valo FX'!$A:$A,0)),0,IF(O$1&lt;INDEX('Valo FX'!$R:$R,MATCH($A7,'Valo FX'!$A:$A,0)),INDEX(Base!$U:$U,MATCH($A7,Base!$A:$A,0)),IF(O$1=INDEX('Valo FX'!$R:$R,MATCH($A7,'Valo FX'!$A:$A,0)),INDEX(Base!$V:$V,MATCH($A7,Base!$A:$A,0)),0)))</f>
        <v>10.986879999999999</v>
      </c>
      <c r="P7" s="21">
        <f>IF(P$1&lt;INDEX('Valo FX'!$Q:$Q,MATCH($A7,'Valo FX'!$A:$A,0)),0,IF(P$1&lt;INDEX('Valo FX'!$R:$R,MATCH($A7,'Valo FX'!$A:$A,0)),INDEX(Base!$U:$U,MATCH($A7,Base!$A:$A,0)),IF(P$1=INDEX('Valo FX'!$R:$R,MATCH($A7,'Valo FX'!$A:$A,0)),INDEX(Base!$V:$V,MATCH($A7,Base!$A:$A,0)),0)))</f>
        <v>10.986879999999999</v>
      </c>
      <c r="Q7" s="21">
        <f>IF(Q$1&lt;INDEX('Valo FX'!$Q:$Q,MATCH($A7,'Valo FX'!$A:$A,0)),0,IF(Q$1&lt;INDEX('Valo FX'!$R:$R,MATCH($A7,'Valo FX'!$A:$A,0)),INDEX(Base!$U:$U,MATCH($A7,Base!$A:$A,0)),IF(Q$1=INDEX('Valo FX'!$R:$R,MATCH($A7,'Valo FX'!$A:$A,0)),INDEX(Base!$V:$V,MATCH($A7,Base!$A:$A,0)),0)))</f>
        <v>10.986879999999999</v>
      </c>
      <c r="R7" s="21">
        <f>IF(R$1&lt;INDEX('Valo FX'!$Q:$Q,MATCH($A7,'Valo FX'!$A:$A,0)),0,IF(R$1&lt;INDEX('Valo FX'!$R:$R,MATCH($A7,'Valo FX'!$A:$A,0)),INDEX(Base!$U:$U,MATCH($A7,Base!$A:$A,0)),IF(R$1=INDEX('Valo FX'!$R:$R,MATCH($A7,'Valo FX'!$A:$A,0)),INDEX(Base!$V:$V,MATCH($A7,Base!$A:$A,0)),0)))</f>
        <v>10.986879999999999</v>
      </c>
      <c r="S7" s="21">
        <f>IF(S$1&lt;INDEX('Valo FX'!$Q:$Q,MATCH($A7,'Valo FX'!$A:$A,0)),0,IF(S$1&lt;INDEX('Valo FX'!$R:$R,MATCH($A7,'Valo FX'!$A:$A,0)),INDEX(Base!$U:$U,MATCH($A7,Base!$A:$A,0)),IF(S$1=INDEX('Valo FX'!$R:$R,MATCH($A7,'Valo FX'!$A:$A,0)),INDEX(Base!$V:$V,MATCH($A7,Base!$A:$A,0)),0)))</f>
        <v>10.986879999999999</v>
      </c>
      <c r="T7" s="21">
        <f>IF(T$1&lt;INDEX('Valo FX'!$Q:$Q,MATCH($A7,'Valo FX'!$A:$A,0)),0,IF(T$1&lt;INDEX('Valo FX'!$R:$R,MATCH($A7,'Valo FX'!$A:$A,0)),INDEX(Base!$U:$U,MATCH($A7,Base!$A:$A,0)),IF(T$1=INDEX('Valo FX'!$R:$R,MATCH($A7,'Valo FX'!$A:$A,0)),INDEX(Base!$V:$V,MATCH($A7,Base!$A:$A,0)),0)))</f>
        <v>10.986879999999999</v>
      </c>
      <c r="U7" s="21">
        <f>IF(U$1&lt;INDEX('Valo FX'!$Q:$Q,MATCH($A7,'Valo FX'!$A:$A,0)),0,IF(U$1&lt;INDEX('Valo FX'!$R:$R,MATCH($A7,'Valo FX'!$A:$A,0)),INDEX(Base!$U:$U,MATCH($A7,Base!$A:$A,0)),IF(U$1=INDEX('Valo FX'!$R:$R,MATCH($A7,'Valo FX'!$A:$A,0)),INDEX(Base!$V:$V,MATCH($A7,Base!$A:$A,0)),0)))</f>
        <v>10.986879999999999</v>
      </c>
      <c r="V7" s="21">
        <f>IF(V$1&lt;INDEX('Valo FX'!$Q:$Q,MATCH($A7,'Valo FX'!$A:$A,0)),0,IF(V$1&lt;INDEX('Valo FX'!$R:$R,MATCH($A7,'Valo FX'!$A:$A,0)),INDEX(Base!$U:$U,MATCH($A7,Base!$A:$A,0)),IF(V$1=INDEX('Valo FX'!$R:$R,MATCH($A7,'Valo FX'!$A:$A,0)),INDEX(Base!$V:$V,MATCH($A7,Base!$A:$A,0)),0)))</f>
        <v>10.986879999999999</v>
      </c>
      <c r="W7" s="21">
        <f>IF(W$1&lt;INDEX('Valo FX'!$Q:$Q,MATCH($A7,'Valo FX'!$A:$A,0)),0,IF(W$1&lt;INDEX('Valo FX'!$R:$R,MATCH($A7,'Valo FX'!$A:$A,0)),INDEX(Base!$U:$U,MATCH($A7,Base!$A:$A,0)),IF(W$1=INDEX('Valo FX'!$R:$R,MATCH($A7,'Valo FX'!$A:$A,0)),INDEX(Base!$V:$V,MATCH($A7,Base!$A:$A,0)),0)))</f>
        <v>10.986879999999999</v>
      </c>
      <c r="X7" s="21">
        <f>IF(X$1&lt;INDEX('Valo FX'!$Q:$Q,MATCH($A7,'Valo FX'!$A:$A,0)),0,IF(X$1&lt;INDEX('Valo FX'!$R:$R,MATCH($A7,'Valo FX'!$A:$A,0)),INDEX(Base!$U:$U,MATCH($A7,Base!$A:$A,0)),IF(X$1=INDEX('Valo FX'!$R:$R,MATCH($A7,'Valo FX'!$A:$A,0)),INDEX(Base!$V:$V,MATCH($A7,Base!$A:$A,0)),0)))</f>
        <v>10.986879999999999</v>
      </c>
      <c r="Y7" s="21">
        <f>IF(Y$1&lt;INDEX('Valo FX'!$Q:$Q,MATCH($A7,'Valo FX'!$A:$A,0)),0,IF(Y$1&lt;INDEX('Valo FX'!$R:$R,MATCH($A7,'Valo FX'!$A:$A,0)),INDEX(Base!$U:$U,MATCH($A7,Base!$A:$A,0)),IF(Y$1=INDEX('Valo FX'!$R:$R,MATCH($A7,'Valo FX'!$A:$A,0)),INDEX(Base!$V:$V,MATCH($A7,Base!$A:$A,0)),0)))</f>
        <v>10.986879999999999</v>
      </c>
      <c r="Z7" s="21">
        <f>IF(Z$1&lt;INDEX('Valo FX'!$Q:$Q,MATCH($A7,'Valo FX'!$A:$A,0)),0,IF(Z$1&lt;INDEX('Valo FX'!$R:$R,MATCH($A7,'Valo FX'!$A:$A,0)),INDEX(Base!$U:$U,MATCH($A7,Base!$A:$A,0)),IF(Z$1=INDEX('Valo FX'!$R:$R,MATCH($A7,'Valo FX'!$A:$A,0)),INDEX(Base!$V:$V,MATCH($A7,Base!$A:$A,0)),0)))</f>
        <v>10.986879999999999</v>
      </c>
      <c r="AA7" s="21">
        <f>IF(AA$1&lt;INDEX('Valo FX'!$Q:$Q,MATCH($A7,'Valo FX'!$A:$A,0)),0,IF(AA$1&lt;INDEX('Valo FX'!$R:$R,MATCH($A7,'Valo FX'!$A:$A,0)),INDEX(Base!$U:$U,MATCH($A7,Base!$A:$A,0)),IF(AA$1=INDEX('Valo FX'!$R:$R,MATCH($A7,'Valo FX'!$A:$A,0)),INDEX(Base!$V:$V,MATCH($A7,Base!$A:$A,0)),0)))</f>
        <v>10.986879999999999</v>
      </c>
      <c r="AB7" s="21">
        <f>IF(AB$1&lt;INDEX('Valo FX'!$Q:$Q,MATCH($A7,'Valo FX'!$A:$A,0)),0,IF(AB$1&lt;INDEX('Valo FX'!$R:$R,MATCH($A7,'Valo FX'!$A:$A,0)),INDEX(Base!$U:$U,MATCH($A7,Base!$A:$A,0)),IF(AB$1=INDEX('Valo FX'!$R:$R,MATCH($A7,'Valo FX'!$A:$A,0)),INDEX(Base!$V:$V,MATCH($A7,Base!$A:$A,0)),0)))</f>
        <v>10.986879999999999</v>
      </c>
      <c r="AC7" s="21">
        <f>IF(AC$1&lt;INDEX('Valo FX'!$Q:$Q,MATCH($A7,'Valo FX'!$A:$A,0)),0,IF(AC$1&lt;INDEX('Valo FX'!$R:$R,MATCH($A7,'Valo FX'!$A:$A,0)),INDEX(Base!$U:$U,MATCH($A7,Base!$A:$A,0)),IF(AC$1=INDEX('Valo FX'!$R:$R,MATCH($A7,'Valo FX'!$A:$A,0)),INDEX(Base!$V:$V,MATCH($A7,Base!$A:$A,0)),0)))</f>
        <v>10.986879999999999</v>
      </c>
      <c r="AD7" s="21">
        <f>IF(AD$1&lt;INDEX('Valo FX'!$Q:$Q,MATCH($A7,'Valo FX'!$A:$A,0)),0,IF(AD$1&lt;INDEX('Valo FX'!$R:$R,MATCH($A7,'Valo FX'!$A:$A,0)),INDEX(Base!$U:$U,MATCH($A7,Base!$A:$A,0)),IF(AD$1=INDEX('Valo FX'!$R:$R,MATCH($A7,'Valo FX'!$A:$A,0)),INDEX(Base!$V:$V,MATCH($A7,Base!$A:$A,0)),0)))</f>
        <v>10.986879999999999</v>
      </c>
      <c r="AE7" s="21">
        <f>IF(AE$1&lt;INDEX('Valo FX'!$Q:$Q,MATCH($A7,'Valo FX'!$A:$A,0)),0,IF(AE$1&lt;INDEX('Valo FX'!$R:$R,MATCH($A7,'Valo FX'!$A:$A,0)),INDEX(Base!$U:$U,MATCH($A7,Base!$A:$A,0)),IF(AE$1=INDEX('Valo FX'!$R:$R,MATCH($A7,'Valo FX'!$A:$A,0)),INDEX(Base!$V:$V,MATCH($A7,Base!$A:$A,0)),0)))</f>
        <v>10.986879999999999</v>
      </c>
      <c r="AF7" s="21">
        <f>IF(AF$1&lt;INDEX('Valo FX'!$Q:$Q,MATCH($A7,'Valo FX'!$A:$A,0)),0,IF(AF$1&lt;INDEX('Valo FX'!$R:$R,MATCH($A7,'Valo FX'!$A:$A,0)),INDEX(Base!$U:$U,MATCH($A7,Base!$A:$A,0)),IF(AF$1=INDEX('Valo FX'!$R:$R,MATCH($A7,'Valo FX'!$A:$A,0)),INDEX(Base!$V:$V,MATCH($A7,Base!$A:$A,0)),0)))</f>
        <v>10.986879999999999</v>
      </c>
      <c r="AG7" s="21">
        <f>IF(AG$1&lt;INDEX('Valo FX'!$Q:$Q,MATCH($A7,'Valo FX'!$A:$A,0)),0,IF(AG$1&lt;INDEX('Valo FX'!$R:$R,MATCH($A7,'Valo FX'!$A:$A,0)),INDEX(Base!$U:$U,MATCH($A7,Base!$A:$A,0)),IF(AG$1=INDEX('Valo FX'!$R:$R,MATCH($A7,'Valo FX'!$A:$A,0)),INDEX(Base!$V:$V,MATCH($A7,Base!$A:$A,0)),0)))</f>
        <v>10.986879999999999</v>
      </c>
      <c r="AH7" s="21">
        <f>IF(AH$1&lt;INDEX('Valo FX'!$Q:$Q,MATCH($A7,'Valo FX'!$A:$A,0)),0,IF(AH$1&lt;INDEX('Valo FX'!$R:$R,MATCH($A7,'Valo FX'!$A:$A,0)),INDEX(Base!$U:$U,MATCH($A7,Base!$A:$A,0)),IF(AH$1=INDEX('Valo FX'!$R:$R,MATCH($A7,'Valo FX'!$A:$A,0)),INDEX(Base!$V:$V,MATCH($A7,Base!$A:$A,0)),0)))</f>
        <v>10.986879999999999</v>
      </c>
      <c r="AI7" s="21">
        <f>IF(AI$1&lt;INDEX('Valo FX'!$Q:$Q,MATCH($A7,'Valo FX'!$A:$A,0)),0,IF(AI$1&lt;INDEX('Valo FX'!$R:$R,MATCH($A7,'Valo FX'!$A:$A,0)),INDEX(Base!$U:$U,MATCH($A7,Base!$A:$A,0)),IF(AI$1=INDEX('Valo FX'!$R:$R,MATCH($A7,'Valo FX'!$A:$A,0)),INDEX(Base!$V:$V,MATCH($A7,Base!$A:$A,0)),0)))</f>
        <v>10.986879999999999</v>
      </c>
      <c r="AJ7" s="21">
        <f>IF(AJ$1&lt;INDEX('Valo FX'!$Q:$Q,MATCH($A7,'Valo FX'!$A:$A,0)),0,IF(AJ$1&lt;INDEX('Valo FX'!$R:$R,MATCH($A7,'Valo FX'!$A:$A,0)),INDEX(Base!$U:$U,MATCH($A7,Base!$A:$A,0)),IF(AJ$1=INDEX('Valo FX'!$R:$R,MATCH($A7,'Valo FX'!$A:$A,0)),INDEX(Base!$V:$V,MATCH($A7,Base!$A:$A,0)),0)))</f>
        <v>10.986879999999999</v>
      </c>
      <c r="AK7" s="21">
        <f>IF(AK$1&lt;INDEX('Valo FX'!$Q:$Q,MATCH($A7,'Valo FX'!$A:$A,0)),0,IF(AK$1&lt;INDEX('Valo FX'!$R:$R,MATCH($A7,'Valo FX'!$A:$A,0)),INDEX(Base!$U:$U,MATCH($A7,Base!$A:$A,0)),IF(AK$1=INDEX('Valo FX'!$R:$R,MATCH($A7,'Valo FX'!$A:$A,0)),INDEX(Base!$V:$V,MATCH($A7,Base!$A:$A,0)),0)))</f>
        <v>10.986879999999999</v>
      </c>
      <c r="AL7" s="21">
        <f>IF(AL$1&lt;INDEX('Valo FX'!$Q:$Q,MATCH($A7,'Valo FX'!$A:$A,0)),0,IF(AL$1&lt;INDEX('Valo FX'!$R:$R,MATCH($A7,'Valo FX'!$A:$A,0)),INDEX(Base!$U:$U,MATCH($A7,Base!$A:$A,0)),IF(AL$1=INDEX('Valo FX'!$R:$R,MATCH($A7,'Valo FX'!$A:$A,0)),INDEX(Base!$V:$V,MATCH($A7,Base!$A:$A,0)),0)))</f>
        <v>10.986879999999999</v>
      </c>
      <c r="AM7" s="21">
        <f>IF(AM$1&lt;INDEX('Valo FX'!$Q:$Q,MATCH($A7,'Valo FX'!$A:$A,0)),0,IF(AM$1&lt;INDEX('Valo FX'!$R:$R,MATCH($A7,'Valo FX'!$A:$A,0)),INDEX(Base!$U:$U,MATCH($A7,Base!$A:$A,0)),IF(AM$1=INDEX('Valo FX'!$R:$R,MATCH($A7,'Valo FX'!$A:$A,0)),INDEX(Base!$V:$V,MATCH($A7,Base!$A:$A,0)),0)))</f>
        <v>10.986879999999999</v>
      </c>
      <c r="AN7" s="21">
        <f>IF(AN$1&lt;INDEX('Valo FX'!$Q:$Q,MATCH($A7,'Valo FX'!$A:$A,0)),0,IF(AN$1&lt;INDEX('Valo FX'!$R:$R,MATCH($A7,'Valo FX'!$A:$A,0)),INDEX(Base!$U:$U,MATCH($A7,Base!$A:$A,0)),IF(AN$1=INDEX('Valo FX'!$R:$R,MATCH($A7,'Valo FX'!$A:$A,0)),INDEX(Base!$V:$V,MATCH($A7,Base!$A:$A,0)),0)))</f>
        <v>10.986879999999999</v>
      </c>
      <c r="AO7" s="21">
        <f>IF(AO$1&lt;INDEX('Valo FX'!$Q:$Q,MATCH($A7,'Valo FX'!$A:$A,0)),0,IF(AO$1&lt;INDEX('Valo FX'!$R:$R,MATCH($A7,'Valo FX'!$A:$A,0)),INDEX(Base!$U:$U,MATCH($A7,Base!$A:$A,0)),IF(AO$1=INDEX('Valo FX'!$R:$R,MATCH($A7,'Valo FX'!$A:$A,0)),INDEX(Base!$V:$V,MATCH($A7,Base!$A:$A,0)),0)))</f>
        <v>10.986879999999999</v>
      </c>
      <c r="AP7" s="21">
        <f>IF(AP$1&lt;INDEX('Valo FX'!$Q:$Q,MATCH($A7,'Valo FX'!$A:$A,0)),0,IF(AP$1&lt;INDEX('Valo FX'!$R:$R,MATCH($A7,'Valo FX'!$A:$A,0)),INDEX(Base!$U:$U,MATCH($A7,Base!$A:$A,0)),IF(AP$1=INDEX('Valo FX'!$R:$R,MATCH($A7,'Valo FX'!$A:$A,0)),INDEX(Base!$V:$V,MATCH($A7,Base!$A:$A,0)),0)))</f>
        <v>10.986879999999999</v>
      </c>
      <c r="AQ7" s="21">
        <f>IF(AQ$1&lt;INDEX('Valo FX'!$Q:$Q,MATCH($A7,'Valo FX'!$A:$A,0)),0,IF(AQ$1&lt;INDEX('Valo FX'!$R:$R,MATCH($A7,'Valo FX'!$A:$A,0)),INDEX(Base!$U:$U,MATCH($A7,Base!$A:$A,0)),IF(AQ$1=INDEX('Valo FX'!$R:$R,MATCH($A7,'Valo FX'!$A:$A,0)),INDEX(Base!$V:$V,MATCH($A7,Base!$A:$A,0)),0)))</f>
        <v>10.986879999999999</v>
      </c>
      <c r="AR7" s="21">
        <f>IF(AR$1&lt;INDEX('Valo FX'!$Q:$Q,MATCH($A7,'Valo FX'!$A:$A,0)),0,IF(AR$1&lt;INDEX('Valo FX'!$R:$R,MATCH($A7,'Valo FX'!$A:$A,0)),INDEX(Base!$U:$U,MATCH($A7,Base!$A:$A,0)),IF(AR$1=INDEX('Valo FX'!$R:$R,MATCH($A7,'Valo FX'!$A:$A,0)),INDEX(Base!$V:$V,MATCH($A7,Base!$A:$A,0)),0)))</f>
        <v>10.986879999999999</v>
      </c>
      <c r="AS7" s="21">
        <f>IF(AS$1&lt;INDEX('Valo FX'!$Q:$Q,MATCH($A7,'Valo FX'!$A:$A,0)),0,IF(AS$1&lt;INDEX('Valo FX'!$R:$R,MATCH($A7,'Valo FX'!$A:$A,0)),INDEX(Base!$U:$U,MATCH($A7,Base!$A:$A,0)),IF(AS$1=INDEX('Valo FX'!$R:$R,MATCH($A7,'Valo FX'!$A:$A,0)),INDEX(Base!$V:$V,MATCH($A7,Base!$A:$A,0)),0)))</f>
        <v>10.986879999999999</v>
      </c>
      <c r="AT7" s="21">
        <f>IF(AT$1&lt;INDEX('Valo FX'!$Q:$Q,MATCH($A7,'Valo FX'!$A:$A,0)),0,IF(AT$1&lt;INDEX('Valo FX'!$R:$R,MATCH($A7,'Valo FX'!$A:$A,0)),INDEX(Base!$U:$U,MATCH($A7,Base!$A:$A,0)),IF(AT$1=INDEX('Valo FX'!$R:$R,MATCH($A7,'Valo FX'!$A:$A,0)),INDEX(Base!$V:$V,MATCH($A7,Base!$A:$A,0)),0)))</f>
        <v>10.986879999999999</v>
      </c>
      <c r="AU7" s="21">
        <f>IF(AU$1&lt;INDEX('Valo FX'!$Q:$Q,MATCH($A7,'Valo FX'!$A:$A,0)),0,IF(AU$1&lt;INDEX('Valo FX'!$R:$R,MATCH($A7,'Valo FX'!$A:$A,0)),INDEX(Base!$U:$U,MATCH($A7,Base!$A:$A,0)),IF(AU$1=INDEX('Valo FX'!$R:$R,MATCH($A7,'Valo FX'!$A:$A,0)),INDEX(Base!$V:$V,MATCH($A7,Base!$A:$A,0)),0)))</f>
        <v>10.986879999999999</v>
      </c>
      <c r="AV7" s="21">
        <f>IF(AV$1&lt;INDEX('Valo FX'!$Q:$Q,MATCH($A7,'Valo FX'!$A:$A,0)),0,IF(AV$1&lt;INDEX('Valo FX'!$R:$R,MATCH($A7,'Valo FX'!$A:$A,0)),INDEX(Base!$U:$U,MATCH($A7,Base!$A:$A,0)),IF(AV$1=INDEX('Valo FX'!$R:$R,MATCH($A7,'Valo FX'!$A:$A,0)),INDEX(Base!$V:$V,MATCH($A7,Base!$A:$A,0)),0)))</f>
        <v>10.986879999999999</v>
      </c>
      <c r="AW7" s="21">
        <f>IF(AW$1&lt;INDEX('Valo FX'!$Q:$Q,MATCH($A7,'Valo FX'!$A:$A,0)),0,IF(AW$1&lt;INDEX('Valo FX'!$R:$R,MATCH($A7,'Valo FX'!$A:$A,0)),INDEX(Base!$U:$U,MATCH($A7,Base!$A:$A,0)),IF(AW$1=INDEX('Valo FX'!$R:$R,MATCH($A7,'Valo FX'!$A:$A,0)),INDEX(Base!$V:$V,MATCH($A7,Base!$A:$A,0)),0)))</f>
        <v>10.986879999999999</v>
      </c>
      <c r="AX7" s="21">
        <f>IF(AX$1&lt;INDEX('Valo FX'!$Q:$Q,MATCH($A7,'Valo FX'!$A:$A,0)),0,IF(AX$1&lt;INDEX('Valo FX'!$R:$R,MATCH($A7,'Valo FX'!$A:$A,0)),INDEX(Base!$U:$U,MATCH($A7,Base!$A:$A,0)),IF(AX$1=INDEX('Valo FX'!$R:$R,MATCH($A7,'Valo FX'!$A:$A,0)),INDEX(Base!$V:$V,MATCH($A7,Base!$A:$A,0)),0)))</f>
        <v>10.986879999999999</v>
      </c>
      <c r="AY7" s="21">
        <f>IF(AY$1&lt;INDEX('Valo FX'!$Q:$Q,MATCH($A7,'Valo FX'!$A:$A,0)),0,IF(AY$1&lt;INDEX('Valo FX'!$R:$R,MATCH($A7,'Valo FX'!$A:$A,0)),INDEX(Base!$U:$U,MATCH($A7,Base!$A:$A,0)),IF(AY$1=INDEX('Valo FX'!$R:$R,MATCH($A7,'Valo FX'!$A:$A,0)),INDEX(Base!$V:$V,MATCH($A7,Base!$A:$A,0)),0)))</f>
        <v>10.986879999999999</v>
      </c>
      <c r="AZ7" s="21">
        <f>IF(AZ$1&lt;INDEX('Valo FX'!$Q:$Q,MATCH($A7,'Valo FX'!$A:$A,0)),0,IF(AZ$1&lt;INDEX('Valo FX'!$R:$R,MATCH($A7,'Valo FX'!$A:$A,0)),INDEX(Base!$U:$U,MATCH($A7,Base!$A:$A,0)),IF(AZ$1=INDEX('Valo FX'!$R:$R,MATCH($A7,'Valo FX'!$A:$A,0)),INDEX(Base!$V:$V,MATCH($A7,Base!$A:$A,0)),0)))</f>
        <v>10.986879999999999</v>
      </c>
      <c r="BA7" s="21">
        <f>IF(BA$1&lt;INDEX('Valo FX'!$Q:$Q,MATCH($A7,'Valo FX'!$A:$A,0)),0,IF(BA$1&lt;INDEX('Valo FX'!$R:$R,MATCH($A7,'Valo FX'!$A:$A,0)),INDEX(Base!$U:$U,MATCH($A7,Base!$A:$A,0)),IF(BA$1=INDEX('Valo FX'!$R:$R,MATCH($A7,'Valo FX'!$A:$A,0)),INDEX(Base!$V:$V,MATCH($A7,Base!$A:$A,0)),0)))</f>
        <v>10.986879999999999</v>
      </c>
      <c r="BB7" s="21">
        <f>IF(BB$1&lt;INDEX('Valo FX'!$Q:$Q,MATCH($A7,'Valo FX'!$A:$A,0)),0,IF(BB$1&lt;INDEX('Valo FX'!$R:$R,MATCH($A7,'Valo FX'!$A:$A,0)),INDEX(Base!$U:$U,MATCH($A7,Base!$A:$A,0)),IF(BB$1=INDEX('Valo FX'!$R:$R,MATCH($A7,'Valo FX'!$A:$A,0)),INDEX(Base!$V:$V,MATCH($A7,Base!$A:$A,0)),0)))</f>
        <v>10.986879999999999</v>
      </c>
      <c r="BC7" s="21">
        <f>IF(BC$1&lt;INDEX('Valo FX'!$Q:$Q,MATCH($A7,'Valo FX'!$A:$A,0)),0,IF(BC$1&lt;INDEX('Valo FX'!$R:$R,MATCH($A7,'Valo FX'!$A:$A,0)),INDEX(Base!$U:$U,MATCH($A7,Base!$A:$A,0)),IF(BC$1=INDEX('Valo FX'!$R:$R,MATCH($A7,'Valo FX'!$A:$A,0)),INDEX(Base!$V:$V,MATCH($A7,Base!$A:$A,0)),0)))</f>
        <v>10.986879999999999</v>
      </c>
      <c r="BD7" s="21">
        <f>IF(BD$1&lt;INDEX('Valo FX'!$Q:$Q,MATCH($A7,'Valo FX'!$A:$A,0)),0,IF(BD$1&lt;INDEX('Valo FX'!$R:$R,MATCH($A7,'Valo FX'!$A:$A,0)),INDEX(Base!$U:$U,MATCH($A7,Base!$A:$A,0)),IF(BD$1=INDEX('Valo FX'!$R:$R,MATCH($A7,'Valo FX'!$A:$A,0)),INDEX(Base!$V:$V,MATCH($A7,Base!$A:$A,0)),0)))</f>
        <v>10.986879999999999</v>
      </c>
      <c r="BE7" s="21">
        <f>IF(BE$1&lt;INDEX('Valo FX'!$Q:$Q,MATCH($A7,'Valo FX'!$A:$A,0)),0,IF(BE$1&lt;INDEX('Valo FX'!$R:$R,MATCH($A7,'Valo FX'!$A:$A,0)),INDEX(Base!$U:$U,MATCH($A7,Base!$A:$A,0)),IF(BE$1=INDEX('Valo FX'!$R:$R,MATCH($A7,'Valo FX'!$A:$A,0)),INDEX(Base!$V:$V,MATCH($A7,Base!$A:$A,0)),0)))</f>
        <v>10.986879999999999</v>
      </c>
      <c r="BF7" s="21">
        <f>IF(BF$1&lt;INDEX('Valo FX'!$Q:$Q,MATCH($A7,'Valo FX'!$A:$A,0)),0,IF(BF$1&lt;INDEX('Valo FX'!$R:$R,MATCH($A7,'Valo FX'!$A:$A,0)),INDEX(Base!$U:$U,MATCH($A7,Base!$A:$A,0)),IF(BF$1=INDEX('Valo FX'!$R:$R,MATCH($A7,'Valo FX'!$A:$A,0)),INDEX(Base!$V:$V,MATCH($A7,Base!$A:$A,0)),0)))</f>
        <v>10.986879999999999</v>
      </c>
      <c r="BG7" s="21">
        <f>IF(BG$1&lt;INDEX('Valo FX'!$Q:$Q,MATCH($A7,'Valo FX'!$A:$A,0)),0,IF(BG$1&lt;INDEX('Valo FX'!$R:$R,MATCH($A7,'Valo FX'!$A:$A,0)),INDEX(Base!$U:$U,MATCH($A7,Base!$A:$A,0)),IF(BG$1=INDEX('Valo FX'!$R:$R,MATCH($A7,'Valo FX'!$A:$A,0)),INDEX(Base!$V:$V,MATCH($A7,Base!$A:$A,0)),0)))</f>
        <v>10.986879999999999</v>
      </c>
      <c r="BH7" s="21">
        <f>IF(BH$1&lt;INDEX('Valo FX'!$Q:$Q,MATCH($A7,'Valo FX'!$A:$A,0)),0,IF(BH$1&lt;INDEX('Valo FX'!$R:$R,MATCH($A7,'Valo FX'!$A:$A,0)),INDEX(Base!$U:$U,MATCH($A7,Base!$A:$A,0)),IF(BH$1=INDEX('Valo FX'!$R:$R,MATCH($A7,'Valo FX'!$A:$A,0)),INDEX(Base!$V:$V,MATCH($A7,Base!$A:$A,0)),0)))</f>
        <v>10.986879999999999</v>
      </c>
      <c r="BI7" s="21">
        <f>IF(BI$1&lt;INDEX('Valo FX'!$Q:$Q,MATCH($A7,'Valo FX'!$A:$A,0)),0,IF(BI$1&lt;INDEX('Valo FX'!$R:$R,MATCH($A7,'Valo FX'!$A:$A,0)),INDEX(Base!$U:$U,MATCH($A7,Base!$A:$A,0)),IF(BI$1=INDEX('Valo FX'!$R:$R,MATCH($A7,'Valo FX'!$A:$A,0)),INDEX(Base!$V:$V,MATCH($A7,Base!$A:$A,0)),0)))</f>
        <v>10.986879999999999</v>
      </c>
      <c r="BJ7" s="21">
        <f>IF(BJ$1&lt;INDEX('Valo FX'!$Q:$Q,MATCH($A7,'Valo FX'!$A:$A,0)),0,IF(BJ$1&lt;INDEX('Valo FX'!$R:$R,MATCH($A7,'Valo FX'!$A:$A,0)),INDEX(Base!$U:$U,MATCH($A7,Base!$A:$A,0)),IF(BJ$1=INDEX('Valo FX'!$R:$R,MATCH($A7,'Valo FX'!$A:$A,0)),INDEX(Base!$V:$V,MATCH($A7,Base!$A:$A,0)),0)))</f>
        <v>10.986879999999999</v>
      </c>
      <c r="BK7" s="21">
        <f>IF(BK$1&lt;INDEX('Valo FX'!$Q:$Q,MATCH($A7,'Valo FX'!$A:$A,0)),0,IF(BK$1&lt;INDEX('Valo FX'!$R:$R,MATCH($A7,'Valo FX'!$A:$A,0)),INDEX(Base!$U:$U,MATCH($A7,Base!$A:$A,0)),IF(BK$1=INDEX('Valo FX'!$R:$R,MATCH($A7,'Valo FX'!$A:$A,0)),INDEX(Base!$V:$V,MATCH($A7,Base!$A:$A,0)),0)))</f>
        <v>10.986879999999999</v>
      </c>
      <c r="BL7" s="21">
        <f>IF(BL$1&lt;INDEX('Valo FX'!$Q:$Q,MATCH($A7,'Valo FX'!$A:$A,0)),0,IF(BL$1&lt;INDEX('Valo FX'!$R:$R,MATCH($A7,'Valo FX'!$A:$A,0)),INDEX(Base!$U:$U,MATCH($A7,Base!$A:$A,0)),IF(BL$1=INDEX('Valo FX'!$R:$R,MATCH($A7,'Valo FX'!$A:$A,0)),INDEX(Base!$V:$V,MATCH($A7,Base!$A:$A,0)),0)))</f>
        <v>10.986879999999999</v>
      </c>
      <c r="BM7" s="21">
        <f>IF(BM$1&lt;INDEX('Valo FX'!$Q:$Q,MATCH($A7,'Valo FX'!$A:$A,0)),0,IF(BM$1&lt;INDEX('Valo FX'!$R:$R,MATCH($A7,'Valo FX'!$A:$A,0)),INDEX(Base!$U:$U,MATCH($A7,Base!$A:$A,0)),IF(BM$1=INDEX('Valo FX'!$R:$R,MATCH($A7,'Valo FX'!$A:$A,0)),INDEX(Base!$V:$V,MATCH($A7,Base!$A:$A,0)),0)))</f>
        <v>10.986879999999999</v>
      </c>
      <c r="BN7" s="21">
        <f>IF(BN$1&lt;INDEX('Valo FX'!$Q:$Q,MATCH($A7,'Valo FX'!$A:$A,0)),0,IF(BN$1&lt;INDEX('Valo FX'!$R:$R,MATCH($A7,'Valo FX'!$A:$A,0)),INDEX(Base!$U:$U,MATCH($A7,Base!$A:$A,0)),IF(BN$1=INDEX('Valo FX'!$R:$R,MATCH($A7,'Valo FX'!$A:$A,0)),INDEX(Base!$V:$V,MATCH($A7,Base!$A:$A,0)),0)))</f>
        <v>10.986879999999999</v>
      </c>
      <c r="BO7" s="21">
        <f>IF(BO$1&lt;INDEX('Valo FX'!$Q:$Q,MATCH($A7,'Valo FX'!$A:$A,0)),0,IF(BO$1&lt;INDEX('Valo FX'!$R:$R,MATCH($A7,'Valo FX'!$A:$A,0)),INDEX(Base!$U:$U,MATCH($A7,Base!$A:$A,0)),IF(BO$1=INDEX('Valo FX'!$R:$R,MATCH($A7,'Valo FX'!$A:$A,0)),INDEX(Base!$V:$V,MATCH($A7,Base!$A:$A,0)),0)))</f>
        <v>10.986879999999999</v>
      </c>
      <c r="BP7" s="21">
        <f>IF(BP$1&lt;INDEX('Valo FX'!$Q:$Q,MATCH($A7,'Valo FX'!$A:$A,0)),0,IF(BP$1&lt;INDEX('Valo FX'!$R:$R,MATCH($A7,'Valo FX'!$A:$A,0)),INDEX(Base!$U:$U,MATCH($A7,Base!$A:$A,0)),IF(BP$1=INDEX('Valo FX'!$R:$R,MATCH($A7,'Valo FX'!$A:$A,0)),INDEX(Base!$V:$V,MATCH($A7,Base!$A:$A,0)),0)))</f>
        <v>10.986879999999999</v>
      </c>
      <c r="BQ7" s="21">
        <f>IF(BQ$1&lt;INDEX('Valo FX'!$Q:$Q,MATCH($A7,'Valo FX'!$A:$A,0)),0,IF(BQ$1&lt;INDEX('Valo FX'!$R:$R,MATCH($A7,'Valo FX'!$A:$A,0)),INDEX(Base!$U:$U,MATCH($A7,Base!$A:$A,0)),IF(BQ$1=INDEX('Valo FX'!$R:$R,MATCH($A7,'Valo FX'!$A:$A,0)),INDEX(Base!$V:$V,MATCH($A7,Base!$A:$A,0)),0)))</f>
        <v>10.986879999999999</v>
      </c>
      <c r="BR7" s="21">
        <f>IF(BR$1&lt;INDEX('Valo FX'!$Q:$Q,MATCH($A7,'Valo FX'!$A:$A,0)),0,IF(BR$1&lt;INDEX('Valo FX'!$R:$R,MATCH($A7,'Valo FX'!$A:$A,0)),INDEX(Base!$U:$U,MATCH($A7,Base!$A:$A,0)),IF(BR$1=INDEX('Valo FX'!$R:$R,MATCH($A7,'Valo FX'!$A:$A,0)),INDEX(Base!$V:$V,MATCH($A7,Base!$A:$A,0)),0)))</f>
        <v>10.986879999999999</v>
      </c>
      <c r="BS7" s="21">
        <f>IF(BS$1&lt;INDEX('Valo FX'!$Q:$Q,MATCH($A7,'Valo FX'!$A:$A,0)),0,IF(BS$1&lt;INDEX('Valo FX'!$R:$R,MATCH($A7,'Valo FX'!$A:$A,0)),INDEX(Base!$U:$U,MATCH($A7,Base!$A:$A,0)),IF(BS$1=INDEX('Valo FX'!$R:$R,MATCH($A7,'Valo FX'!$A:$A,0)),INDEX(Base!$V:$V,MATCH($A7,Base!$A:$A,0)),0)))</f>
        <v>10.986879999999999</v>
      </c>
      <c r="BT7" s="21">
        <f>IF(BT$1&lt;INDEX('Valo FX'!$Q:$Q,MATCH($A7,'Valo FX'!$A:$A,0)),0,IF(BT$1&lt;INDEX('Valo FX'!$R:$R,MATCH($A7,'Valo FX'!$A:$A,0)),INDEX(Base!$U:$U,MATCH($A7,Base!$A:$A,0)),IF(BT$1=INDEX('Valo FX'!$R:$R,MATCH($A7,'Valo FX'!$A:$A,0)),INDEX(Base!$V:$V,MATCH($A7,Base!$A:$A,0)),0)))</f>
        <v>10.986879999999999</v>
      </c>
      <c r="BU7" s="21">
        <f>IF(BU$1&lt;INDEX('Valo FX'!$Q:$Q,MATCH($A7,'Valo FX'!$A:$A,0)),0,IF(BU$1&lt;INDEX('Valo FX'!$R:$R,MATCH($A7,'Valo FX'!$A:$A,0)),INDEX(Base!$U:$U,MATCH($A7,Base!$A:$A,0)),IF(BU$1=INDEX('Valo FX'!$R:$R,MATCH($A7,'Valo FX'!$A:$A,0)),INDEX(Base!$V:$V,MATCH($A7,Base!$A:$A,0)),0)))</f>
        <v>10.986879999999999</v>
      </c>
      <c r="BV7" s="21">
        <f>IF(BV$1&lt;INDEX('Valo FX'!$Q:$Q,MATCH($A7,'Valo FX'!$A:$A,0)),0,IF(BV$1&lt;INDEX('Valo FX'!$R:$R,MATCH($A7,'Valo FX'!$A:$A,0)),INDEX(Base!$U:$U,MATCH($A7,Base!$A:$A,0)),IF(BV$1=INDEX('Valo FX'!$R:$R,MATCH($A7,'Valo FX'!$A:$A,0)),INDEX(Base!$V:$V,MATCH($A7,Base!$A:$A,0)),0)))</f>
        <v>10.986879999999999</v>
      </c>
      <c r="BW7" s="21">
        <f>IF(BW$1&lt;INDEX('Valo FX'!$Q:$Q,MATCH($A7,'Valo FX'!$A:$A,0)),0,IF(BW$1&lt;INDEX('Valo FX'!$R:$R,MATCH($A7,'Valo FX'!$A:$A,0)),INDEX(Base!$U:$U,MATCH($A7,Base!$A:$A,0)),IF(BW$1=INDEX('Valo FX'!$R:$R,MATCH($A7,'Valo FX'!$A:$A,0)),INDEX(Base!$V:$V,MATCH($A7,Base!$A:$A,0)),0)))</f>
        <v>10.986879999999999</v>
      </c>
      <c r="BX7" s="21">
        <f>IF(BX$1&lt;INDEX('Valo FX'!$Q:$Q,MATCH($A7,'Valo FX'!$A:$A,0)),0,IF(BX$1&lt;INDEX('Valo FX'!$R:$R,MATCH($A7,'Valo FX'!$A:$A,0)),INDEX(Base!$U:$U,MATCH($A7,Base!$A:$A,0)),IF(BX$1=INDEX('Valo FX'!$R:$R,MATCH($A7,'Valo FX'!$A:$A,0)),INDEX(Base!$V:$V,MATCH($A7,Base!$A:$A,0)),0)))</f>
        <v>10.986879999999999</v>
      </c>
      <c r="BY7" s="21">
        <f>IF(BY$1&lt;INDEX('Valo FX'!$Q:$Q,MATCH($A7,'Valo FX'!$A:$A,0)),0,IF(BY$1&lt;INDEX('Valo FX'!$R:$R,MATCH($A7,'Valo FX'!$A:$A,0)),INDEX(Base!$U:$U,MATCH($A7,Base!$A:$A,0)),IF(BY$1=INDEX('Valo FX'!$R:$R,MATCH($A7,'Valo FX'!$A:$A,0)),INDEX(Base!$V:$V,MATCH($A7,Base!$A:$A,0)),0)))</f>
        <v>10.986879999999999</v>
      </c>
      <c r="BZ7" s="21">
        <f>IF(BZ$1&lt;INDEX('Valo FX'!$Q:$Q,MATCH($A7,'Valo FX'!$A:$A,0)),0,IF(BZ$1&lt;INDEX('Valo FX'!$R:$R,MATCH($A7,'Valo FX'!$A:$A,0)),INDEX(Base!$U:$U,MATCH($A7,Base!$A:$A,0)),IF(BZ$1=INDEX('Valo FX'!$R:$R,MATCH($A7,'Valo FX'!$A:$A,0)),INDEX(Base!$V:$V,MATCH($A7,Base!$A:$A,0)),0)))</f>
        <v>10.986879999999999</v>
      </c>
      <c r="CA7" s="21">
        <f>IF(CA$1&lt;INDEX('Valo FX'!$Q:$Q,MATCH($A7,'Valo FX'!$A:$A,0)),0,IF(CA$1&lt;INDEX('Valo FX'!$R:$R,MATCH($A7,'Valo FX'!$A:$A,0)),INDEX(Base!$U:$U,MATCH($A7,Base!$A:$A,0)),IF(CA$1=INDEX('Valo FX'!$R:$R,MATCH($A7,'Valo FX'!$A:$A,0)),INDEX(Base!$V:$V,MATCH($A7,Base!$A:$A,0)),0)))</f>
        <v>10.986879999999999</v>
      </c>
      <c r="CB7" s="21">
        <f>IF(CB$1&lt;INDEX('Valo FX'!$Q:$Q,MATCH($A7,'Valo FX'!$A:$A,0)),0,IF(CB$1&lt;INDEX('Valo FX'!$R:$R,MATCH($A7,'Valo FX'!$A:$A,0)),INDEX(Base!$U:$U,MATCH($A7,Base!$A:$A,0)),IF(CB$1=INDEX('Valo FX'!$R:$R,MATCH($A7,'Valo FX'!$A:$A,0)),INDEX(Base!$V:$V,MATCH($A7,Base!$A:$A,0)),0)))</f>
        <v>10.986879999999999</v>
      </c>
      <c r="CC7" s="21">
        <f>IF(CC$1&lt;INDEX('Valo FX'!$Q:$Q,MATCH($A7,'Valo FX'!$A:$A,0)),0,IF(CC$1&lt;INDEX('Valo FX'!$R:$R,MATCH($A7,'Valo FX'!$A:$A,0)),INDEX(Base!$U:$U,MATCH($A7,Base!$A:$A,0)),IF(CC$1=INDEX('Valo FX'!$R:$R,MATCH($A7,'Valo FX'!$A:$A,0)),INDEX(Base!$V:$V,MATCH($A7,Base!$A:$A,0)),0)))</f>
        <v>10.986879999999999</v>
      </c>
      <c r="CD7" s="21">
        <f>IF(CD$1&lt;INDEX('Valo FX'!$Q:$Q,MATCH($A7,'Valo FX'!$A:$A,0)),0,IF(CD$1&lt;INDEX('Valo FX'!$R:$R,MATCH($A7,'Valo FX'!$A:$A,0)),INDEX(Base!$U:$U,MATCH($A7,Base!$A:$A,0)),IF(CD$1=INDEX('Valo FX'!$R:$R,MATCH($A7,'Valo FX'!$A:$A,0)),INDEX(Base!$V:$V,MATCH($A7,Base!$A:$A,0)),0)))</f>
        <v>10.986879999999999</v>
      </c>
      <c r="CE7" s="21">
        <f>IF(CE$1&lt;INDEX('Valo FX'!$Q:$Q,MATCH($A7,'Valo FX'!$A:$A,0)),0,IF(CE$1&lt;INDEX('Valo FX'!$R:$R,MATCH($A7,'Valo FX'!$A:$A,0)),INDEX(Base!$U:$U,MATCH($A7,Base!$A:$A,0)),IF(CE$1=INDEX('Valo FX'!$R:$R,MATCH($A7,'Valo FX'!$A:$A,0)),INDEX(Base!$V:$V,MATCH($A7,Base!$A:$A,0)),0)))</f>
        <v>10.986879999999999</v>
      </c>
      <c r="CF7" s="21">
        <f>IF(CF$1&lt;INDEX('Valo FX'!$Q:$Q,MATCH($A7,'Valo FX'!$A:$A,0)),0,IF(CF$1&lt;INDEX('Valo FX'!$R:$R,MATCH($A7,'Valo FX'!$A:$A,0)),INDEX(Base!$U:$U,MATCH($A7,Base!$A:$A,0)),IF(CF$1=INDEX('Valo FX'!$R:$R,MATCH($A7,'Valo FX'!$A:$A,0)),INDEX(Base!$V:$V,MATCH($A7,Base!$A:$A,0)),0)))</f>
        <v>10.986879999999999</v>
      </c>
      <c r="CG7" s="21">
        <f>IF(CG$1&lt;INDEX('Valo FX'!$Q:$Q,MATCH($A7,'Valo FX'!$A:$A,0)),0,IF(CG$1&lt;INDEX('Valo FX'!$R:$R,MATCH($A7,'Valo FX'!$A:$A,0)),INDEX(Base!$U:$U,MATCH($A7,Base!$A:$A,0)),IF(CG$1=INDEX('Valo FX'!$R:$R,MATCH($A7,'Valo FX'!$A:$A,0)),INDEX(Base!$V:$V,MATCH($A7,Base!$A:$A,0)),0)))</f>
        <v>10.986879999999999</v>
      </c>
      <c r="CH7" s="21">
        <f>IF(CH$1&lt;INDEX('Valo FX'!$Q:$Q,MATCH($A7,'Valo FX'!$A:$A,0)),0,IF(CH$1&lt;INDEX('Valo FX'!$R:$R,MATCH($A7,'Valo FX'!$A:$A,0)),INDEX(Base!$U:$U,MATCH($A7,Base!$A:$A,0)),IF(CH$1=INDEX('Valo FX'!$R:$R,MATCH($A7,'Valo FX'!$A:$A,0)),INDEX(Base!$V:$V,MATCH($A7,Base!$A:$A,0)),0)))</f>
        <v>10.986879999999999</v>
      </c>
      <c r="CI7" s="21">
        <f>IF(CI$1&lt;INDEX('Valo FX'!$Q:$Q,MATCH($A7,'Valo FX'!$A:$A,0)),0,IF(CI$1&lt;INDEX('Valo FX'!$R:$R,MATCH($A7,'Valo FX'!$A:$A,0)),INDEX(Base!$U:$U,MATCH($A7,Base!$A:$A,0)),IF(CI$1=INDEX('Valo FX'!$R:$R,MATCH($A7,'Valo FX'!$A:$A,0)),INDEX(Base!$V:$V,MATCH($A7,Base!$A:$A,0)),0)))</f>
        <v>10.986879999999999</v>
      </c>
      <c r="CJ7" s="21">
        <f>IF(CJ$1&lt;INDEX('Valo FX'!$Q:$Q,MATCH($A7,'Valo FX'!$A:$A,0)),0,IF(CJ$1&lt;INDEX('Valo FX'!$R:$R,MATCH($A7,'Valo FX'!$A:$A,0)),INDEX(Base!$U:$U,MATCH($A7,Base!$A:$A,0)),IF(CJ$1=INDEX('Valo FX'!$R:$R,MATCH($A7,'Valo FX'!$A:$A,0)),INDEX(Base!$V:$V,MATCH($A7,Base!$A:$A,0)),0)))</f>
        <v>10.986879999999999</v>
      </c>
      <c r="CK7" s="21">
        <f>IF(CK$1&lt;INDEX('Valo FX'!$Q:$Q,MATCH($A7,'Valo FX'!$A:$A,0)),0,IF(CK$1&lt;INDEX('Valo FX'!$R:$R,MATCH($A7,'Valo FX'!$A:$A,0)),INDEX(Base!$U:$U,MATCH($A7,Base!$A:$A,0)),IF(CK$1=INDEX('Valo FX'!$R:$R,MATCH($A7,'Valo FX'!$A:$A,0)),INDEX(Base!$V:$V,MATCH($A7,Base!$A:$A,0)),0)))</f>
        <v>10.986879999999999</v>
      </c>
      <c r="CL7" s="21">
        <f>IF(CL$1&lt;INDEX('Valo FX'!$Q:$Q,MATCH($A7,'Valo FX'!$A:$A,0)),0,IF(CL$1&lt;INDEX('Valo FX'!$R:$R,MATCH($A7,'Valo FX'!$A:$A,0)),INDEX(Base!$U:$U,MATCH($A7,Base!$A:$A,0)),IF(CL$1=INDEX('Valo FX'!$R:$R,MATCH($A7,'Valo FX'!$A:$A,0)),INDEX(Base!$V:$V,MATCH($A7,Base!$A:$A,0)),0)))</f>
        <v>10.986879999999999</v>
      </c>
      <c r="CM7" s="21">
        <f>IF(CM$1&lt;INDEX('Valo FX'!$Q:$Q,MATCH($A7,'Valo FX'!$A:$A,0)),0,IF(CM$1&lt;INDEX('Valo FX'!$R:$R,MATCH($A7,'Valo FX'!$A:$A,0)),INDEX(Base!$U:$U,MATCH($A7,Base!$A:$A,0)),IF(CM$1=INDEX('Valo FX'!$R:$R,MATCH($A7,'Valo FX'!$A:$A,0)),INDEX(Base!$V:$V,MATCH($A7,Base!$A:$A,0)),0)))</f>
        <v>10.986879999999999</v>
      </c>
      <c r="CN7" s="21">
        <f>IF(CN$1&lt;INDEX('Valo FX'!$Q:$Q,MATCH($A7,'Valo FX'!$A:$A,0)),0,IF(CN$1&lt;INDEX('Valo FX'!$R:$R,MATCH($A7,'Valo FX'!$A:$A,0)),INDEX(Base!$U:$U,MATCH($A7,Base!$A:$A,0)),IF(CN$1=INDEX('Valo FX'!$R:$R,MATCH($A7,'Valo FX'!$A:$A,0)),INDEX(Base!$V:$V,MATCH($A7,Base!$A:$A,0)),0)))</f>
        <v>10.986879999999999</v>
      </c>
      <c r="CO7" s="21">
        <f>IF(CO$1&lt;INDEX('Valo FX'!$Q:$Q,MATCH($A7,'Valo FX'!$A:$A,0)),0,IF(CO$1&lt;INDEX('Valo FX'!$R:$R,MATCH($A7,'Valo FX'!$A:$A,0)),INDEX(Base!$U:$U,MATCH($A7,Base!$A:$A,0)),IF(CO$1=INDEX('Valo FX'!$R:$R,MATCH($A7,'Valo FX'!$A:$A,0)),INDEX(Base!$V:$V,MATCH($A7,Base!$A:$A,0)),0)))</f>
        <v>10.986879999999999</v>
      </c>
      <c r="CP7" s="21">
        <f>IF(CP$1&lt;INDEX('Valo FX'!$Q:$Q,MATCH($A7,'Valo FX'!$A:$A,0)),0,IF(CP$1&lt;INDEX('Valo FX'!$R:$R,MATCH($A7,'Valo FX'!$A:$A,0)),INDEX(Base!$U:$U,MATCH($A7,Base!$A:$A,0)),IF(CP$1=INDEX('Valo FX'!$R:$R,MATCH($A7,'Valo FX'!$A:$A,0)),INDEX(Base!$V:$V,MATCH($A7,Base!$A:$A,0)),0)))</f>
        <v>10.986879999999999</v>
      </c>
      <c r="CQ7" s="21">
        <f>IF(CQ$1&lt;INDEX('Valo FX'!$Q:$Q,MATCH($A7,'Valo FX'!$A:$A,0)),0,IF(CQ$1&lt;INDEX('Valo FX'!$R:$R,MATCH($A7,'Valo FX'!$A:$A,0)),INDEX(Base!$U:$U,MATCH($A7,Base!$A:$A,0)),IF(CQ$1=INDEX('Valo FX'!$R:$R,MATCH($A7,'Valo FX'!$A:$A,0)),INDEX(Base!$V:$V,MATCH($A7,Base!$A:$A,0)),0)))</f>
        <v>10.986879999999999</v>
      </c>
      <c r="CR7" s="21">
        <f>IF(CR$1&lt;INDEX('Valo FX'!$Q:$Q,MATCH($A7,'Valo FX'!$A:$A,0)),0,IF(CR$1&lt;INDEX('Valo FX'!$R:$R,MATCH($A7,'Valo FX'!$A:$A,0)),INDEX(Base!$U:$U,MATCH($A7,Base!$A:$A,0)),IF(CR$1=INDEX('Valo FX'!$R:$R,MATCH($A7,'Valo FX'!$A:$A,0)),INDEX(Base!$V:$V,MATCH($A7,Base!$A:$A,0)),0)))</f>
        <v>10.986879999999999</v>
      </c>
      <c r="CS7" s="21">
        <f>IF(CS$1&lt;INDEX('Valo FX'!$Q:$Q,MATCH($A7,'Valo FX'!$A:$A,0)),0,IF(CS$1&lt;INDEX('Valo FX'!$R:$R,MATCH($A7,'Valo FX'!$A:$A,0)),INDEX(Base!$U:$U,MATCH($A7,Base!$A:$A,0)),IF(CS$1=INDEX('Valo FX'!$R:$R,MATCH($A7,'Valo FX'!$A:$A,0)),INDEX(Base!$V:$V,MATCH($A7,Base!$A:$A,0)),0)))</f>
        <v>10.986879999999999</v>
      </c>
      <c r="CT7" s="21">
        <f>IF(CT$1&lt;INDEX('Valo FX'!$Q:$Q,MATCH($A7,'Valo FX'!$A:$A,0)),0,IF(CT$1&lt;INDEX('Valo FX'!$R:$R,MATCH($A7,'Valo FX'!$A:$A,0)),INDEX(Base!$U:$U,MATCH($A7,Base!$A:$A,0)),IF(CT$1=INDEX('Valo FX'!$R:$R,MATCH($A7,'Valo FX'!$A:$A,0)),INDEX(Base!$V:$V,MATCH($A7,Base!$A:$A,0)),0)))</f>
        <v>10.986879999999999</v>
      </c>
      <c r="CU7" s="21">
        <f>IF(CU$1&lt;INDEX('Valo FX'!$Q:$Q,MATCH($A7,'Valo FX'!$A:$A,0)),0,IF(CU$1&lt;INDEX('Valo FX'!$R:$R,MATCH($A7,'Valo FX'!$A:$A,0)),INDEX(Base!$U:$U,MATCH($A7,Base!$A:$A,0)),IF(CU$1=INDEX('Valo FX'!$R:$R,MATCH($A7,'Valo FX'!$A:$A,0)),INDEX(Base!$V:$V,MATCH($A7,Base!$A:$A,0)),0)))</f>
        <v>10.986879999999999</v>
      </c>
      <c r="CV7" s="21">
        <f>IF(CV$1&lt;INDEX('Valo FX'!$Q:$Q,MATCH($A7,'Valo FX'!$A:$A,0)),0,IF(CV$1&lt;INDEX('Valo FX'!$R:$R,MATCH($A7,'Valo FX'!$A:$A,0)),INDEX(Base!$U:$U,MATCH($A7,Base!$A:$A,0)),IF(CV$1=INDEX('Valo FX'!$R:$R,MATCH($A7,'Valo FX'!$A:$A,0)),INDEX(Base!$V:$V,MATCH($A7,Base!$A:$A,0)),0)))</f>
        <v>10.986879999999999</v>
      </c>
      <c r="CW7" s="21">
        <f>IF(CW$1&lt;INDEX('Valo FX'!$Q:$Q,MATCH($A7,'Valo FX'!$A:$A,0)),0,IF(CW$1&lt;INDEX('Valo FX'!$R:$R,MATCH($A7,'Valo FX'!$A:$A,0)),INDEX(Base!$U:$U,MATCH($A7,Base!$A:$A,0)),IF(CW$1=INDEX('Valo FX'!$R:$R,MATCH($A7,'Valo FX'!$A:$A,0)),INDEX(Base!$V:$V,MATCH($A7,Base!$A:$A,0)),0)))</f>
        <v>10.986879999999999</v>
      </c>
      <c r="CX7" s="21">
        <f>IF(CX$1&lt;INDEX('Valo FX'!$Q:$Q,MATCH($A7,'Valo FX'!$A:$A,0)),0,IF(CX$1&lt;INDEX('Valo FX'!$R:$R,MATCH($A7,'Valo FX'!$A:$A,0)),INDEX(Base!$U:$U,MATCH($A7,Base!$A:$A,0)),IF(CX$1=INDEX('Valo FX'!$R:$R,MATCH($A7,'Valo FX'!$A:$A,0)),INDEX(Base!$V:$V,MATCH($A7,Base!$A:$A,0)),0)))</f>
        <v>10.986879999999999</v>
      </c>
      <c r="CY7" s="21">
        <f>IF(CY$1&lt;INDEX('Valo FX'!$Q:$Q,MATCH($A7,'Valo FX'!$A:$A,0)),0,IF(CY$1&lt;INDEX('Valo FX'!$R:$R,MATCH($A7,'Valo FX'!$A:$A,0)),INDEX(Base!$U:$U,MATCH($A7,Base!$A:$A,0)),IF(CY$1=INDEX('Valo FX'!$R:$R,MATCH($A7,'Valo FX'!$A:$A,0)),INDEX(Base!$V:$V,MATCH($A7,Base!$A:$A,0)),0)))</f>
        <v>10.986879999999999</v>
      </c>
      <c r="CZ7" s="21">
        <f>IF(CZ$1&lt;INDEX('Valo FX'!$Q:$Q,MATCH($A7,'Valo FX'!$A:$A,0)),0,IF(CZ$1&lt;INDEX('Valo FX'!$R:$R,MATCH($A7,'Valo FX'!$A:$A,0)),INDEX(Base!$U:$U,MATCH($A7,Base!$A:$A,0)),IF(CZ$1=INDEX('Valo FX'!$R:$R,MATCH($A7,'Valo FX'!$A:$A,0)),INDEX(Base!$V:$V,MATCH($A7,Base!$A:$A,0)),0)))</f>
        <v>10.986879999999999</v>
      </c>
      <c r="DA7" s="21">
        <f>IF(DA$1&lt;INDEX('Valo FX'!$Q:$Q,MATCH($A7,'Valo FX'!$A:$A,0)),0,IF(DA$1&lt;INDEX('Valo FX'!$R:$R,MATCH($A7,'Valo FX'!$A:$A,0)),INDEX(Base!$U:$U,MATCH($A7,Base!$A:$A,0)),IF(DA$1=INDEX('Valo FX'!$R:$R,MATCH($A7,'Valo FX'!$A:$A,0)),INDEX(Base!$V:$V,MATCH($A7,Base!$A:$A,0)),0)))</f>
        <v>10.986879999999999</v>
      </c>
      <c r="DB7" s="21">
        <f>IF(DB$1&lt;INDEX('Valo FX'!$Q:$Q,MATCH($A7,'Valo FX'!$A:$A,0)),0,IF(DB$1&lt;INDEX('Valo FX'!$R:$R,MATCH($A7,'Valo FX'!$A:$A,0)),INDEX(Base!$U:$U,MATCH($A7,Base!$A:$A,0)),IF(DB$1=INDEX('Valo FX'!$R:$R,MATCH($A7,'Valo FX'!$A:$A,0)),INDEX(Base!$V:$V,MATCH($A7,Base!$A:$A,0)),0)))</f>
        <v>10.986879999999999</v>
      </c>
      <c r="DC7" s="21">
        <f>IF(DC$1&lt;INDEX('Valo FX'!$Q:$Q,MATCH($A7,'Valo FX'!$A:$A,0)),0,IF(DC$1&lt;INDEX('Valo FX'!$R:$R,MATCH($A7,'Valo FX'!$A:$A,0)),INDEX(Base!$U:$U,MATCH($A7,Base!$A:$A,0)),IF(DC$1=INDEX('Valo FX'!$R:$R,MATCH($A7,'Valo FX'!$A:$A,0)),INDEX(Base!$V:$V,MATCH($A7,Base!$A:$A,0)),0)))</f>
        <v>10.986879999999999</v>
      </c>
      <c r="DD7" s="21">
        <f>IF(DD$1&lt;INDEX('Valo FX'!$Q:$Q,MATCH($A7,'Valo FX'!$A:$A,0)),0,IF(DD$1&lt;INDEX('Valo FX'!$R:$R,MATCH($A7,'Valo FX'!$A:$A,0)),INDEX(Base!$U:$U,MATCH($A7,Base!$A:$A,0)),IF(DD$1=INDEX('Valo FX'!$R:$R,MATCH($A7,'Valo FX'!$A:$A,0)),INDEX(Base!$V:$V,MATCH($A7,Base!$A:$A,0)),0)))</f>
        <v>10.986879999999999</v>
      </c>
      <c r="DE7" s="21">
        <f>IF(DE$1&lt;INDEX('Valo FX'!$Q:$Q,MATCH($A7,'Valo FX'!$A:$A,0)),0,IF(DE$1&lt;INDEX('Valo FX'!$R:$R,MATCH($A7,'Valo FX'!$A:$A,0)),INDEX(Base!$U:$U,MATCH($A7,Base!$A:$A,0)),IF(DE$1=INDEX('Valo FX'!$R:$R,MATCH($A7,'Valo FX'!$A:$A,0)),INDEX(Base!$V:$V,MATCH($A7,Base!$A:$A,0)),0)))</f>
        <v>10.986879999999999</v>
      </c>
      <c r="DF7" s="21">
        <f>IF(DF$1&lt;INDEX('Valo FX'!$Q:$Q,MATCH($A7,'Valo FX'!$A:$A,0)),0,IF(DF$1&lt;INDEX('Valo FX'!$R:$R,MATCH($A7,'Valo FX'!$A:$A,0)),INDEX(Base!$U:$U,MATCH($A7,Base!$A:$A,0)),IF(DF$1=INDEX('Valo FX'!$R:$R,MATCH($A7,'Valo FX'!$A:$A,0)),INDEX(Base!$V:$V,MATCH($A7,Base!$A:$A,0)),0)))</f>
        <v>10.986879999999999</v>
      </c>
      <c r="DG7" s="21">
        <f>IF(DG$1&lt;INDEX('Valo FX'!$Q:$Q,MATCH($A7,'Valo FX'!$A:$A,0)),0,IF(DG$1&lt;INDEX('Valo FX'!$R:$R,MATCH($A7,'Valo FX'!$A:$A,0)),INDEX(Base!$U:$U,MATCH($A7,Base!$A:$A,0)),IF(DG$1=INDEX('Valo FX'!$R:$R,MATCH($A7,'Valo FX'!$A:$A,0)),INDEX(Base!$V:$V,MATCH($A7,Base!$A:$A,0)),0)))</f>
        <v>10.986879999999999</v>
      </c>
      <c r="DH7" s="21">
        <f>IF(DH$1&lt;INDEX('Valo FX'!$Q:$Q,MATCH($A7,'Valo FX'!$A:$A,0)),0,IF(DH$1&lt;INDEX('Valo FX'!$R:$R,MATCH($A7,'Valo FX'!$A:$A,0)),INDEX(Base!$U:$U,MATCH($A7,Base!$A:$A,0)),IF(DH$1=INDEX('Valo FX'!$R:$R,MATCH($A7,'Valo FX'!$A:$A,0)),INDEX(Base!$V:$V,MATCH($A7,Base!$A:$A,0)),0)))</f>
        <v>10.986879999999999</v>
      </c>
      <c r="DI7" s="21">
        <f>IF(DI$1&lt;INDEX('Valo FX'!$Q:$Q,MATCH($A7,'Valo FX'!$A:$A,0)),0,IF(DI$1&lt;INDEX('Valo FX'!$R:$R,MATCH($A7,'Valo FX'!$A:$A,0)),INDEX(Base!$U:$U,MATCH($A7,Base!$A:$A,0)),IF(DI$1=INDEX('Valo FX'!$R:$R,MATCH($A7,'Valo FX'!$A:$A,0)),INDEX(Base!$V:$V,MATCH($A7,Base!$A:$A,0)),0)))</f>
        <v>10.986879999999999</v>
      </c>
      <c r="DJ7" s="21">
        <f>IF(DJ$1&lt;INDEX('Valo FX'!$Q:$Q,MATCH($A7,'Valo FX'!$A:$A,0)),0,IF(DJ$1&lt;INDEX('Valo FX'!$R:$R,MATCH($A7,'Valo FX'!$A:$A,0)),INDEX(Base!$U:$U,MATCH($A7,Base!$A:$A,0)),IF(DJ$1=INDEX('Valo FX'!$R:$R,MATCH($A7,'Valo FX'!$A:$A,0)),INDEX(Base!$V:$V,MATCH($A7,Base!$A:$A,0)),0)))</f>
        <v>10.986879999999999</v>
      </c>
      <c r="DK7" s="21">
        <f>IF(DK$1&lt;INDEX('Valo FX'!$Q:$Q,MATCH($A7,'Valo FX'!$A:$A,0)),0,IF(DK$1&lt;INDEX('Valo FX'!$R:$R,MATCH($A7,'Valo FX'!$A:$A,0)),INDEX(Base!$U:$U,MATCH($A7,Base!$A:$A,0)),IF(DK$1=INDEX('Valo FX'!$R:$R,MATCH($A7,'Valo FX'!$A:$A,0)),INDEX(Base!$V:$V,MATCH($A7,Base!$A:$A,0)),0)))</f>
        <v>10.986879999999999</v>
      </c>
      <c r="DL7" s="21">
        <f>IF(DL$1&lt;INDEX('Valo FX'!$Q:$Q,MATCH($A7,'Valo FX'!$A:$A,0)),0,IF(DL$1&lt;INDEX('Valo FX'!$R:$R,MATCH($A7,'Valo FX'!$A:$A,0)),INDEX(Base!$U:$U,MATCH($A7,Base!$A:$A,0)),IF(DL$1=INDEX('Valo FX'!$R:$R,MATCH($A7,'Valo FX'!$A:$A,0)),INDEX(Base!$V:$V,MATCH($A7,Base!$A:$A,0)),0)))</f>
        <v>10.986879999999999</v>
      </c>
      <c r="DM7" s="21">
        <f>IF(DM$1&lt;INDEX('Valo FX'!$Q:$Q,MATCH($A7,'Valo FX'!$A:$A,0)),0,IF(DM$1&lt;INDEX('Valo FX'!$R:$R,MATCH($A7,'Valo FX'!$A:$A,0)),INDEX(Base!$U:$U,MATCH($A7,Base!$A:$A,0)),IF(DM$1=INDEX('Valo FX'!$R:$R,MATCH($A7,'Valo FX'!$A:$A,0)),INDEX(Base!$V:$V,MATCH($A7,Base!$A:$A,0)),0)))</f>
        <v>10.986879999999999</v>
      </c>
      <c r="DN7" s="21">
        <f>IF(DN$1&lt;INDEX('Valo FX'!$Q:$Q,MATCH($A7,'Valo FX'!$A:$A,0)),0,IF(DN$1&lt;INDEX('Valo FX'!$R:$R,MATCH($A7,'Valo FX'!$A:$A,0)),INDEX(Base!$U:$U,MATCH($A7,Base!$A:$A,0)),IF(DN$1=INDEX('Valo FX'!$R:$R,MATCH($A7,'Valo FX'!$A:$A,0)),INDEX(Base!$V:$V,MATCH($A7,Base!$A:$A,0)),0)))</f>
        <v>10.986879999999999</v>
      </c>
      <c r="DO7" s="21">
        <f>IF(DO$1&lt;INDEX('Valo FX'!$Q:$Q,MATCH($A7,'Valo FX'!$A:$A,0)),0,IF(DO$1&lt;INDEX('Valo FX'!$R:$R,MATCH($A7,'Valo FX'!$A:$A,0)),INDEX(Base!$U:$U,MATCH($A7,Base!$A:$A,0)),IF(DO$1=INDEX('Valo FX'!$R:$R,MATCH($A7,'Valo FX'!$A:$A,0)),INDEX(Base!$V:$V,MATCH($A7,Base!$A:$A,0)),0)))</f>
        <v>10.986879999999999</v>
      </c>
      <c r="DP7" s="21">
        <f>IF(DP$1&lt;INDEX('Valo FX'!$Q:$Q,MATCH($A7,'Valo FX'!$A:$A,0)),0,IF(DP$1&lt;INDEX('Valo FX'!$R:$R,MATCH($A7,'Valo FX'!$A:$A,0)),INDEX(Base!$U:$U,MATCH($A7,Base!$A:$A,0)),IF(DP$1=INDEX('Valo FX'!$R:$R,MATCH($A7,'Valo FX'!$A:$A,0)),INDEX(Base!$V:$V,MATCH($A7,Base!$A:$A,0)),0)))</f>
        <v>10.986879999999999</v>
      </c>
      <c r="DQ7" s="21">
        <f>IF(DQ$1&lt;INDEX('Valo FX'!$Q:$Q,MATCH($A7,'Valo FX'!$A:$A,0)),0,IF(DQ$1&lt;INDEX('Valo FX'!$R:$R,MATCH($A7,'Valo FX'!$A:$A,0)),INDEX(Base!$U:$U,MATCH($A7,Base!$A:$A,0)),IF(DQ$1=INDEX('Valo FX'!$R:$R,MATCH($A7,'Valo FX'!$A:$A,0)),INDEX(Base!$V:$V,MATCH($A7,Base!$A:$A,0)),0)))</f>
        <v>10.986879999999999</v>
      </c>
      <c r="DR7" s="21">
        <f>IF(DR$1&lt;INDEX('Valo FX'!$Q:$Q,MATCH($A7,'Valo FX'!$A:$A,0)),0,IF(DR$1&lt;INDEX('Valo FX'!$R:$R,MATCH($A7,'Valo FX'!$A:$A,0)),INDEX(Base!$U:$U,MATCH($A7,Base!$A:$A,0)),IF(DR$1=INDEX('Valo FX'!$R:$R,MATCH($A7,'Valo FX'!$A:$A,0)),INDEX(Base!$V:$V,MATCH($A7,Base!$A:$A,0)),0)))</f>
        <v>10.986879999999999</v>
      </c>
      <c r="DS7" s="21">
        <f>IF(DS$1&lt;INDEX('Valo FX'!$Q:$Q,MATCH($A7,'Valo FX'!$A:$A,0)),0,IF(DS$1&lt;INDEX('Valo FX'!$R:$R,MATCH($A7,'Valo FX'!$A:$A,0)),INDEX(Base!$U:$U,MATCH($A7,Base!$A:$A,0)),IF(DS$1=INDEX('Valo FX'!$R:$R,MATCH($A7,'Valo FX'!$A:$A,0)),INDEX(Base!$V:$V,MATCH($A7,Base!$A:$A,0)),0)))</f>
        <v>10.986879999999999</v>
      </c>
      <c r="DT7" s="21">
        <f>IF(DT$1&lt;INDEX('Valo FX'!$Q:$Q,MATCH($A7,'Valo FX'!$A:$A,0)),0,IF(DT$1&lt;INDEX('Valo FX'!$R:$R,MATCH($A7,'Valo FX'!$A:$A,0)),INDEX(Base!$U:$U,MATCH($A7,Base!$A:$A,0)),IF(DT$1=INDEX('Valo FX'!$R:$R,MATCH($A7,'Valo FX'!$A:$A,0)),INDEX(Base!$V:$V,MATCH($A7,Base!$A:$A,0)),0)))</f>
        <v>10.986879999999999</v>
      </c>
      <c r="DU7" s="21">
        <f>IF(DU$1&lt;INDEX('Valo FX'!$Q:$Q,MATCH($A7,'Valo FX'!$A:$A,0)),0,IF(DU$1&lt;INDEX('Valo FX'!$R:$R,MATCH($A7,'Valo FX'!$A:$A,0)),INDEX(Base!$U:$U,MATCH($A7,Base!$A:$A,0)),IF(DU$1=INDEX('Valo FX'!$R:$R,MATCH($A7,'Valo FX'!$A:$A,0)),INDEX(Base!$V:$V,MATCH($A7,Base!$A:$A,0)),0)))</f>
        <v>10.986879999999999</v>
      </c>
      <c r="DV7" s="21">
        <f>IF(DV$1&lt;INDEX('Valo FX'!$Q:$Q,MATCH($A7,'Valo FX'!$A:$A,0)),0,IF(DV$1&lt;INDEX('Valo FX'!$R:$R,MATCH($A7,'Valo FX'!$A:$A,0)),INDEX(Base!$U:$U,MATCH($A7,Base!$A:$A,0)),IF(DV$1=INDEX('Valo FX'!$R:$R,MATCH($A7,'Valo FX'!$A:$A,0)),INDEX(Base!$V:$V,MATCH($A7,Base!$A:$A,0)),0)))</f>
        <v>10.986879999999999</v>
      </c>
      <c r="DW7" s="21">
        <f>IF(DW$1&lt;INDEX('Valo FX'!$Q:$Q,MATCH($A7,'Valo FX'!$A:$A,0)),0,IF(DW$1&lt;INDEX('Valo FX'!$R:$R,MATCH($A7,'Valo FX'!$A:$A,0)),INDEX(Base!$U:$U,MATCH($A7,Base!$A:$A,0)),IF(DW$1=INDEX('Valo FX'!$R:$R,MATCH($A7,'Valo FX'!$A:$A,0)),INDEX(Base!$V:$V,MATCH($A7,Base!$A:$A,0)),0)))</f>
        <v>10.986879999999999</v>
      </c>
      <c r="DX7" s="21">
        <f>IF(DX$1&lt;INDEX('Valo FX'!$Q:$Q,MATCH($A7,'Valo FX'!$A:$A,0)),0,IF(DX$1&lt;INDEX('Valo FX'!$R:$R,MATCH($A7,'Valo FX'!$A:$A,0)),INDEX(Base!$U:$U,MATCH($A7,Base!$A:$A,0)),IF(DX$1=INDEX('Valo FX'!$R:$R,MATCH($A7,'Valo FX'!$A:$A,0)),INDEX(Base!$V:$V,MATCH($A7,Base!$A:$A,0)),0)))</f>
        <v>10.986879999999999</v>
      </c>
      <c r="DY7" s="21">
        <f>IF(DY$1&lt;INDEX('Valo FX'!$Q:$Q,MATCH($A7,'Valo FX'!$A:$A,0)),0,IF(DY$1&lt;INDEX('Valo FX'!$R:$R,MATCH($A7,'Valo FX'!$A:$A,0)),INDEX(Base!$U:$U,MATCH($A7,Base!$A:$A,0)),IF(DY$1=INDEX('Valo FX'!$R:$R,MATCH($A7,'Valo FX'!$A:$A,0)),INDEX(Base!$V:$V,MATCH($A7,Base!$A:$A,0)),0)))</f>
        <v>10.986879999999999</v>
      </c>
      <c r="DZ7" s="21">
        <f>IF(DZ$1&lt;INDEX('Valo FX'!$Q:$Q,MATCH($A7,'Valo FX'!$A:$A,0)),0,IF(DZ$1&lt;INDEX('Valo FX'!$R:$R,MATCH($A7,'Valo FX'!$A:$A,0)),INDEX(Base!$U:$U,MATCH($A7,Base!$A:$A,0)),IF(DZ$1=INDEX('Valo FX'!$R:$R,MATCH($A7,'Valo FX'!$A:$A,0)),INDEX(Base!$V:$V,MATCH($A7,Base!$A:$A,0)),0)))</f>
        <v>10.986879999999999</v>
      </c>
      <c r="EA7" s="21">
        <f>IF(EA$1&lt;INDEX('Valo FX'!$Q:$Q,MATCH($A7,'Valo FX'!$A:$A,0)),0,IF(EA$1&lt;INDEX('Valo FX'!$R:$R,MATCH($A7,'Valo FX'!$A:$A,0)),INDEX(Base!$U:$U,MATCH($A7,Base!$A:$A,0)),IF(EA$1=INDEX('Valo FX'!$R:$R,MATCH($A7,'Valo FX'!$A:$A,0)),INDEX(Base!$V:$V,MATCH($A7,Base!$A:$A,0)),0)))</f>
        <v>10.986879999999999</v>
      </c>
      <c r="EB7" s="21">
        <f>IF(EB$1&lt;INDEX('Valo FX'!$Q:$Q,MATCH($A7,'Valo FX'!$A:$A,0)),0,IF(EB$1&lt;INDEX('Valo FX'!$R:$R,MATCH($A7,'Valo FX'!$A:$A,0)),INDEX(Base!$U:$U,MATCH($A7,Base!$A:$A,0)),IF(EB$1=INDEX('Valo FX'!$R:$R,MATCH($A7,'Valo FX'!$A:$A,0)),INDEX(Base!$V:$V,MATCH($A7,Base!$A:$A,0)),0)))</f>
        <v>10.986879999999999</v>
      </c>
      <c r="EC7" s="21">
        <f>IF(EC$1&lt;INDEX('Valo FX'!$Q:$Q,MATCH($A7,'Valo FX'!$A:$A,0)),0,IF(EC$1&lt;INDEX('Valo FX'!$R:$R,MATCH($A7,'Valo FX'!$A:$A,0)),INDEX(Base!$U:$U,MATCH($A7,Base!$A:$A,0)),IF(EC$1=INDEX('Valo FX'!$R:$R,MATCH($A7,'Valo FX'!$A:$A,0)),INDEX(Base!$V:$V,MATCH($A7,Base!$A:$A,0)),0)))</f>
        <v>10.986879999999999</v>
      </c>
      <c r="ED7" s="21">
        <f>IF(ED$1&lt;INDEX('Valo FX'!$Q:$Q,MATCH($A7,'Valo FX'!$A:$A,0)),0,IF(ED$1&lt;INDEX('Valo FX'!$R:$R,MATCH($A7,'Valo FX'!$A:$A,0)),INDEX(Base!$U:$U,MATCH($A7,Base!$A:$A,0)),IF(ED$1=INDEX('Valo FX'!$R:$R,MATCH($A7,'Valo FX'!$A:$A,0)),INDEX(Base!$V:$V,MATCH($A7,Base!$A:$A,0)),0)))</f>
        <v>10.986879999999999</v>
      </c>
      <c r="EE7" s="21">
        <f>IF(EE$1&lt;INDEX('Valo FX'!$Q:$Q,MATCH($A7,'Valo FX'!$A:$A,0)),0,IF(EE$1&lt;INDEX('Valo FX'!$R:$R,MATCH($A7,'Valo FX'!$A:$A,0)),INDEX(Base!$U:$U,MATCH($A7,Base!$A:$A,0)),IF(EE$1=INDEX('Valo FX'!$R:$R,MATCH($A7,'Valo FX'!$A:$A,0)),INDEX(Base!$V:$V,MATCH($A7,Base!$A:$A,0)),0)))</f>
        <v>10.986879999999999</v>
      </c>
      <c r="EF7" s="21">
        <f>IF(EF$1&lt;INDEX('Valo FX'!$Q:$Q,MATCH($A7,'Valo FX'!$A:$A,0)),0,IF(EF$1&lt;INDEX('Valo FX'!$R:$R,MATCH($A7,'Valo FX'!$A:$A,0)),INDEX(Base!$U:$U,MATCH($A7,Base!$A:$A,0)),IF(EF$1=INDEX('Valo FX'!$R:$R,MATCH($A7,'Valo FX'!$A:$A,0)),INDEX(Base!$V:$V,MATCH($A7,Base!$A:$A,0)),0)))</f>
        <v>10.986879999999999</v>
      </c>
      <c r="EG7" s="21">
        <f>IF(EG$1&lt;INDEX('Valo FX'!$Q:$Q,MATCH($A7,'Valo FX'!$A:$A,0)),0,IF(EG$1&lt;INDEX('Valo FX'!$R:$R,MATCH($A7,'Valo FX'!$A:$A,0)),INDEX(Base!$U:$U,MATCH($A7,Base!$A:$A,0)),IF(EG$1=INDEX('Valo FX'!$R:$R,MATCH($A7,'Valo FX'!$A:$A,0)),INDEX(Base!$V:$V,MATCH($A7,Base!$A:$A,0)),0)))</f>
        <v>10.986879999999999</v>
      </c>
      <c r="EH7" s="21">
        <f>IF(EH$1&lt;INDEX('Valo FX'!$Q:$Q,MATCH($A7,'Valo FX'!$A:$A,0)),0,IF(EH$1&lt;INDEX('Valo FX'!$R:$R,MATCH($A7,'Valo FX'!$A:$A,0)),INDEX(Base!$U:$U,MATCH($A7,Base!$A:$A,0)),IF(EH$1=INDEX('Valo FX'!$R:$R,MATCH($A7,'Valo FX'!$A:$A,0)),INDEX(Base!$V:$V,MATCH($A7,Base!$A:$A,0)),0)))</f>
        <v>10.986879999999999</v>
      </c>
      <c r="EI7" s="21">
        <f>IF(EI$1&lt;INDEX('Valo FX'!$Q:$Q,MATCH($A7,'Valo FX'!$A:$A,0)),0,IF(EI$1&lt;INDEX('Valo FX'!$R:$R,MATCH($A7,'Valo FX'!$A:$A,0)),INDEX(Base!$U:$U,MATCH($A7,Base!$A:$A,0)),IF(EI$1=INDEX('Valo FX'!$R:$R,MATCH($A7,'Valo FX'!$A:$A,0)),INDEX(Base!$V:$V,MATCH($A7,Base!$A:$A,0)),0)))</f>
        <v>10.986879999999999</v>
      </c>
      <c r="EJ7" s="21">
        <f>IF(EJ$1&lt;INDEX('Valo FX'!$Q:$Q,MATCH($A7,'Valo FX'!$A:$A,0)),0,IF(EJ$1&lt;INDEX('Valo FX'!$R:$R,MATCH($A7,'Valo FX'!$A:$A,0)),INDEX(Base!$U:$U,MATCH($A7,Base!$A:$A,0)),IF(EJ$1=INDEX('Valo FX'!$R:$R,MATCH($A7,'Valo FX'!$A:$A,0)),INDEX(Base!$V:$V,MATCH($A7,Base!$A:$A,0)),0)))</f>
        <v>10.986879999999999</v>
      </c>
      <c r="EK7" s="21">
        <f>IF(EK$1&lt;INDEX('Valo FX'!$Q:$Q,MATCH($A7,'Valo FX'!$A:$A,0)),0,IF(EK$1&lt;INDEX('Valo FX'!$R:$R,MATCH($A7,'Valo FX'!$A:$A,0)),INDEX(Base!$U:$U,MATCH($A7,Base!$A:$A,0)),IF(EK$1=INDEX('Valo FX'!$R:$R,MATCH($A7,'Valo FX'!$A:$A,0)),INDEX(Base!$V:$V,MATCH($A7,Base!$A:$A,0)),0)))</f>
        <v>10.986879999999999</v>
      </c>
      <c r="EL7" s="21">
        <f>IF(EL$1&lt;INDEX('Valo FX'!$Q:$Q,MATCH($A7,'Valo FX'!$A:$A,0)),0,IF(EL$1&lt;INDEX('Valo FX'!$R:$R,MATCH($A7,'Valo FX'!$A:$A,0)),INDEX(Base!$U:$U,MATCH($A7,Base!$A:$A,0)),IF(EL$1=INDEX('Valo FX'!$R:$R,MATCH($A7,'Valo FX'!$A:$A,0)),INDEX(Base!$V:$V,MATCH($A7,Base!$A:$A,0)),0)))</f>
        <v>10.986879999999999</v>
      </c>
      <c r="EM7" s="21">
        <f>IF(EM$1&lt;INDEX('Valo FX'!$Q:$Q,MATCH($A7,'Valo FX'!$A:$A,0)),0,IF(EM$1&lt;INDEX('Valo FX'!$R:$R,MATCH($A7,'Valo FX'!$A:$A,0)),INDEX(Base!$U:$U,MATCH($A7,Base!$A:$A,0)),IF(EM$1=INDEX('Valo FX'!$R:$R,MATCH($A7,'Valo FX'!$A:$A,0)),INDEX(Base!$V:$V,MATCH($A7,Base!$A:$A,0)),0)))</f>
        <v>10.986879999999999</v>
      </c>
      <c r="EN7" s="21">
        <f>IF(EN$1&lt;INDEX('Valo FX'!$Q:$Q,MATCH($A7,'Valo FX'!$A:$A,0)),0,IF(EN$1&lt;INDEX('Valo FX'!$R:$R,MATCH($A7,'Valo FX'!$A:$A,0)),INDEX(Base!$U:$U,MATCH($A7,Base!$A:$A,0)),IF(EN$1=INDEX('Valo FX'!$R:$R,MATCH($A7,'Valo FX'!$A:$A,0)),INDEX(Base!$V:$V,MATCH($A7,Base!$A:$A,0)),0)))</f>
        <v>10.986879999999999</v>
      </c>
      <c r="EO7" s="21">
        <f>IF(EO$1&lt;INDEX('Valo FX'!$Q:$Q,MATCH($A7,'Valo FX'!$A:$A,0)),0,IF(EO$1&lt;INDEX('Valo FX'!$R:$R,MATCH($A7,'Valo FX'!$A:$A,0)),INDEX(Base!$U:$U,MATCH($A7,Base!$A:$A,0)),IF(EO$1=INDEX('Valo FX'!$R:$R,MATCH($A7,'Valo FX'!$A:$A,0)),INDEX(Base!$V:$V,MATCH($A7,Base!$A:$A,0)),0)))</f>
        <v>10.986879999999999</v>
      </c>
      <c r="EP7" s="21">
        <f>IF(EP$1&lt;INDEX('Valo FX'!$Q:$Q,MATCH($A7,'Valo FX'!$A:$A,0)),0,IF(EP$1&lt;INDEX('Valo FX'!$R:$R,MATCH($A7,'Valo FX'!$A:$A,0)),INDEX(Base!$U:$U,MATCH($A7,Base!$A:$A,0)),IF(EP$1=INDEX('Valo FX'!$R:$R,MATCH($A7,'Valo FX'!$A:$A,0)),INDEX(Base!$V:$V,MATCH($A7,Base!$A:$A,0)),0)))</f>
        <v>10.986879999999999</v>
      </c>
      <c r="EQ7" s="21">
        <f>IF(EQ$1&lt;INDEX('Valo FX'!$Q:$Q,MATCH($A7,'Valo FX'!$A:$A,0)),0,IF(EQ$1&lt;INDEX('Valo FX'!$R:$R,MATCH($A7,'Valo FX'!$A:$A,0)),INDEX(Base!$U:$U,MATCH($A7,Base!$A:$A,0)),IF(EQ$1=INDEX('Valo FX'!$R:$R,MATCH($A7,'Valo FX'!$A:$A,0)),INDEX(Base!$V:$V,MATCH($A7,Base!$A:$A,0)),0)))</f>
        <v>10.986879999999999</v>
      </c>
      <c r="ER7" s="21">
        <f>IF(ER$1&lt;INDEX('Valo FX'!$Q:$Q,MATCH($A7,'Valo FX'!$A:$A,0)),0,IF(ER$1&lt;INDEX('Valo FX'!$R:$R,MATCH($A7,'Valo FX'!$A:$A,0)),INDEX(Base!$U:$U,MATCH($A7,Base!$A:$A,0)),IF(ER$1=INDEX('Valo FX'!$R:$R,MATCH($A7,'Valo FX'!$A:$A,0)),INDEX(Base!$V:$V,MATCH($A7,Base!$A:$A,0)),0)))</f>
        <v>10.986879999999999</v>
      </c>
      <c r="ES7" s="21">
        <f>IF(ES$1&lt;INDEX('Valo FX'!$Q:$Q,MATCH($A7,'Valo FX'!$A:$A,0)),0,IF(ES$1&lt;INDEX('Valo FX'!$R:$R,MATCH($A7,'Valo FX'!$A:$A,0)),INDEX(Base!$U:$U,MATCH($A7,Base!$A:$A,0)),IF(ES$1=INDEX('Valo FX'!$R:$R,MATCH($A7,'Valo FX'!$A:$A,0)),INDEX(Base!$V:$V,MATCH($A7,Base!$A:$A,0)),0)))</f>
        <v>10.986879999999999</v>
      </c>
      <c r="ET7" s="21">
        <f>IF(ET$1&lt;INDEX('Valo FX'!$Q:$Q,MATCH($A7,'Valo FX'!$A:$A,0)),0,IF(ET$1&lt;INDEX('Valo FX'!$R:$R,MATCH($A7,'Valo FX'!$A:$A,0)),INDEX(Base!$U:$U,MATCH($A7,Base!$A:$A,0)),IF(ET$1=INDEX('Valo FX'!$R:$R,MATCH($A7,'Valo FX'!$A:$A,0)),INDEX(Base!$V:$V,MATCH($A7,Base!$A:$A,0)),0)))</f>
        <v>10.986879999999999</v>
      </c>
      <c r="EU7" s="21">
        <f>IF(EU$1&lt;INDEX('Valo FX'!$Q:$Q,MATCH($A7,'Valo FX'!$A:$A,0)),0,IF(EU$1&lt;INDEX('Valo FX'!$R:$R,MATCH($A7,'Valo FX'!$A:$A,0)),INDEX(Base!$U:$U,MATCH($A7,Base!$A:$A,0)),IF(EU$1=INDEX('Valo FX'!$R:$R,MATCH($A7,'Valo FX'!$A:$A,0)),INDEX(Base!$V:$V,MATCH($A7,Base!$A:$A,0)),0)))</f>
        <v>10.986879999999999</v>
      </c>
      <c r="EV7" s="21">
        <f>IF(EV$1&lt;INDEX('Valo FX'!$Q:$Q,MATCH($A7,'Valo FX'!$A:$A,0)),0,IF(EV$1&lt;INDEX('Valo FX'!$R:$R,MATCH($A7,'Valo FX'!$A:$A,0)),INDEX(Base!$U:$U,MATCH($A7,Base!$A:$A,0)),IF(EV$1=INDEX('Valo FX'!$R:$R,MATCH($A7,'Valo FX'!$A:$A,0)),INDEX(Base!$V:$V,MATCH($A7,Base!$A:$A,0)),0)))</f>
        <v>10.986879999999999</v>
      </c>
      <c r="EW7" s="21">
        <f>IF(EW$1&lt;INDEX('Valo FX'!$Q:$Q,MATCH($A7,'Valo FX'!$A:$A,0)),0,IF(EW$1&lt;INDEX('Valo FX'!$R:$R,MATCH($A7,'Valo FX'!$A:$A,0)),INDEX(Base!$U:$U,MATCH($A7,Base!$A:$A,0)),IF(EW$1=INDEX('Valo FX'!$R:$R,MATCH($A7,'Valo FX'!$A:$A,0)),INDEX(Base!$V:$V,MATCH($A7,Base!$A:$A,0)),0)))</f>
        <v>10.986879999999999</v>
      </c>
      <c r="EX7" s="21">
        <f>IF(EX$1&lt;INDEX('Valo FX'!$Q:$Q,MATCH($A7,'Valo FX'!$A:$A,0)),0,IF(EX$1&lt;INDEX('Valo FX'!$R:$R,MATCH($A7,'Valo FX'!$A:$A,0)),INDEX(Base!$U:$U,MATCH($A7,Base!$A:$A,0)),IF(EX$1=INDEX('Valo FX'!$R:$R,MATCH($A7,'Valo FX'!$A:$A,0)),INDEX(Base!$V:$V,MATCH($A7,Base!$A:$A,0)),0)))</f>
        <v>10.986879999999999</v>
      </c>
      <c r="EY7" s="21">
        <f>IF(EY$1&lt;INDEX('Valo FX'!$Q:$Q,MATCH($A7,'Valo FX'!$A:$A,0)),0,IF(EY$1&lt;INDEX('Valo FX'!$R:$R,MATCH($A7,'Valo FX'!$A:$A,0)),INDEX(Base!$U:$U,MATCH($A7,Base!$A:$A,0)),IF(EY$1=INDEX('Valo FX'!$R:$R,MATCH($A7,'Valo FX'!$A:$A,0)),INDEX(Base!$V:$V,MATCH($A7,Base!$A:$A,0)),0)))</f>
        <v>10.986879999999999</v>
      </c>
      <c r="EZ7" s="21">
        <f>IF(EZ$1&lt;INDEX('Valo FX'!$Q:$Q,MATCH($A7,'Valo FX'!$A:$A,0)),0,IF(EZ$1&lt;INDEX('Valo FX'!$R:$R,MATCH($A7,'Valo FX'!$A:$A,0)),INDEX(Base!$U:$U,MATCH($A7,Base!$A:$A,0)),IF(EZ$1=INDEX('Valo FX'!$R:$R,MATCH($A7,'Valo FX'!$A:$A,0)),INDEX(Base!$V:$V,MATCH($A7,Base!$A:$A,0)),0)))</f>
        <v>10.986879999999999</v>
      </c>
      <c r="FA7" s="21">
        <f>IF(FA$1&lt;INDEX('Valo FX'!$Q:$Q,MATCH($A7,'Valo FX'!$A:$A,0)),0,IF(FA$1&lt;INDEX('Valo FX'!$R:$R,MATCH($A7,'Valo FX'!$A:$A,0)),INDEX(Base!$U:$U,MATCH($A7,Base!$A:$A,0)),IF(FA$1=INDEX('Valo FX'!$R:$R,MATCH($A7,'Valo FX'!$A:$A,0)),INDEX(Base!$V:$V,MATCH($A7,Base!$A:$A,0)),0)))</f>
        <v>10.986879999999999</v>
      </c>
      <c r="FB7" s="21">
        <f>IF(FB$1&lt;INDEX('Valo FX'!$Q:$Q,MATCH($A7,'Valo FX'!$A:$A,0)),0,IF(FB$1&lt;INDEX('Valo FX'!$R:$R,MATCH($A7,'Valo FX'!$A:$A,0)),INDEX(Base!$U:$U,MATCH($A7,Base!$A:$A,0)),IF(FB$1=INDEX('Valo FX'!$R:$R,MATCH($A7,'Valo FX'!$A:$A,0)),INDEX(Base!$V:$V,MATCH($A7,Base!$A:$A,0)),0)))</f>
        <v>10.986879999999999</v>
      </c>
      <c r="FC7" s="21">
        <f>IF(FC$1&lt;INDEX('Valo FX'!$Q:$Q,MATCH($A7,'Valo FX'!$A:$A,0)),0,IF(FC$1&lt;INDEX('Valo FX'!$R:$R,MATCH($A7,'Valo FX'!$A:$A,0)),INDEX(Base!$U:$U,MATCH($A7,Base!$A:$A,0)),IF(FC$1=INDEX('Valo FX'!$R:$R,MATCH($A7,'Valo FX'!$A:$A,0)),INDEX(Base!$V:$V,MATCH($A7,Base!$A:$A,0)),0)))</f>
        <v>10.986879999999999</v>
      </c>
      <c r="FD7" s="21">
        <f>IF(FD$1&lt;INDEX('Valo FX'!$Q:$Q,MATCH($A7,'Valo FX'!$A:$A,0)),0,IF(FD$1&lt;INDEX('Valo FX'!$R:$R,MATCH($A7,'Valo FX'!$A:$A,0)),INDEX(Base!$U:$U,MATCH($A7,Base!$A:$A,0)),IF(FD$1=INDEX('Valo FX'!$R:$R,MATCH($A7,'Valo FX'!$A:$A,0)),INDEX(Base!$V:$V,MATCH($A7,Base!$A:$A,0)),0)))</f>
        <v>10.986879999999999</v>
      </c>
      <c r="FE7" s="21">
        <f>IF(FE$1&lt;INDEX('Valo FX'!$Q:$Q,MATCH($A7,'Valo FX'!$A:$A,0)),0,IF(FE$1&lt;INDEX('Valo FX'!$R:$R,MATCH($A7,'Valo FX'!$A:$A,0)),INDEX(Base!$U:$U,MATCH($A7,Base!$A:$A,0)),IF(FE$1=INDEX('Valo FX'!$R:$R,MATCH($A7,'Valo FX'!$A:$A,0)),INDEX(Base!$V:$V,MATCH($A7,Base!$A:$A,0)),0)))</f>
        <v>10.986879999999999</v>
      </c>
      <c r="FF7" s="21">
        <f>IF(FF$1&lt;INDEX('Valo FX'!$Q:$Q,MATCH($A7,'Valo FX'!$A:$A,0)),0,IF(FF$1&lt;INDEX('Valo FX'!$R:$R,MATCH($A7,'Valo FX'!$A:$A,0)),INDEX(Base!$U:$U,MATCH($A7,Base!$A:$A,0)),IF(FF$1=INDEX('Valo FX'!$R:$R,MATCH($A7,'Valo FX'!$A:$A,0)),INDEX(Base!$V:$V,MATCH($A7,Base!$A:$A,0)),0)))</f>
        <v>10.986879999999999</v>
      </c>
      <c r="FG7" s="21">
        <f>IF(FG$1&lt;INDEX('Valo FX'!$Q:$Q,MATCH($A7,'Valo FX'!$A:$A,0)),0,IF(FG$1&lt;INDEX('Valo FX'!$R:$R,MATCH($A7,'Valo FX'!$A:$A,0)),INDEX(Base!$U:$U,MATCH($A7,Base!$A:$A,0)),IF(FG$1=INDEX('Valo FX'!$R:$R,MATCH($A7,'Valo FX'!$A:$A,0)),INDEX(Base!$V:$V,MATCH($A7,Base!$A:$A,0)),0)))</f>
        <v>10.986879999999999</v>
      </c>
      <c r="FH7" s="21">
        <f>IF(FH$1&lt;INDEX('Valo FX'!$Q:$Q,MATCH($A7,'Valo FX'!$A:$A,0)),0,IF(FH$1&lt;INDEX('Valo FX'!$R:$R,MATCH($A7,'Valo FX'!$A:$A,0)),INDEX(Base!$U:$U,MATCH($A7,Base!$A:$A,0)),IF(FH$1=INDEX('Valo FX'!$R:$R,MATCH($A7,'Valo FX'!$A:$A,0)),INDEX(Base!$V:$V,MATCH($A7,Base!$A:$A,0)),0)))</f>
        <v>10.986879999999999</v>
      </c>
      <c r="FI7" s="21">
        <f>IF(FI$1&lt;INDEX('Valo FX'!$Q:$Q,MATCH($A7,'Valo FX'!$A:$A,0)),0,IF(FI$1&lt;INDEX('Valo FX'!$R:$R,MATCH($A7,'Valo FX'!$A:$A,0)),INDEX(Base!$U:$U,MATCH($A7,Base!$A:$A,0)),IF(FI$1=INDEX('Valo FX'!$R:$R,MATCH($A7,'Valo FX'!$A:$A,0)),INDEX(Base!$V:$V,MATCH($A7,Base!$A:$A,0)),0)))</f>
        <v>10.986879999999999</v>
      </c>
      <c r="FJ7" s="21">
        <f>IF(FJ$1&lt;INDEX('Valo FX'!$Q:$Q,MATCH($A7,'Valo FX'!$A:$A,0)),0,IF(FJ$1&lt;INDEX('Valo FX'!$R:$R,MATCH($A7,'Valo FX'!$A:$A,0)),INDEX(Base!$U:$U,MATCH($A7,Base!$A:$A,0)),IF(FJ$1=INDEX('Valo FX'!$R:$R,MATCH($A7,'Valo FX'!$A:$A,0)),INDEX(Base!$V:$V,MATCH($A7,Base!$A:$A,0)),0)))</f>
        <v>10.986879999999999</v>
      </c>
      <c r="FK7" s="21">
        <f>IF(FK$1&lt;INDEX('Valo FX'!$Q:$Q,MATCH($A7,'Valo FX'!$A:$A,0)),0,IF(FK$1&lt;INDEX('Valo FX'!$R:$R,MATCH($A7,'Valo FX'!$A:$A,0)),INDEX(Base!$U:$U,MATCH($A7,Base!$A:$A,0)),IF(FK$1=INDEX('Valo FX'!$R:$R,MATCH($A7,'Valo FX'!$A:$A,0)),INDEX(Base!$V:$V,MATCH($A7,Base!$A:$A,0)),0)))</f>
        <v>10.986879999999999</v>
      </c>
      <c r="FL7" s="21">
        <f>IF(FL$1&lt;INDEX('Valo FX'!$Q:$Q,MATCH($A7,'Valo FX'!$A:$A,0)),0,IF(FL$1&lt;INDEX('Valo FX'!$R:$R,MATCH($A7,'Valo FX'!$A:$A,0)),INDEX(Base!$U:$U,MATCH($A7,Base!$A:$A,0)),IF(FL$1=INDEX('Valo FX'!$R:$R,MATCH($A7,'Valo FX'!$A:$A,0)),INDEX(Base!$V:$V,MATCH($A7,Base!$A:$A,0)),0)))</f>
        <v>10.986879999999999</v>
      </c>
      <c r="FM7" s="21">
        <f>IF(FM$1&lt;INDEX('Valo FX'!$Q:$Q,MATCH($A7,'Valo FX'!$A:$A,0)),0,IF(FM$1&lt;INDEX('Valo FX'!$R:$R,MATCH($A7,'Valo FX'!$A:$A,0)),INDEX(Base!$U:$U,MATCH($A7,Base!$A:$A,0)),IF(FM$1=INDEX('Valo FX'!$R:$R,MATCH($A7,'Valo FX'!$A:$A,0)),INDEX(Base!$V:$V,MATCH($A7,Base!$A:$A,0)),0)))</f>
        <v>10.986879999999999</v>
      </c>
      <c r="FN7" s="21">
        <f>IF(FN$1&lt;INDEX('Valo FX'!$Q:$Q,MATCH($A7,'Valo FX'!$A:$A,0)),0,IF(FN$1&lt;INDEX('Valo FX'!$R:$R,MATCH($A7,'Valo FX'!$A:$A,0)),INDEX(Base!$U:$U,MATCH($A7,Base!$A:$A,0)),IF(FN$1=INDEX('Valo FX'!$R:$R,MATCH($A7,'Valo FX'!$A:$A,0)),INDEX(Base!$V:$V,MATCH($A7,Base!$A:$A,0)),0)))</f>
        <v>10.986879999999999</v>
      </c>
      <c r="FO7" s="21">
        <f>IF(FO$1&lt;INDEX('Valo FX'!$Q:$Q,MATCH($A7,'Valo FX'!$A:$A,0)),0,IF(FO$1&lt;INDEX('Valo FX'!$R:$R,MATCH($A7,'Valo FX'!$A:$A,0)),INDEX(Base!$U:$U,MATCH($A7,Base!$A:$A,0)),IF(FO$1=INDEX('Valo FX'!$R:$R,MATCH($A7,'Valo FX'!$A:$A,0)),INDEX(Base!$V:$V,MATCH($A7,Base!$A:$A,0)),0)))</f>
        <v>10.986879999999999</v>
      </c>
      <c r="FP7" s="21">
        <f>IF(FP$1&lt;INDEX('Valo FX'!$Q:$Q,MATCH($A7,'Valo FX'!$A:$A,0)),0,IF(FP$1&lt;INDEX('Valo FX'!$R:$R,MATCH($A7,'Valo FX'!$A:$A,0)),INDEX(Base!$U:$U,MATCH($A7,Base!$A:$A,0)),IF(FP$1=INDEX('Valo FX'!$R:$R,MATCH($A7,'Valo FX'!$A:$A,0)),INDEX(Base!$V:$V,MATCH($A7,Base!$A:$A,0)),0)))</f>
        <v>10.986879999999999</v>
      </c>
      <c r="FQ7" s="21">
        <f>IF(FQ$1&lt;INDEX('Valo FX'!$Q:$Q,MATCH($A7,'Valo FX'!$A:$A,0)),0,IF(FQ$1&lt;INDEX('Valo FX'!$R:$R,MATCH($A7,'Valo FX'!$A:$A,0)),INDEX(Base!$U:$U,MATCH($A7,Base!$A:$A,0)),IF(FQ$1=INDEX('Valo FX'!$R:$R,MATCH($A7,'Valo FX'!$A:$A,0)),INDEX(Base!$V:$V,MATCH($A7,Base!$A:$A,0)),0)))</f>
        <v>10.986879999999999</v>
      </c>
      <c r="FR7" s="21">
        <f>IF(FR$1&lt;INDEX('Valo FX'!$Q:$Q,MATCH($A7,'Valo FX'!$A:$A,0)),0,IF(FR$1&lt;INDEX('Valo FX'!$R:$R,MATCH($A7,'Valo FX'!$A:$A,0)),INDEX(Base!$U:$U,MATCH($A7,Base!$A:$A,0)),IF(FR$1=INDEX('Valo FX'!$R:$R,MATCH($A7,'Valo FX'!$A:$A,0)),INDEX(Base!$V:$V,MATCH($A7,Base!$A:$A,0)),0)))</f>
        <v>10.986879999999999</v>
      </c>
      <c r="FS7" s="21">
        <f>IF(FS$1&lt;INDEX('Valo FX'!$Q:$Q,MATCH($A7,'Valo FX'!$A:$A,0)),0,IF(FS$1&lt;INDEX('Valo FX'!$R:$R,MATCH($A7,'Valo FX'!$A:$A,0)),INDEX(Base!$U:$U,MATCH($A7,Base!$A:$A,0)),IF(FS$1=INDEX('Valo FX'!$R:$R,MATCH($A7,'Valo FX'!$A:$A,0)),INDEX(Base!$V:$V,MATCH($A7,Base!$A:$A,0)),0)))</f>
        <v>10.986879999999999</v>
      </c>
      <c r="FT7" s="21">
        <f>IF(FT$1&lt;INDEX('Valo FX'!$Q:$Q,MATCH($A7,'Valo FX'!$A:$A,0)),0,IF(FT$1&lt;INDEX('Valo FX'!$R:$R,MATCH($A7,'Valo FX'!$A:$A,0)),INDEX(Base!$U:$U,MATCH($A7,Base!$A:$A,0)),IF(FT$1=INDEX('Valo FX'!$R:$R,MATCH($A7,'Valo FX'!$A:$A,0)),INDEX(Base!$V:$V,MATCH($A7,Base!$A:$A,0)),0)))</f>
        <v>10.986879999999999</v>
      </c>
      <c r="FU7" s="21">
        <f>IF(FU$1&lt;INDEX('Valo FX'!$Q:$Q,MATCH($A7,'Valo FX'!$A:$A,0)),0,IF(FU$1&lt;INDEX('Valo FX'!$R:$R,MATCH($A7,'Valo FX'!$A:$A,0)),INDEX(Base!$U:$U,MATCH($A7,Base!$A:$A,0)),IF(FU$1=INDEX('Valo FX'!$R:$R,MATCH($A7,'Valo FX'!$A:$A,0)),INDEX(Base!$V:$V,MATCH($A7,Base!$A:$A,0)),0)))</f>
        <v>10.986879999999999</v>
      </c>
      <c r="FV7" s="21">
        <f>IF(FV$1&lt;INDEX('Valo FX'!$Q:$Q,MATCH($A7,'Valo FX'!$A:$A,0)),0,IF(FV$1&lt;INDEX('Valo FX'!$R:$R,MATCH($A7,'Valo FX'!$A:$A,0)),INDEX(Base!$U:$U,MATCH($A7,Base!$A:$A,0)),IF(FV$1=INDEX('Valo FX'!$R:$R,MATCH($A7,'Valo FX'!$A:$A,0)),INDEX(Base!$V:$V,MATCH($A7,Base!$A:$A,0)),0)))</f>
        <v>10.986879999999999</v>
      </c>
      <c r="FW7" s="21">
        <f>IF(FW$1&lt;INDEX('Valo FX'!$Q:$Q,MATCH($A7,'Valo FX'!$A:$A,0)),0,IF(FW$1&lt;INDEX('Valo FX'!$R:$R,MATCH($A7,'Valo FX'!$A:$A,0)),INDEX(Base!$U:$U,MATCH($A7,Base!$A:$A,0)),IF(FW$1=INDEX('Valo FX'!$R:$R,MATCH($A7,'Valo FX'!$A:$A,0)),INDEX(Base!$V:$V,MATCH($A7,Base!$A:$A,0)),0)))</f>
        <v>10.986879999999999</v>
      </c>
      <c r="FX7" s="21">
        <f>IF(FX$1&lt;INDEX('Valo FX'!$Q:$Q,MATCH($A7,'Valo FX'!$A:$A,0)),0,IF(FX$1&lt;INDEX('Valo FX'!$R:$R,MATCH($A7,'Valo FX'!$A:$A,0)),INDEX(Base!$U:$U,MATCH($A7,Base!$A:$A,0)),IF(FX$1=INDEX('Valo FX'!$R:$R,MATCH($A7,'Valo FX'!$A:$A,0)),INDEX(Base!$V:$V,MATCH($A7,Base!$A:$A,0)),0)))</f>
        <v>10.986879999999999</v>
      </c>
      <c r="FY7" s="21">
        <f>IF(FY$1&lt;INDEX('Valo FX'!$Q:$Q,MATCH($A7,'Valo FX'!$A:$A,0)),0,IF(FY$1&lt;INDEX('Valo FX'!$R:$R,MATCH($A7,'Valo FX'!$A:$A,0)),INDEX(Base!$U:$U,MATCH($A7,Base!$A:$A,0)),IF(FY$1=INDEX('Valo FX'!$R:$R,MATCH($A7,'Valo FX'!$A:$A,0)),INDEX(Base!$V:$V,MATCH($A7,Base!$A:$A,0)),0)))</f>
        <v>10.986879999999999</v>
      </c>
      <c r="FZ7" s="21">
        <f>IF(FZ$1&lt;INDEX('Valo FX'!$Q:$Q,MATCH($A7,'Valo FX'!$A:$A,0)),0,IF(FZ$1&lt;INDEX('Valo FX'!$R:$R,MATCH($A7,'Valo FX'!$A:$A,0)),INDEX(Base!$U:$U,MATCH($A7,Base!$A:$A,0)),IF(FZ$1=INDEX('Valo FX'!$R:$R,MATCH($A7,'Valo FX'!$A:$A,0)),INDEX(Base!$V:$V,MATCH($A7,Base!$A:$A,0)),0)))</f>
        <v>10.986879999999999</v>
      </c>
      <c r="GA7" s="21">
        <f>IF(GA$1&lt;INDEX('Valo FX'!$Q:$Q,MATCH($A7,'Valo FX'!$A:$A,0)),0,IF(GA$1&lt;INDEX('Valo FX'!$R:$R,MATCH($A7,'Valo FX'!$A:$A,0)),INDEX(Base!$U:$U,MATCH($A7,Base!$A:$A,0)),IF(GA$1=INDEX('Valo FX'!$R:$R,MATCH($A7,'Valo FX'!$A:$A,0)),INDEX(Base!$V:$V,MATCH($A7,Base!$A:$A,0)),0)))</f>
        <v>10.986879999999999</v>
      </c>
      <c r="GB7" s="21">
        <f>IF(GB$1&lt;INDEX('Valo FX'!$Q:$Q,MATCH($A7,'Valo FX'!$A:$A,0)),0,IF(GB$1&lt;INDEX('Valo FX'!$R:$R,MATCH($A7,'Valo FX'!$A:$A,0)),INDEX(Base!$U:$U,MATCH($A7,Base!$A:$A,0)),IF(GB$1=INDEX('Valo FX'!$R:$R,MATCH($A7,'Valo FX'!$A:$A,0)),INDEX(Base!$V:$V,MATCH($A7,Base!$A:$A,0)),0)))</f>
        <v>10.986879999999999</v>
      </c>
      <c r="GC7" s="21">
        <f>IF(GC$1&lt;INDEX('Valo FX'!$Q:$Q,MATCH($A7,'Valo FX'!$A:$A,0)),0,IF(GC$1&lt;INDEX('Valo FX'!$R:$R,MATCH($A7,'Valo FX'!$A:$A,0)),INDEX(Base!$U:$U,MATCH($A7,Base!$A:$A,0)),IF(GC$1=INDEX('Valo FX'!$R:$R,MATCH($A7,'Valo FX'!$A:$A,0)),INDEX(Base!$V:$V,MATCH($A7,Base!$A:$A,0)),0)))</f>
        <v>10.986879999999999</v>
      </c>
      <c r="GD7" s="21">
        <f>IF(GD$1&lt;INDEX('Valo FX'!$Q:$Q,MATCH($A7,'Valo FX'!$A:$A,0)),0,IF(GD$1&lt;INDEX('Valo FX'!$R:$R,MATCH($A7,'Valo FX'!$A:$A,0)),INDEX(Base!$U:$U,MATCH($A7,Base!$A:$A,0)),IF(GD$1=INDEX('Valo FX'!$R:$R,MATCH($A7,'Valo FX'!$A:$A,0)),INDEX(Base!$V:$V,MATCH($A7,Base!$A:$A,0)),0)))</f>
        <v>10.986879999999999</v>
      </c>
      <c r="GE7" s="21">
        <f>IF(GE$1&lt;INDEX('Valo FX'!$Q:$Q,MATCH($A7,'Valo FX'!$A:$A,0)),0,IF(GE$1&lt;INDEX('Valo FX'!$R:$R,MATCH($A7,'Valo FX'!$A:$A,0)),INDEX(Base!$U:$U,MATCH($A7,Base!$A:$A,0)),IF(GE$1=INDEX('Valo FX'!$R:$R,MATCH($A7,'Valo FX'!$A:$A,0)),INDEX(Base!$V:$V,MATCH($A7,Base!$A:$A,0)),0)))</f>
        <v>10.986879999999999</v>
      </c>
      <c r="GF7" s="21">
        <f>IF(GF$1&lt;INDEX('Valo FX'!$Q:$Q,MATCH($A7,'Valo FX'!$A:$A,0)),0,IF(GF$1&lt;INDEX('Valo FX'!$R:$R,MATCH($A7,'Valo FX'!$A:$A,0)),INDEX(Base!$U:$U,MATCH($A7,Base!$A:$A,0)),IF(GF$1=INDEX('Valo FX'!$R:$R,MATCH($A7,'Valo FX'!$A:$A,0)),INDEX(Base!$V:$V,MATCH($A7,Base!$A:$A,0)),0)))</f>
        <v>10.986879999999999</v>
      </c>
      <c r="GG7" s="21">
        <f>IF(GG$1&lt;INDEX('Valo FX'!$Q:$Q,MATCH($A7,'Valo FX'!$A:$A,0)),0,IF(GG$1&lt;INDEX('Valo FX'!$R:$R,MATCH($A7,'Valo FX'!$A:$A,0)),INDEX(Base!$U:$U,MATCH($A7,Base!$A:$A,0)),IF(GG$1=INDEX('Valo FX'!$R:$R,MATCH($A7,'Valo FX'!$A:$A,0)),INDEX(Base!$V:$V,MATCH($A7,Base!$A:$A,0)),0)))</f>
        <v>10.986879999999999</v>
      </c>
      <c r="GH7" s="21">
        <f>IF(GH$1&lt;INDEX('Valo FX'!$Q:$Q,MATCH($A7,'Valo FX'!$A:$A,0)),0,IF(GH$1&lt;INDEX('Valo FX'!$R:$R,MATCH($A7,'Valo FX'!$A:$A,0)),INDEX(Base!$U:$U,MATCH($A7,Base!$A:$A,0)),IF(GH$1=INDEX('Valo FX'!$R:$R,MATCH($A7,'Valo FX'!$A:$A,0)),INDEX(Base!$V:$V,MATCH($A7,Base!$A:$A,0)),0)))</f>
        <v>10.986879999999999</v>
      </c>
      <c r="GI7" s="21">
        <f>IF(GI$1&lt;INDEX('Valo FX'!$Q:$Q,MATCH($A7,'Valo FX'!$A:$A,0)),0,IF(GI$1&lt;INDEX('Valo FX'!$R:$R,MATCH($A7,'Valo FX'!$A:$A,0)),INDEX(Base!$U:$U,MATCH($A7,Base!$A:$A,0)),IF(GI$1=INDEX('Valo FX'!$R:$R,MATCH($A7,'Valo FX'!$A:$A,0)),INDEX(Base!$V:$V,MATCH($A7,Base!$A:$A,0)),0)))</f>
        <v>10.986879999999999</v>
      </c>
      <c r="GJ7" s="21">
        <f>IF(GJ$1&lt;INDEX('Valo FX'!$Q:$Q,MATCH($A7,'Valo FX'!$A:$A,0)),0,IF(GJ$1&lt;INDEX('Valo FX'!$R:$R,MATCH($A7,'Valo FX'!$A:$A,0)),INDEX(Base!$U:$U,MATCH($A7,Base!$A:$A,0)),IF(GJ$1=INDEX('Valo FX'!$R:$R,MATCH($A7,'Valo FX'!$A:$A,0)),INDEX(Base!$V:$V,MATCH($A7,Base!$A:$A,0)),0)))</f>
        <v>10.986879999999999</v>
      </c>
      <c r="GK7" s="21">
        <f>IF(GK$1&lt;INDEX('Valo FX'!$Q:$Q,MATCH($A7,'Valo FX'!$A:$A,0)),0,IF(GK$1&lt;INDEX('Valo FX'!$R:$R,MATCH($A7,'Valo FX'!$A:$A,0)),INDEX(Base!$U:$U,MATCH($A7,Base!$A:$A,0)),IF(GK$1=INDEX('Valo FX'!$R:$R,MATCH($A7,'Valo FX'!$A:$A,0)),INDEX(Base!$V:$V,MATCH($A7,Base!$A:$A,0)),0)))</f>
        <v>10.986879999999999</v>
      </c>
      <c r="GL7" s="21">
        <f>IF(GL$1&lt;INDEX('Valo FX'!$Q:$Q,MATCH($A7,'Valo FX'!$A:$A,0)),0,IF(GL$1&lt;INDEX('Valo FX'!$R:$R,MATCH($A7,'Valo FX'!$A:$A,0)),INDEX(Base!$U:$U,MATCH($A7,Base!$A:$A,0)),IF(GL$1=INDEX('Valo FX'!$R:$R,MATCH($A7,'Valo FX'!$A:$A,0)),INDEX(Base!$V:$V,MATCH($A7,Base!$A:$A,0)),0)))</f>
        <v>10.986879999999999</v>
      </c>
      <c r="GM7" s="21">
        <f>IF(GM$1&lt;INDEX('Valo FX'!$Q:$Q,MATCH($A7,'Valo FX'!$A:$A,0)),0,IF(GM$1&lt;INDEX('Valo FX'!$R:$R,MATCH($A7,'Valo FX'!$A:$A,0)),INDEX(Base!$U:$U,MATCH($A7,Base!$A:$A,0)),IF(GM$1=INDEX('Valo FX'!$R:$R,MATCH($A7,'Valo FX'!$A:$A,0)),INDEX(Base!$V:$V,MATCH($A7,Base!$A:$A,0)),0)))</f>
        <v>10.986879999999999</v>
      </c>
      <c r="GN7" s="21">
        <f>IF(GN$1&lt;INDEX('Valo FX'!$Q:$Q,MATCH($A7,'Valo FX'!$A:$A,0)),0,IF(GN$1&lt;INDEX('Valo FX'!$R:$R,MATCH($A7,'Valo FX'!$A:$A,0)),INDEX(Base!$U:$U,MATCH($A7,Base!$A:$A,0)),IF(GN$1=INDEX('Valo FX'!$R:$R,MATCH($A7,'Valo FX'!$A:$A,0)),INDEX(Base!$V:$V,MATCH($A7,Base!$A:$A,0)),0)))</f>
        <v>10.986879999999999</v>
      </c>
      <c r="GO7" s="21">
        <f>IF(GO$1&lt;INDEX('Valo FX'!$Q:$Q,MATCH($A7,'Valo FX'!$A:$A,0)),0,IF(GO$1&lt;INDEX('Valo FX'!$R:$R,MATCH($A7,'Valo FX'!$A:$A,0)),INDEX(Base!$U:$U,MATCH($A7,Base!$A:$A,0)),IF(GO$1=INDEX('Valo FX'!$R:$R,MATCH($A7,'Valo FX'!$A:$A,0)),INDEX(Base!$V:$V,MATCH($A7,Base!$A:$A,0)),0)))</f>
        <v>10.986879999999999</v>
      </c>
      <c r="GP7" s="21">
        <f>IF(GP$1&lt;INDEX('Valo FX'!$Q:$Q,MATCH($A7,'Valo FX'!$A:$A,0)),0,IF(GP$1&lt;INDEX('Valo FX'!$R:$R,MATCH($A7,'Valo FX'!$A:$A,0)),INDEX(Base!$U:$U,MATCH($A7,Base!$A:$A,0)),IF(GP$1=INDEX('Valo FX'!$R:$R,MATCH($A7,'Valo FX'!$A:$A,0)),INDEX(Base!$V:$V,MATCH($A7,Base!$A:$A,0)),0)))</f>
        <v>10.986879999999999</v>
      </c>
      <c r="GQ7" s="21">
        <f>IF(GQ$1&lt;INDEX('Valo FX'!$Q:$Q,MATCH($A7,'Valo FX'!$A:$A,0)),0,IF(GQ$1&lt;INDEX('Valo FX'!$R:$R,MATCH($A7,'Valo FX'!$A:$A,0)),INDEX(Base!$U:$U,MATCH($A7,Base!$A:$A,0)),IF(GQ$1=INDEX('Valo FX'!$R:$R,MATCH($A7,'Valo FX'!$A:$A,0)),INDEX(Base!$V:$V,MATCH($A7,Base!$A:$A,0)),0)))</f>
        <v>10.986879999999999</v>
      </c>
      <c r="GR7" s="21">
        <f>IF(GR$1&lt;INDEX('Valo FX'!$Q:$Q,MATCH($A7,'Valo FX'!$A:$A,0)),0,IF(GR$1&lt;INDEX('Valo FX'!$R:$R,MATCH($A7,'Valo FX'!$A:$A,0)),INDEX(Base!$U:$U,MATCH($A7,Base!$A:$A,0)),IF(GR$1=INDEX('Valo FX'!$R:$R,MATCH($A7,'Valo FX'!$A:$A,0)),INDEX(Base!$V:$V,MATCH($A7,Base!$A:$A,0)),0)))</f>
        <v>10.986879999999999</v>
      </c>
      <c r="GS7" s="21">
        <f>IF(GS$1&lt;INDEX('Valo FX'!$Q:$Q,MATCH($A7,'Valo FX'!$A:$A,0)),0,IF(GS$1&lt;INDEX('Valo FX'!$R:$R,MATCH($A7,'Valo FX'!$A:$A,0)),INDEX(Base!$U:$U,MATCH($A7,Base!$A:$A,0)),IF(GS$1=INDEX('Valo FX'!$R:$R,MATCH($A7,'Valo FX'!$A:$A,0)),INDEX(Base!$V:$V,MATCH($A7,Base!$A:$A,0)),0)))</f>
        <v>10.986879999999999</v>
      </c>
      <c r="GT7" s="21">
        <f>IF(GT$1&lt;INDEX('Valo FX'!$Q:$Q,MATCH($A7,'Valo FX'!$A:$A,0)),0,IF(GT$1&lt;INDEX('Valo FX'!$R:$R,MATCH($A7,'Valo FX'!$A:$A,0)),INDEX(Base!$U:$U,MATCH($A7,Base!$A:$A,0)),IF(GT$1=INDEX('Valo FX'!$R:$R,MATCH($A7,'Valo FX'!$A:$A,0)),INDEX(Base!$V:$V,MATCH($A7,Base!$A:$A,0)),0)))</f>
        <v>10.986879999999999</v>
      </c>
      <c r="GU7" s="21">
        <f>IF(GU$1&lt;INDEX('Valo FX'!$Q:$Q,MATCH($A7,'Valo FX'!$A:$A,0)),0,IF(GU$1&lt;INDEX('Valo FX'!$R:$R,MATCH($A7,'Valo FX'!$A:$A,0)),INDEX(Base!$U:$U,MATCH($A7,Base!$A:$A,0)),IF(GU$1=INDEX('Valo FX'!$R:$R,MATCH($A7,'Valo FX'!$A:$A,0)),INDEX(Base!$V:$V,MATCH($A7,Base!$A:$A,0)),0)))</f>
        <v>10.986879999999999</v>
      </c>
      <c r="GV7" s="21">
        <f>IF(GV$1&lt;INDEX('Valo FX'!$Q:$Q,MATCH($A7,'Valo FX'!$A:$A,0)),0,IF(GV$1&lt;INDEX('Valo FX'!$R:$R,MATCH($A7,'Valo FX'!$A:$A,0)),INDEX(Base!$U:$U,MATCH($A7,Base!$A:$A,0)),IF(GV$1=INDEX('Valo FX'!$R:$R,MATCH($A7,'Valo FX'!$A:$A,0)),INDEX(Base!$V:$V,MATCH($A7,Base!$A:$A,0)),0)))</f>
        <v>10.986879999999999</v>
      </c>
      <c r="GW7" s="21">
        <f>IF(GW$1&lt;INDEX('Valo FX'!$Q:$Q,MATCH($A7,'Valo FX'!$A:$A,0)),0,IF(GW$1&lt;INDEX('Valo FX'!$R:$R,MATCH($A7,'Valo FX'!$A:$A,0)),INDEX(Base!$U:$U,MATCH($A7,Base!$A:$A,0)),IF(GW$1=INDEX('Valo FX'!$R:$R,MATCH($A7,'Valo FX'!$A:$A,0)),INDEX(Base!$V:$V,MATCH($A7,Base!$A:$A,0)),0)))</f>
        <v>10.986879999999999</v>
      </c>
      <c r="GX7" s="21">
        <f>IF(GX$1&lt;INDEX('Valo FX'!$Q:$Q,MATCH($A7,'Valo FX'!$A:$A,0)),0,IF(GX$1&lt;INDEX('Valo FX'!$R:$R,MATCH($A7,'Valo FX'!$A:$A,0)),INDEX(Base!$U:$U,MATCH($A7,Base!$A:$A,0)),IF(GX$1=INDEX('Valo FX'!$R:$R,MATCH($A7,'Valo FX'!$A:$A,0)),INDEX(Base!$V:$V,MATCH($A7,Base!$A:$A,0)),0)))</f>
        <v>10.986879999999999</v>
      </c>
      <c r="GY7" s="21">
        <f>IF(GY$1&lt;INDEX('Valo FX'!$Q:$Q,MATCH($A7,'Valo FX'!$A:$A,0)),0,IF(GY$1&lt;INDEX('Valo FX'!$R:$R,MATCH($A7,'Valo FX'!$A:$A,0)),INDEX(Base!$U:$U,MATCH($A7,Base!$A:$A,0)),IF(GY$1=INDEX('Valo FX'!$R:$R,MATCH($A7,'Valo FX'!$A:$A,0)),INDEX(Base!$V:$V,MATCH($A7,Base!$A:$A,0)),0)))</f>
        <v>10.986879999999999</v>
      </c>
      <c r="GZ7" s="21">
        <f>IF(GZ$1&lt;INDEX('Valo FX'!$Q:$Q,MATCH($A7,'Valo FX'!$A:$A,0)),0,IF(GZ$1&lt;INDEX('Valo FX'!$R:$R,MATCH($A7,'Valo FX'!$A:$A,0)),INDEX(Base!$U:$U,MATCH($A7,Base!$A:$A,0)),IF(GZ$1=INDEX('Valo FX'!$R:$R,MATCH($A7,'Valo FX'!$A:$A,0)),INDEX(Base!$V:$V,MATCH($A7,Base!$A:$A,0)),0)))</f>
        <v>10.986879999999999</v>
      </c>
      <c r="HA7" s="21">
        <f>IF(HA$1&lt;INDEX('Valo FX'!$Q:$Q,MATCH($A7,'Valo FX'!$A:$A,0)),0,IF(HA$1&lt;INDEX('Valo FX'!$R:$R,MATCH($A7,'Valo FX'!$A:$A,0)),INDEX(Base!$U:$U,MATCH($A7,Base!$A:$A,0)),IF(HA$1=INDEX('Valo FX'!$R:$R,MATCH($A7,'Valo FX'!$A:$A,0)),INDEX(Base!$V:$V,MATCH($A7,Base!$A:$A,0)),0)))</f>
        <v>10.986879999999999</v>
      </c>
      <c r="HB7" s="21">
        <f>IF(HB$1&lt;INDEX('Valo FX'!$Q:$Q,MATCH($A7,'Valo FX'!$A:$A,0)),0,IF(HB$1&lt;INDEX('Valo FX'!$R:$R,MATCH($A7,'Valo FX'!$A:$A,0)),INDEX(Base!$U:$U,MATCH($A7,Base!$A:$A,0)),IF(HB$1=INDEX('Valo FX'!$R:$R,MATCH($A7,'Valo FX'!$A:$A,0)),INDEX(Base!$V:$V,MATCH($A7,Base!$A:$A,0)),0)))</f>
        <v>10.986879999999999</v>
      </c>
      <c r="HC7" s="21">
        <f>IF(HC$1&lt;INDEX('Valo FX'!$Q:$Q,MATCH($A7,'Valo FX'!$A:$A,0)),0,IF(HC$1&lt;INDEX('Valo FX'!$R:$R,MATCH($A7,'Valo FX'!$A:$A,0)),INDEX(Base!$U:$U,MATCH($A7,Base!$A:$A,0)),IF(HC$1=INDEX('Valo FX'!$R:$R,MATCH($A7,'Valo FX'!$A:$A,0)),INDEX(Base!$V:$V,MATCH($A7,Base!$A:$A,0)),0)))</f>
        <v>10.986879999999999</v>
      </c>
      <c r="HD7" s="21">
        <f>IF(HD$1&lt;INDEX('Valo FX'!$Q:$Q,MATCH($A7,'Valo FX'!$A:$A,0)),0,IF(HD$1&lt;INDEX('Valo FX'!$R:$R,MATCH($A7,'Valo FX'!$A:$A,0)),INDEX(Base!$U:$U,MATCH($A7,Base!$A:$A,0)),IF(HD$1=INDEX('Valo FX'!$R:$R,MATCH($A7,'Valo FX'!$A:$A,0)),INDEX(Base!$V:$V,MATCH($A7,Base!$A:$A,0)),0)))</f>
        <v>10.986879999999999</v>
      </c>
      <c r="HE7" s="21">
        <f>IF(HE$1&lt;INDEX('Valo FX'!$Q:$Q,MATCH($A7,'Valo FX'!$A:$A,0)),0,IF(HE$1&lt;INDEX('Valo FX'!$R:$R,MATCH($A7,'Valo FX'!$A:$A,0)),INDEX(Base!$U:$U,MATCH($A7,Base!$A:$A,0)),IF(HE$1=INDEX('Valo FX'!$R:$R,MATCH($A7,'Valo FX'!$A:$A,0)),INDEX(Base!$V:$V,MATCH($A7,Base!$A:$A,0)),0)))</f>
        <v>10.986879999999999</v>
      </c>
      <c r="HF7" s="21">
        <f>IF(HF$1&lt;INDEX('Valo FX'!$Q:$Q,MATCH($A7,'Valo FX'!$A:$A,0)),0,IF(HF$1&lt;INDEX('Valo FX'!$R:$R,MATCH($A7,'Valo FX'!$A:$A,0)),INDEX(Base!$U:$U,MATCH($A7,Base!$A:$A,0)),IF(HF$1=INDEX('Valo FX'!$R:$R,MATCH($A7,'Valo FX'!$A:$A,0)),INDEX(Base!$V:$V,MATCH($A7,Base!$A:$A,0)),0)))</f>
        <v>10.986879999999999</v>
      </c>
      <c r="HG7" s="21">
        <f>IF(HG$1&lt;INDEX('Valo FX'!$Q:$Q,MATCH($A7,'Valo FX'!$A:$A,0)),0,IF(HG$1&lt;INDEX('Valo FX'!$R:$R,MATCH($A7,'Valo FX'!$A:$A,0)),INDEX(Base!$U:$U,MATCH($A7,Base!$A:$A,0)),IF(HG$1=INDEX('Valo FX'!$R:$R,MATCH($A7,'Valo FX'!$A:$A,0)),INDEX(Base!$V:$V,MATCH($A7,Base!$A:$A,0)),0)))</f>
        <v>10.986879999999999</v>
      </c>
      <c r="HH7" s="21">
        <f>IF(HH$1&lt;INDEX('Valo FX'!$Q:$Q,MATCH($A7,'Valo FX'!$A:$A,0)),0,IF(HH$1&lt;INDEX('Valo FX'!$R:$R,MATCH($A7,'Valo FX'!$A:$A,0)),INDEX(Base!$U:$U,MATCH($A7,Base!$A:$A,0)),IF(HH$1=INDEX('Valo FX'!$R:$R,MATCH($A7,'Valo FX'!$A:$A,0)),INDEX(Base!$V:$V,MATCH($A7,Base!$A:$A,0)),0)))</f>
        <v>10.986879999999999</v>
      </c>
      <c r="HI7" s="21">
        <f>IF(HI$1&lt;INDEX('Valo FX'!$Q:$Q,MATCH($A7,'Valo FX'!$A:$A,0)),0,IF(HI$1&lt;INDEX('Valo FX'!$R:$R,MATCH($A7,'Valo FX'!$A:$A,0)),INDEX(Base!$U:$U,MATCH($A7,Base!$A:$A,0)),IF(HI$1=INDEX('Valo FX'!$R:$R,MATCH($A7,'Valo FX'!$A:$A,0)),INDEX(Base!$V:$V,MATCH($A7,Base!$A:$A,0)),0)))</f>
        <v>10.986879999999999</v>
      </c>
      <c r="HJ7" s="21">
        <f>IF(HJ$1&lt;INDEX('Valo FX'!$Q:$Q,MATCH($A7,'Valo FX'!$A:$A,0)),0,IF(HJ$1&lt;INDEX('Valo FX'!$R:$R,MATCH($A7,'Valo FX'!$A:$A,0)),INDEX(Base!$U:$U,MATCH($A7,Base!$A:$A,0)),IF(HJ$1=INDEX('Valo FX'!$R:$R,MATCH($A7,'Valo FX'!$A:$A,0)),INDEX(Base!$V:$V,MATCH($A7,Base!$A:$A,0)),0)))</f>
        <v>10.986879999999999</v>
      </c>
      <c r="HK7" s="21">
        <f>IF(HK$1&lt;INDEX('Valo FX'!$Q:$Q,MATCH($A7,'Valo FX'!$A:$A,0)),0,IF(HK$1&lt;INDEX('Valo FX'!$R:$R,MATCH($A7,'Valo FX'!$A:$A,0)),INDEX(Base!$U:$U,MATCH($A7,Base!$A:$A,0)),IF(HK$1=INDEX('Valo FX'!$R:$R,MATCH($A7,'Valo FX'!$A:$A,0)),INDEX(Base!$V:$V,MATCH($A7,Base!$A:$A,0)),0)))</f>
        <v>10.986879999999999</v>
      </c>
      <c r="HL7" s="21">
        <f>IF(HL$1&lt;INDEX('Valo FX'!$Q:$Q,MATCH($A7,'Valo FX'!$A:$A,0)),0,IF(HL$1&lt;INDEX('Valo FX'!$R:$R,MATCH($A7,'Valo FX'!$A:$A,0)),INDEX(Base!$U:$U,MATCH($A7,Base!$A:$A,0)),IF(HL$1=INDEX('Valo FX'!$R:$R,MATCH($A7,'Valo FX'!$A:$A,0)),INDEX(Base!$V:$V,MATCH($A7,Base!$A:$A,0)),0)))</f>
        <v>10.986879999999999</v>
      </c>
      <c r="HM7" s="21">
        <f>IF(HM$1&lt;INDEX('Valo FX'!$Q:$Q,MATCH($A7,'Valo FX'!$A:$A,0)),0,IF(HM$1&lt;INDEX('Valo FX'!$R:$R,MATCH($A7,'Valo FX'!$A:$A,0)),INDEX(Base!$U:$U,MATCH($A7,Base!$A:$A,0)),IF(HM$1=INDEX('Valo FX'!$R:$R,MATCH($A7,'Valo FX'!$A:$A,0)),INDEX(Base!$V:$V,MATCH($A7,Base!$A:$A,0)),0)))</f>
        <v>10.986879999999999</v>
      </c>
      <c r="HN7" s="21">
        <f>IF(HN$1&lt;INDEX('Valo FX'!$Q:$Q,MATCH($A7,'Valo FX'!$A:$A,0)),0,IF(HN$1&lt;INDEX('Valo FX'!$R:$R,MATCH($A7,'Valo FX'!$A:$A,0)),INDEX(Base!$U:$U,MATCH($A7,Base!$A:$A,0)),IF(HN$1=INDEX('Valo FX'!$R:$R,MATCH($A7,'Valo FX'!$A:$A,0)),INDEX(Base!$V:$V,MATCH($A7,Base!$A:$A,0)),0)))</f>
        <v>10.986879999999999</v>
      </c>
      <c r="HO7" s="21">
        <f>IF(HO$1&lt;INDEX('Valo FX'!$Q:$Q,MATCH($A7,'Valo FX'!$A:$A,0)),0,IF(HO$1&lt;INDEX('Valo FX'!$R:$R,MATCH($A7,'Valo FX'!$A:$A,0)),INDEX(Base!$U:$U,MATCH($A7,Base!$A:$A,0)),IF(HO$1=INDEX('Valo FX'!$R:$R,MATCH($A7,'Valo FX'!$A:$A,0)),INDEX(Base!$V:$V,MATCH($A7,Base!$A:$A,0)),0)))</f>
        <v>10.986879999999999</v>
      </c>
      <c r="HP7" s="21">
        <f>IF(HP$1&lt;INDEX('Valo FX'!$Q:$Q,MATCH($A7,'Valo FX'!$A:$A,0)),0,IF(HP$1&lt;INDEX('Valo FX'!$R:$R,MATCH($A7,'Valo FX'!$A:$A,0)),INDEX(Base!$U:$U,MATCH($A7,Base!$A:$A,0)),IF(HP$1=INDEX('Valo FX'!$R:$R,MATCH($A7,'Valo FX'!$A:$A,0)),INDEX(Base!$V:$V,MATCH($A7,Base!$A:$A,0)),0)))</f>
        <v>10.986879999999999</v>
      </c>
      <c r="HQ7" s="21">
        <f>IF(HQ$1&lt;INDEX('Valo FX'!$Q:$Q,MATCH($A7,'Valo FX'!$A:$A,0)),0,IF(HQ$1&lt;INDEX('Valo FX'!$R:$R,MATCH($A7,'Valo FX'!$A:$A,0)),INDEX(Base!$U:$U,MATCH($A7,Base!$A:$A,0)),IF(HQ$1=INDEX('Valo FX'!$R:$R,MATCH($A7,'Valo FX'!$A:$A,0)),INDEX(Base!$V:$V,MATCH($A7,Base!$A:$A,0)),0)))</f>
        <v>10.986879999999999</v>
      </c>
      <c r="HR7" s="21">
        <f>IF(HR$1&lt;INDEX('Valo FX'!$Q:$Q,MATCH($A7,'Valo FX'!$A:$A,0)),0,IF(HR$1&lt;INDEX('Valo FX'!$R:$R,MATCH($A7,'Valo FX'!$A:$A,0)),INDEX(Base!$U:$U,MATCH($A7,Base!$A:$A,0)),IF(HR$1=INDEX('Valo FX'!$R:$R,MATCH($A7,'Valo FX'!$A:$A,0)),INDEX(Base!$V:$V,MATCH($A7,Base!$A:$A,0)),0)))</f>
        <v>10.986879999999999</v>
      </c>
      <c r="HS7" s="21">
        <f>IF(HS$1&lt;INDEX('Valo FX'!$Q:$Q,MATCH($A7,'Valo FX'!$A:$A,0)),0,IF(HS$1&lt;INDEX('Valo FX'!$R:$R,MATCH($A7,'Valo FX'!$A:$A,0)),INDEX(Base!$U:$U,MATCH($A7,Base!$A:$A,0)),IF(HS$1=INDEX('Valo FX'!$R:$R,MATCH($A7,'Valo FX'!$A:$A,0)),INDEX(Base!$V:$V,MATCH($A7,Base!$A:$A,0)),0)))</f>
        <v>10.986879999999999</v>
      </c>
      <c r="HT7" s="21">
        <f>IF(HT$1&lt;INDEX('Valo FX'!$Q:$Q,MATCH($A7,'Valo FX'!$A:$A,0)),0,IF(HT$1&lt;INDEX('Valo FX'!$R:$R,MATCH($A7,'Valo FX'!$A:$A,0)),INDEX(Base!$U:$U,MATCH($A7,Base!$A:$A,0)),IF(HT$1=INDEX('Valo FX'!$R:$R,MATCH($A7,'Valo FX'!$A:$A,0)),INDEX(Base!$V:$V,MATCH($A7,Base!$A:$A,0)),0)))</f>
        <v>10.986879999999999</v>
      </c>
      <c r="HU7" s="21">
        <f>IF(HU$1&lt;INDEX('Valo FX'!$Q:$Q,MATCH($A7,'Valo FX'!$A:$A,0)),0,IF(HU$1&lt;INDEX('Valo FX'!$R:$R,MATCH($A7,'Valo FX'!$A:$A,0)),INDEX(Base!$U:$U,MATCH($A7,Base!$A:$A,0)),IF(HU$1=INDEX('Valo FX'!$R:$R,MATCH($A7,'Valo FX'!$A:$A,0)),INDEX(Base!$V:$V,MATCH($A7,Base!$A:$A,0)),0)))</f>
        <v>10.986879999999999</v>
      </c>
      <c r="HV7" s="21">
        <f>IF(HV$1&lt;INDEX('Valo FX'!$Q:$Q,MATCH($A7,'Valo FX'!$A:$A,0)),0,IF(HV$1&lt;INDEX('Valo FX'!$R:$R,MATCH($A7,'Valo FX'!$A:$A,0)),INDEX(Base!$U:$U,MATCH($A7,Base!$A:$A,0)),IF(HV$1=INDEX('Valo FX'!$R:$R,MATCH($A7,'Valo FX'!$A:$A,0)),INDEX(Base!$V:$V,MATCH($A7,Base!$A:$A,0)),0)))</f>
        <v>10.986879999999999</v>
      </c>
      <c r="HW7" s="21">
        <f>IF(HW$1&lt;INDEX('Valo FX'!$Q:$Q,MATCH($A7,'Valo FX'!$A:$A,0)),0,IF(HW$1&lt;INDEX('Valo FX'!$R:$R,MATCH($A7,'Valo FX'!$A:$A,0)),INDEX(Base!$U:$U,MATCH($A7,Base!$A:$A,0)),IF(HW$1=INDEX('Valo FX'!$R:$R,MATCH($A7,'Valo FX'!$A:$A,0)),INDEX(Base!$V:$V,MATCH($A7,Base!$A:$A,0)),0)))</f>
        <v>10.986879999999999</v>
      </c>
      <c r="HX7" s="21">
        <f>IF(HX$1&lt;INDEX('Valo FX'!$Q:$Q,MATCH($A7,'Valo FX'!$A:$A,0)),0,IF(HX$1&lt;INDEX('Valo FX'!$R:$R,MATCH($A7,'Valo FX'!$A:$A,0)),INDEX(Base!$U:$U,MATCH($A7,Base!$A:$A,0)),IF(HX$1=INDEX('Valo FX'!$R:$R,MATCH($A7,'Valo FX'!$A:$A,0)),INDEX(Base!$V:$V,MATCH($A7,Base!$A:$A,0)),0)))</f>
        <v>10.986879999999999</v>
      </c>
      <c r="HY7" s="21">
        <f>IF(HY$1&lt;INDEX('Valo FX'!$Q:$Q,MATCH($A7,'Valo FX'!$A:$A,0)),0,IF(HY$1&lt;INDEX('Valo FX'!$R:$R,MATCH($A7,'Valo FX'!$A:$A,0)),INDEX(Base!$U:$U,MATCH($A7,Base!$A:$A,0)),IF(HY$1=INDEX('Valo FX'!$R:$R,MATCH($A7,'Valo FX'!$A:$A,0)),INDEX(Base!$V:$V,MATCH($A7,Base!$A:$A,0)),0)))</f>
        <v>10.986879999999999</v>
      </c>
      <c r="HZ7" s="21">
        <f>IF(HZ$1&lt;INDEX('Valo FX'!$Q:$Q,MATCH($A7,'Valo FX'!$A:$A,0)),0,IF(HZ$1&lt;INDEX('Valo FX'!$R:$R,MATCH($A7,'Valo FX'!$A:$A,0)),INDEX(Base!$U:$U,MATCH($A7,Base!$A:$A,0)),IF(HZ$1=INDEX('Valo FX'!$R:$R,MATCH($A7,'Valo FX'!$A:$A,0)),INDEX(Base!$V:$V,MATCH($A7,Base!$A:$A,0)),0)))</f>
        <v>10.986879999999999</v>
      </c>
      <c r="IA7" s="21">
        <f>IF(IA$1&lt;INDEX('Valo FX'!$Q:$Q,MATCH($A7,'Valo FX'!$A:$A,0)),0,IF(IA$1&lt;INDEX('Valo FX'!$R:$R,MATCH($A7,'Valo FX'!$A:$A,0)),INDEX(Base!$U:$U,MATCH($A7,Base!$A:$A,0)),IF(IA$1=INDEX('Valo FX'!$R:$R,MATCH($A7,'Valo FX'!$A:$A,0)),INDEX(Base!$V:$V,MATCH($A7,Base!$A:$A,0)),0)))</f>
        <v>10.986879999999999</v>
      </c>
      <c r="IB7" s="21">
        <f>IF(IB$1&lt;INDEX('Valo FX'!$Q:$Q,MATCH($A7,'Valo FX'!$A:$A,0)),0,IF(IB$1&lt;INDEX('Valo FX'!$R:$R,MATCH($A7,'Valo FX'!$A:$A,0)),INDEX(Base!$U:$U,MATCH($A7,Base!$A:$A,0)),IF(IB$1=INDEX('Valo FX'!$R:$R,MATCH($A7,'Valo FX'!$A:$A,0)),INDEX(Base!$V:$V,MATCH($A7,Base!$A:$A,0)),0)))</f>
        <v>10.986879999999999</v>
      </c>
      <c r="IC7" s="21">
        <f>IF(IC$1&lt;INDEX('Valo FX'!$Q:$Q,MATCH($A7,'Valo FX'!$A:$A,0)),0,IF(IC$1&lt;INDEX('Valo FX'!$R:$R,MATCH($A7,'Valo FX'!$A:$A,0)),INDEX(Base!$U:$U,MATCH($A7,Base!$A:$A,0)),IF(IC$1=INDEX('Valo FX'!$R:$R,MATCH($A7,'Valo FX'!$A:$A,0)),INDEX(Base!$V:$V,MATCH($A7,Base!$A:$A,0)),0)))</f>
        <v>10.986879999999999</v>
      </c>
      <c r="ID7" s="21">
        <f>IF(ID$1&lt;INDEX('Valo FX'!$Q:$Q,MATCH($A7,'Valo FX'!$A:$A,0)),0,IF(ID$1&lt;INDEX('Valo FX'!$R:$R,MATCH($A7,'Valo FX'!$A:$A,0)),INDEX(Base!$U:$U,MATCH($A7,Base!$A:$A,0)),IF(ID$1=INDEX('Valo FX'!$R:$R,MATCH($A7,'Valo FX'!$A:$A,0)),INDEX(Base!$V:$V,MATCH($A7,Base!$A:$A,0)),0)))</f>
        <v>10.986879999999999</v>
      </c>
      <c r="IE7" s="21">
        <f>IF(IE$1&lt;INDEX('Valo FX'!$Q:$Q,MATCH($A7,'Valo FX'!$A:$A,0)),0,IF(IE$1&lt;INDEX('Valo FX'!$R:$R,MATCH($A7,'Valo FX'!$A:$A,0)),INDEX(Base!$U:$U,MATCH($A7,Base!$A:$A,0)),IF(IE$1=INDEX('Valo FX'!$R:$R,MATCH($A7,'Valo FX'!$A:$A,0)),INDEX(Base!$V:$V,MATCH($A7,Base!$A:$A,0)),0)))</f>
        <v>10.986879999999999</v>
      </c>
      <c r="IF7" s="21">
        <f>IF(IF$1&lt;INDEX('Valo FX'!$Q:$Q,MATCH($A7,'Valo FX'!$A:$A,0)),0,IF(IF$1&lt;INDEX('Valo FX'!$R:$R,MATCH($A7,'Valo FX'!$A:$A,0)),INDEX(Base!$U:$U,MATCH($A7,Base!$A:$A,0)),IF(IF$1=INDEX('Valo FX'!$R:$R,MATCH($A7,'Valo FX'!$A:$A,0)),INDEX(Base!$V:$V,MATCH($A7,Base!$A:$A,0)),0)))</f>
        <v>10.986879999999999</v>
      </c>
      <c r="IG7" s="21">
        <f>IF(IG$1&lt;INDEX('Valo FX'!$Q:$Q,MATCH($A7,'Valo FX'!$A:$A,0)),0,IF(IG$1&lt;INDEX('Valo FX'!$R:$R,MATCH($A7,'Valo FX'!$A:$A,0)),INDEX(Base!$U:$U,MATCH($A7,Base!$A:$A,0)),IF(IG$1=INDEX('Valo FX'!$R:$R,MATCH($A7,'Valo FX'!$A:$A,0)),INDEX(Base!$V:$V,MATCH($A7,Base!$A:$A,0)),0)))</f>
        <v>10.986879999999999</v>
      </c>
      <c r="IH7" s="21">
        <f>IF(IH$1&lt;INDEX('Valo FX'!$Q:$Q,MATCH($A7,'Valo FX'!$A:$A,0)),0,IF(IH$1&lt;INDEX('Valo FX'!$R:$R,MATCH($A7,'Valo FX'!$A:$A,0)),INDEX(Base!$U:$U,MATCH($A7,Base!$A:$A,0)),IF(IH$1=INDEX('Valo FX'!$R:$R,MATCH($A7,'Valo FX'!$A:$A,0)),INDEX(Base!$V:$V,MATCH($A7,Base!$A:$A,0)),0)))</f>
        <v>10.986879999999999</v>
      </c>
      <c r="II7" s="21">
        <f>IF(II$1&lt;INDEX('Valo FX'!$Q:$Q,MATCH($A7,'Valo FX'!$A:$A,0)),0,IF(II$1&lt;INDEX('Valo FX'!$R:$R,MATCH($A7,'Valo FX'!$A:$A,0)),INDEX(Base!$U:$U,MATCH($A7,Base!$A:$A,0)),IF(II$1=INDEX('Valo FX'!$R:$R,MATCH($A7,'Valo FX'!$A:$A,0)),INDEX(Base!$V:$V,MATCH($A7,Base!$A:$A,0)),0)))</f>
        <v>10.986879999999999</v>
      </c>
      <c r="IJ7" s="21">
        <f>IF(IJ$1&lt;INDEX('Valo FX'!$Q:$Q,MATCH($A7,'Valo FX'!$A:$A,0)),0,IF(IJ$1&lt;INDEX('Valo FX'!$R:$R,MATCH($A7,'Valo FX'!$A:$A,0)),INDEX(Base!$U:$U,MATCH($A7,Base!$A:$A,0)),IF(IJ$1=INDEX('Valo FX'!$R:$R,MATCH($A7,'Valo FX'!$A:$A,0)),INDEX(Base!$V:$V,MATCH($A7,Base!$A:$A,0)),0)))</f>
        <v>10.986879999999999</v>
      </c>
      <c r="IK7" s="21">
        <f>IF(IK$1&lt;INDEX('Valo FX'!$Q:$Q,MATCH($A7,'Valo FX'!$A:$A,0)),0,IF(IK$1&lt;INDEX('Valo FX'!$R:$R,MATCH($A7,'Valo FX'!$A:$A,0)),INDEX(Base!$U:$U,MATCH($A7,Base!$A:$A,0)),IF(IK$1=INDEX('Valo FX'!$R:$R,MATCH($A7,'Valo FX'!$A:$A,0)),INDEX(Base!$V:$V,MATCH($A7,Base!$A:$A,0)),0)))</f>
        <v>10.986879999999999</v>
      </c>
      <c r="IL7" s="21">
        <f>IF(IL$1&lt;INDEX('Valo FX'!$Q:$Q,MATCH($A7,'Valo FX'!$A:$A,0)),0,IF(IL$1&lt;INDEX('Valo FX'!$R:$R,MATCH($A7,'Valo FX'!$A:$A,0)),INDEX(Base!$U:$U,MATCH($A7,Base!$A:$A,0)),IF(IL$1=INDEX('Valo FX'!$R:$R,MATCH($A7,'Valo FX'!$A:$A,0)),INDEX(Base!$V:$V,MATCH($A7,Base!$A:$A,0)),0)))</f>
        <v>10.986879999999999</v>
      </c>
      <c r="IM7" s="21">
        <f>IF(IM$1&lt;INDEX('Valo FX'!$Q:$Q,MATCH($A7,'Valo FX'!$A:$A,0)),0,IF(IM$1&lt;INDEX('Valo FX'!$R:$R,MATCH($A7,'Valo FX'!$A:$A,0)),INDEX(Base!$U:$U,MATCH($A7,Base!$A:$A,0)),IF(IM$1=INDEX('Valo FX'!$R:$R,MATCH($A7,'Valo FX'!$A:$A,0)),INDEX(Base!$V:$V,MATCH($A7,Base!$A:$A,0)),0)))</f>
        <v>10.986879999999999</v>
      </c>
      <c r="IN7" s="21">
        <f>IF(IN$1&lt;INDEX('Valo FX'!$Q:$Q,MATCH($A7,'Valo FX'!$A:$A,0)),0,IF(IN$1&lt;INDEX('Valo FX'!$R:$R,MATCH($A7,'Valo FX'!$A:$A,0)),INDEX(Base!$U:$U,MATCH($A7,Base!$A:$A,0)),IF(IN$1=INDEX('Valo FX'!$R:$R,MATCH($A7,'Valo FX'!$A:$A,0)),INDEX(Base!$V:$V,MATCH($A7,Base!$A:$A,0)),0)))</f>
        <v>10.986879999999999</v>
      </c>
      <c r="IO7" s="21">
        <f>IF(IO$1&lt;INDEX('Valo FX'!$Q:$Q,MATCH($A7,'Valo FX'!$A:$A,0)),0,IF(IO$1&lt;INDEX('Valo FX'!$R:$R,MATCH($A7,'Valo FX'!$A:$A,0)),INDEX(Base!$U:$U,MATCH($A7,Base!$A:$A,0)),IF(IO$1=INDEX('Valo FX'!$R:$R,MATCH($A7,'Valo FX'!$A:$A,0)),INDEX(Base!$V:$V,MATCH($A7,Base!$A:$A,0)),0)))</f>
        <v>10.986879999999999</v>
      </c>
      <c r="IP7" s="21">
        <f>IF(IP$1&lt;INDEX('Valo FX'!$Q:$Q,MATCH($A7,'Valo FX'!$A:$A,0)),0,IF(IP$1&lt;INDEX('Valo FX'!$R:$R,MATCH($A7,'Valo FX'!$A:$A,0)),INDEX(Base!$U:$U,MATCH($A7,Base!$A:$A,0)),IF(IP$1=INDEX('Valo FX'!$R:$R,MATCH($A7,'Valo FX'!$A:$A,0)),INDEX(Base!$V:$V,MATCH($A7,Base!$A:$A,0)),0)))</f>
        <v>10.986879999999999</v>
      </c>
      <c r="IQ7" s="21">
        <f>IF(IQ$1&lt;INDEX('Valo FX'!$Q:$Q,MATCH($A7,'Valo FX'!$A:$A,0)),0,IF(IQ$1&lt;INDEX('Valo FX'!$R:$R,MATCH($A7,'Valo FX'!$A:$A,0)),INDEX(Base!$U:$U,MATCH($A7,Base!$A:$A,0)),IF(IQ$1=INDEX('Valo FX'!$R:$R,MATCH($A7,'Valo FX'!$A:$A,0)),INDEX(Base!$V:$V,MATCH($A7,Base!$A:$A,0)),0)))</f>
        <v>10.986879999999999</v>
      </c>
      <c r="IR7" s="21">
        <f>IF(IR$1&lt;INDEX('Valo FX'!$Q:$Q,MATCH($A7,'Valo FX'!$A:$A,0)),0,IF(IR$1&lt;INDEX('Valo FX'!$R:$R,MATCH($A7,'Valo FX'!$A:$A,0)),INDEX(Base!$U:$U,MATCH($A7,Base!$A:$A,0)),IF(IR$1=INDEX('Valo FX'!$R:$R,MATCH($A7,'Valo FX'!$A:$A,0)),INDEX(Base!$V:$V,MATCH($A7,Base!$A:$A,0)),0)))</f>
        <v>10.986879999999999</v>
      </c>
      <c r="IS7" s="21">
        <f>IF(IS$1&lt;INDEX('Valo FX'!$Q:$Q,MATCH($A7,'Valo FX'!$A:$A,0)),0,IF(IS$1&lt;INDEX('Valo FX'!$R:$R,MATCH($A7,'Valo FX'!$A:$A,0)),INDEX(Base!$U:$U,MATCH($A7,Base!$A:$A,0)),IF(IS$1=INDEX('Valo FX'!$R:$R,MATCH($A7,'Valo FX'!$A:$A,0)),INDEX(Base!$V:$V,MATCH($A7,Base!$A:$A,0)),0)))</f>
        <v>10.986879999999999</v>
      </c>
      <c r="IT7" s="21">
        <f>IF(IT$1&lt;INDEX('Valo FX'!$Q:$Q,MATCH($A7,'Valo FX'!$A:$A,0)),0,IF(IT$1&lt;INDEX('Valo FX'!$R:$R,MATCH($A7,'Valo FX'!$A:$A,0)),INDEX(Base!$U:$U,MATCH($A7,Base!$A:$A,0)),IF(IT$1=INDEX('Valo FX'!$R:$R,MATCH($A7,'Valo FX'!$A:$A,0)),INDEX(Base!$V:$V,MATCH($A7,Base!$A:$A,0)),0)))</f>
        <v>10.986879999999999</v>
      </c>
      <c r="IU7" s="21">
        <f>IF(IU$1&lt;INDEX('Valo FX'!$Q:$Q,MATCH($A7,'Valo FX'!$A:$A,0)),0,IF(IU$1&lt;INDEX('Valo FX'!$R:$R,MATCH($A7,'Valo FX'!$A:$A,0)),INDEX(Base!$U:$U,MATCH($A7,Base!$A:$A,0)),IF(IU$1=INDEX('Valo FX'!$R:$R,MATCH($A7,'Valo FX'!$A:$A,0)),INDEX(Base!$V:$V,MATCH($A7,Base!$A:$A,0)),0)))</f>
        <v>10.986879999999999</v>
      </c>
      <c r="IV7" s="21">
        <f>IF(IV$1&lt;INDEX('Valo FX'!$Q:$Q,MATCH($A7,'Valo FX'!$A:$A,0)),0,IF(IV$1&lt;INDEX('Valo FX'!$R:$R,MATCH($A7,'Valo FX'!$A:$A,0)),INDEX(Base!$U:$U,MATCH($A7,Base!$A:$A,0)),IF(IV$1=INDEX('Valo FX'!$R:$R,MATCH($A7,'Valo FX'!$A:$A,0)),INDEX(Base!$V:$V,MATCH($A7,Base!$A:$A,0)),0)))</f>
        <v>10.986879999999999</v>
      </c>
      <c r="IW7" s="21">
        <f>IF(IW$1&lt;INDEX('Valo FX'!$Q:$Q,MATCH($A7,'Valo FX'!$A:$A,0)),0,IF(IW$1&lt;INDEX('Valo FX'!$R:$R,MATCH($A7,'Valo FX'!$A:$A,0)),INDEX(Base!$U:$U,MATCH($A7,Base!$A:$A,0)),IF(IW$1=INDEX('Valo FX'!$R:$R,MATCH($A7,'Valo FX'!$A:$A,0)),INDEX(Base!$V:$V,MATCH($A7,Base!$A:$A,0)),0)))</f>
        <v>10.986879999999999</v>
      </c>
      <c r="IX7" s="21">
        <f>IF(IX$1&lt;INDEX('Valo FX'!$Q:$Q,MATCH($A7,'Valo FX'!$A:$A,0)),0,IF(IX$1&lt;INDEX('Valo FX'!$R:$R,MATCH($A7,'Valo FX'!$A:$A,0)),INDEX(Base!$U:$U,MATCH($A7,Base!$A:$A,0)),IF(IX$1=INDEX('Valo FX'!$R:$R,MATCH($A7,'Valo FX'!$A:$A,0)),INDEX(Base!$V:$V,MATCH($A7,Base!$A:$A,0)),0)))</f>
        <v>10.986879999999999</v>
      </c>
      <c r="IY7" s="21">
        <f>IF(IY$1&lt;INDEX('Valo FX'!$Q:$Q,MATCH($A7,'Valo FX'!$A:$A,0)),0,IF(IY$1&lt;INDEX('Valo FX'!$R:$R,MATCH($A7,'Valo FX'!$A:$A,0)),INDEX(Base!$U:$U,MATCH($A7,Base!$A:$A,0)),IF(IY$1=INDEX('Valo FX'!$R:$R,MATCH($A7,'Valo FX'!$A:$A,0)),INDEX(Base!$V:$V,MATCH($A7,Base!$A:$A,0)),0)))</f>
        <v>10.986879999999999</v>
      </c>
      <c r="IZ7" s="21">
        <f>IF(IZ$1&lt;INDEX('Valo FX'!$Q:$Q,MATCH($A7,'Valo FX'!$A:$A,0)),0,IF(IZ$1&lt;INDEX('Valo FX'!$R:$R,MATCH($A7,'Valo FX'!$A:$A,0)),INDEX(Base!$U:$U,MATCH($A7,Base!$A:$A,0)),IF(IZ$1=INDEX('Valo FX'!$R:$R,MATCH($A7,'Valo FX'!$A:$A,0)),INDEX(Base!$V:$V,MATCH($A7,Base!$A:$A,0)),0)))</f>
        <v>10.986879999999999</v>
      </c>
      <c r="JA7" s="21">
        <f>IF(JA$1&lt;INDEX('Valo FX'!$Q:$Q,MATCH($A7,'Valo FX'!$A:$A,0)),0,IF(JA$1&lt;INDEX('Valo FX'!$R:$R,MATCH($A7,'Valo FX'!$A:$A,0)),INDEX(Base!$U:$U,MATCH($A7,Base!$A:$A,0)),IF(JA$1=INDEX('Valo FX'!$R:$R,MATCH($A7,'Valo FX'!$A:$A,0)),INDEX(Base!$V:$V,MATCH($A7,Base!$A:$A,0)),0)))</f>
        <v>10.986879999999999</v>
      </c>
      <c r="JB7" s="21">
        <f>IF(JB$1&lt;INDEX('Valo FX'!$Q:$Q,MATCH($A7,'Valo FX'!$A:$A,0)),0,IF(JB$1&lt;INDEX('Valo FX'!$R:$R,MATCH($A7,'Valo FX'!$A:$A,0)),INDEX(Base!$U:$U,MATCH($A7,Base!$A:$A,0)),IF(JB$1=INDEX('Valo FX'!$R:$R,MATCH($A7,'Valo FX'!$A:$A,0)),INDEX(Base!$V:$V,MATCH($A7,Base!$A:$A,0)),0)))</f>
        <v>10.986879999999999</v>
      </c>
      <c r="JC7" s="21">
        <f>IF(JC$1&lt;INDEX('Valo FX'!$Q:$Q,MATCH($A7,'Valo FX'!$A:$A,0)),0,IF(JC$1&lt;INDEX('Valo FX'!$R:$R,MATCH($A7,'Valo FX'!$A:$A,0)),INDEX(Base!$U:$U,MATCH($A7,Base!$A:$A,0)),IF(JC$1=INDEX('Valo FX'!$R:$R,MATCH($A7,'Valo FX'!$A:$A,0)),INDEX(Base!$V:$V,MATCH($A7,Base!$A:$A,0)),0)))</f>
        <v>10.986879999999999</v>
      </c>
      <c r="JD7" s="21">
        <f>IF(JD$1&lt;INDEX('Valo FX'!$Q:$Q,MATCH($A7,'Valo FX'!$A:$A,0)),0,IF(JD$1&lt;INDEX('Valo FX'!$R:$R,MATCH($A7,'Valo FX'!$A:$A,0)),INDEX(Base!$U:$U,MATCH($A7,Base!$A:$A,0)),IF(JD$1=INDEX('Valo FX'!$R:$R,MATCH($A7,'Valo FX'!$A:$A,0)),INDEX(Base!$V:$V,MATCH($A7,Base!$A:$A,0)),0)))</f>
        <v>10.986879999999999</v>
      </c>
      <c r="JE7" s="21">
        <f>IF(JE$1&lt;INDEX('Valo FX'!$Q:$Q,MATCH($A7,'Valo FX'!$A:$A,0)),0,IF(JE$1&lt;INDEX('Valo FX'!$R:$R,MATCH($A7,'Valo FX'!$A:$A,0)),INDEX(Base!$U:$U,MATCH($A7,Base!$A:$A,0)),IF(JE$1=INDEX('Valo FX'!$R:$R,MATCH($A7,'Valo FX'!$A:$A,0)),INDEX(Base!$V:$V,MATCH($A7,Base!$A:$A,0)),0)))</f>
        <v>10.986879999999999</v>
      </c>
      <c r="JF7" s="21">
        <f>IF(JF$1&lt;INDEX('Valo FX'!$Q:$Q,MATCH($A7,'Valo FX'!$A:$A,0)),0,IF(JF$1&lt;INDEX('Valo FX'!$R:$R,MATCH($A7,'Valo FX'!$A:$A,0)),INDEX(Base!$U:$U,MATCH($A7,Base!$A:$A,0)),IF(JF$1=INDEX('Valo FX'!$R:$R,MATCH($A7,'Valo FX'!$A:$A,0)),INDEX(Base!$V:$V,MATCH($A7,Base!$A:$A,0)),0)))</f>
        <v>10.986879999999999</v>
      </c>
      <c r="JG7" s="21">
        <f>IF(JG$1&lt;INDEX('Valo FX'!$Q:$Q,MATCH($A7,'Valo FX'!$A:$A,0)),0,IF(JG$1&lt;INDEX('Valo FX'!$R:$R,MATCH($A7,'Valo FX'!$A:$A,0)),INDEX(Base!$U:$U,MATCH($A7,Base!$A:$A,0)),IF(JG$1=INDEX('Valo FX'!$R:$R,MATCH($A7,'Valo FX'!$A:$A,0)),INDEX(Base!$V:$V,MATCH($A7,Base!$A:$A,0)),0)))</f>
        <v>10.986879999999999</v>
      </c>
      <c r="JH7" s="21">
        <f>IF(JH$1&lt;INDEX('Valo FX'!$Q:$Q,MATCH($A7,'Valo FX'!$A:$A,0)),0,IF(JH$1&lt;INDEX('Valo FX'!$R:$R,MATCH($A7,'Valo FX'!$A:$A,0)),INDEX(Base!$U:$U,MATCH($A7,Base!$A:$A,0)),IF(JH$1=INDEX('Valo FX'!$R:$R,MATCH($A7,'Valo FX'!$A:$A,0)),INDEX(Base!$V:$V,MATCH($A7,Base!$A:$A,0)),0)))</f>
        <v>10.986879999999999</v>
      </c>
      <c r="JI7" s="21">
        <f>IF(JI$1&lt;INDEX('Valo FX'!$Q:$Q,MATCH($A7,'Valo FX'!$A:$A,0)),0,IF(JI$1&lt;INDEX('Valo FX'!$R:$R,MATCH($A7,'Valo FX'!$A:$A,0)),INDEX(Base!$U:$U,MATCH($A7,Base!$A:$A,0)),IF(JI$1=INDEX('Valo FX'!$R:$R,MATCH($A7,'Valo FX'!$A:$A,0)),INDEX(Base!$V:$V,MATCH($A7,Base!$A:$A,0)),0)))</f>
        <v>10.986879999999999</v>
      </c>
      <c r="JJ7" s="21">
        <f>IF(JJ$1&lt;INDEX('Valo FX'!$Q:$Q,MATCH($A7,'Valo FX'!$A:$A,0)),0,IF(JJ$1&lt;INDEX('Valo FX'!$R:$R,MATCH($A7,'Valo FX'!$A:$A,0)),INDEX(Base!$U:$U,MATCH($A7,Base!$A:$A,0)),IF(JJ$1=INDEX('Valo FX'!$R:$R,MATCH($A7,'Valo FX'!$A:$A,0)),INDEX(Base!$V:$V,MATCH($A7,Base!$A:$A,0)),0)))</f>
        <v>10.986879999999999</v>
      </c>
      <c r="JK7" s="21">
        <f>IF(JK$1&lt;INDEX('Valo FX'!$Q:$Q,MATCH($A7,'Valo FX'!$A:$A,0)),0,IF(JK$1&lt;INDEX('Valo FX'!$R:$R,MATCH($A7,'Valo FX'!$A:$A,0)),INDEX(Base!$U:$U,MATCH($A7,Base!$A:$A,0)),IF(JK$1=INDEX('Valo FX'!$R:$R,MATCH($A7,'Valo FX'!$A:$A,0)),INDEX(Base!$V:$V,MATCH($A7,Base!$A:$A,0)),0)))</f>
        <v>10.986879999999999</v>
      </c>
      <c r="JL7" s="21">
        <f>IF(JL$1&lt;INDEX('Valo FX'!$Q:$Q,MATCH($A7,'Valo FX'!$A:$A,0)),0,IF(JL$1&lt;INDEX('Valo FX'!$R:$R,MATCH($A7,'Valo FX'!$A:$A,0)),INDEX(Base!$U:$U,MATCH($A7,Base!$A:$A,0)),IF(JL$1=INDEX('Valo FX'!$R:$R,MATCH($A7,'Valo FX'!$A:$A,0)),INDEX(Base!$V:$V,MATCH($A7,Base!$A:$A,0)),0)))</f>
        <v>10.986879999999999</v>
      </c>
      <c r="JM7" s="21">
        <f>IF(JM$1&lt;INDEX('Valo FX'!$Q:$Q,MATCH($A7,'Valo FX'!$A:$A,0)),0,IF(JM$1&lt;INDEX('Valo FX'!$R:$R,MATCH($A7,'Valo FX'!$A:$A,0)),INDEX(Base!$U:$U,MATCH($A7,Base!$A:$A,0)),IF(JM$1=INDEX('Valo FX'!$R:$R,MATCH($A7,'Valo FX'!$A:$A,0)),INDEX(Base!$V:$V,MATCH($A7,Base!$A:$A,0)),0)))</f>
        <v>10.986879999999999</v>
      </c>
      <c r="JN7" s="21">
        <f>IF(JN$1&lt;INDEX('Valo FX'!$Q:$Q,MATCH($A7,'Valo FX'!$A:$A,0)),0,IF(JN$1&lt;INDEX('Valo FX'!$R:$R,MATCH($A7,'Valo FX'!$A:$A,0)),INDEX(Base!$U:$U,MATCH($A7,Base!$A:$A,0)),IF(JN$1=INDEX('Valo FX'!$R:$R,MATCH($A7,'Valo FX'!$A:$A,0)),INDEX(Base!$V:$V,MATCH($A7,Base!$A:$A,0)),0)))</f>
        <v>10.986879999999999</v>
      </c>
      <c r="JO7" s="21">
        <f>IF(JO$1&lt;INDEX('Valo FX'!$Q:$Q,MATCH($A7,'Valo FX'!$A:$A,0)),0,IF(JO$1&lt;INDEX('Valo FX'!$R:$R,MATCH($A7,'Valo FX'!$A:$A,0)),INDEX(Base!$U:$U,MATCH($A7,Base!$A:$A,0)),IF(JO$1=INDEX('Valo FX'!$R:$R,MATCH($A7,'Valo FX'!$A:$A,0)),INDEX(Base!$V:$V,MATCH($A7,Base!$A:$A,0)),0)))</f>
        <v>10.986879999999999</v>
      </c>
      <c r="JP7" s="21">
        <f>IF(JP$1&lt;INDEX('Valo FX'!$Q:$Q,MATCH($A7,'Valo FX'!$A:$A,0)),0,IF(JP$1&lt;INDEX('Valo FX'!$R:$R,MATCH($A7,'Valo FX'!$A:$A,0)),INDEX(Base!$U:$U,MATCH($A7,Base!$A:$A,0)),IF(JP$1=INDEX('Valo FX'!$R:$R,MATCH($A7,'Valo FX'!$A:$A,0)),INDEX(Base!$V:$V,MATCH($A7,Base!$A:$A,0)),0)))</f>
        <v>10.986879999999999</v>
      </c>
      <c r="JQ7" s="21">
        <f>IF(JQ$1&lt;INDEX('Valo FX'!$Q:$Q,MATCH($A7,'Valo FX'!$A:$A,0)),0,IF(JQ$1&lt;INDEX('Valo FX'!$R:$R,MATCH($A7,'Valo FX'!$A:$A,0)),INDEX(Base!$U:$U,MATCH($A7,Base!$A:$A,0)),IF(JQ$1=INDEX('Valo FX'!$R:$R,MATCH($A7,'Valo FX'!$A:$A,0)),INDEX(Base!$V:$V,MATCH($A7,Base!$A:$A,0)),0)))</f>
        <v>10.986879999999999</v>
      </c>
      <c r="JR7" s="21">
        <f>IF(JR$1&lt;INDEX('Valo FX'!$Q:$Q,MATCH($A7,'Valo FX'!$A:$A,0)),0,IF(JR$1&lt;INDEX('Valo FX'!$R:$R,MATCH($A7,'Valo FX'!$A:$A,0)),INDEX(Base!$U:$U,MATCH($A7,Base!$A:$A,0)),IF(JR$1=INDEX('Valo FX'!$R:$R,MATCH($A7,'Valo FX'!$A:$A,0)),INDEX(Base!$V:$V,MATCH($A7,Base!$A:$A,0)),0)))</f>
        <v>10.986879999999999</v>
      </c>
      <c r="JS7" s="21">
        <f>IF(JS$1&lt;INDEX('Valo FX'!$Q:$Q,MATCH($A7,'Valo FX'!$A:$A,0)),0,IF(JS$1&lt;INDEX('Valo FX'!$R:$R,MATCH($A7,'Valo FX'!$A:$A,0)),INDEX(Base!$U:$U,MATCH($A7,Base!$A:$A,0)),IF(JS$1=INDEX('Valo FX'!$R:$R,MATCH($A7,'Valo FX'!$A:$A,0)),INDEX(Base!$V:$V,MATCH($A7,Base!$A:$A,0)),0)))</f>
        <v>10.986879999999999</v>
      </c>
      <c r="JT7" s="21">
        <f>IF(JT$1&lt;INDEX('Valo FX'!$Q:$Q,MATCH($A7,'Valo FX'!$A:$A,0)),0,IF(JT$1&lt;INDEX('Valo FX'!$R:$R,MATCH($A7,'Valo FX'!$A:$A,0)),INDEX(Base!$U:$U,MATCH($A7,Base!$A:$A,0)),IF(JT$1=INDEX('Valo FX'!$R:$R,MATCH($A7,'Valo FX'!$A:$A,0)),INDEX(Base!$V:$V,MATCH($A7,Base!$A:$A,0)),0)))</f>
        <v>10.986879999999999</v>
      </c>
      <c r="JU7" s="21">
        <f>IF(JU$1&lt;INDEX('Valo FX'!$Q:$Q,MATCH($A7,'Valo FX'!$A:$A,0)),0,IF(JU$1&lt;INDEX('Valo FX'!$R:$R,MATCH($A7,'Valo FX'!$A:$A,0)),INDEX(Base!$U:$U,MATCH($A7,Base!$A:$A,0)),IF(JU$1=INDEX('Valo FX'!$R:$R,MATCH($A7,'Valo FX'!$A:$A,0)),INDEX(Base!$V:$V,MATCH($A7,Base!$A:$A,0)),0)))</f>
        <v>10.986879999999999</v>
      </c>
      <c r="JV7" s="21">
        <f>IF(JV$1&lt;INDEX('Valo FX'!$Q:$Q,MATCH($A7,'Valo FX'!$A:$A,0)),0,IF(JV$1&lt;INDEX('Valo FX'!$R:$R,MATCH($A7,'Valo FX'!$A:$A,0)),INDEX(Base!$U:$U,MATCH($A7,Base!$A:$A,0)),IF(JV$1=INDEX('Valo FX'!$R:$R,MATCH($A7,'Valo FX'!$A:$A,0)),INDEX(Base!$V:$V,MATCH($A7,Base!$A:$A,0)),0)))</f>
        <v>10.986879999999999</v>
      </c>
      <c r="JW7" s="21">
        <f>IF(JW$1&lt;INDEX('Valo FX'!$Q:$Q,MATCH($A7,'Valo FX'!$A:$A,0)),0,IF(JW$1&lt;INDEX('Valo FX'!$R:$R,MATCH($A7,'Valo FX'!$A:$A,0)),INDEX(Base!$U:$U,MATCH($A7,Base!$A:$A,0)),IF(JW$1=INDEX('Valo FX'!$R:$R,MATCH($A7,'Valo FX'!$A:$A,0)),INDEX(Base!$V:$V,MATCH($A7,Base!$A:$A,0)),0)))</f>
        <v>10.986879999999999</v>
      </c>
      <c r="JX7" s="21">
        <f>IF(JX$1&lt;INDEX('Valo FX'!$Q:$Q,MATCH($A7,'Valo FX'!$A:$A,0)),0,IF(JX$1&lt;INDEX('Valo FX'!$R:$R,MATCH($A7,'Valo FX'!$A:$A,0)),INDEX(Base!$U:$U,MATCH($A7,Base!$A:$A,0)),IF(JX$1=INDEX('Valo FX'!$R:$R,MATCH($A7,'Valo FX'!$A:$A,0)),INDEX(Base!$V:$V,MATCH($A7,Base!$A:$A,0)),0)))</f>
        <v>10.986879999999999</v>
      </c>
      <c r="JY7" s="21">
        <f>IF(JY$1&lt;INDEX('Valo FX'!$Q:$Q,MATCH($A7,'Valo FX'!$A:$A,0)),0,IF(JY$1&lt;INDEX('Valo FX'!$R:$R,MATCH($A7,'Valo FX'!$A:$A,0)),INDEX(Base!$U:$U,MATCH($A7,Base!$A:$A,0)),IF(JY$1=INDEX('Valo FX'!$R:$R,MATCH($A7,'Valo FX'!$A:$A,0)),INDEX(Base!$V:$V,MATCH($A7,Base!$A:$A,0)),0)))</f>
        <v>10.986879999999999</v>
      </c>
      <c r="JZ7" s="21">
        <f>IF(JZ$1&lt;INDEX('Valo FX'!$Q:$Q,MATCH($A7,'Valo FX'!$A:$A,0)),0,IF(JZ$1&lt;INDEX('Valo FX'!$R:$R,MATCH($A7,'Valo FX'!$A:$A,0)),INDEX(Base!$U:$U,MATCH($A7,Base!$A:$A,0)),IF(JZ$1=INDEX('Valo FX'!$R:$R,MATCH($A7,'Valo FX'!$A:$A,0)),INDEX(Base!$V:$V,MATCH($A7,Base!$A:$A,0)),0)))</f>
        <v>10.986879999999999</v>
      </c>
      <c r="KA7" s="21">
        <f>IF(KA$1&lt;INDEX('Valo FX'!$Q:$Q,MATCH($A7,'Valo FX'!$A:$A,0)),0,IF(KA$1&lt;INDEX('Valo FX'!$R:$R,MATCH($A7,'Valo FX'!$A:$A,0)),INDEX(Base!$U:$U,MATCH($A7,Base!$A:$A,0)),IF(KA$1=INDEX('Valo FX'!$R:$R,MATCH($A7,'Valo FX'!$A:$A,0)),INDEX(Base!$V:$V,MATCH($A7,Base!$A:$A,0)),0)))</f>
        <v>10.986879999999999</v>
      </c>
      <c r="KB7" s="21">
        <f>IF(KB$1&lt;INDEX('Valo FX'!$Q:$Q,MATCH($A7,'Valo FX'!$A:$A,0)),0,IF(KB$1&lt;INDEX('Valo FX'!$R:$R,MATCH($A7,'Valo FX'!$A:$A,0)),INDEX(Base!$U:$U,MATCH($A7,Base!$A:$A,0)),IF(KB$1=INDEX('Valo FX'!$R:$R,MATCH($A7,'Valo FX'!$A:$A,0)),INDEX(Base!$V:$V,MATCH($A7,Base!$A:$A,0)),0)))</f>
        <v>10.986879999999999</v>
      </c>
      <c r="KC7" s="21">
        <f>IF(KC$1&lt;INDEX('Valo FX'!$Q:$Q,MATCH($A7,'Valo FX'!$A:$A,0)),0,IF(KC$1&lt;INDEX('Valo FX'!$R:$R,MATCH($A7,'Valo FX'!$A:$A,0)),INDEX(Base!$U:$U,MATCH($A7,Base!$A:$A,0)),IF(KC$1=INDEX('Valo FX'!$R:$R,MATCH($A7,'Valo FX'!$A:$A,0)),INDEX(Base!$V:$V,MATCH($A7,Base!$A:$A,0)),0)))</f>
        <v>10.986879999999999</v>
      </c>
      <c r="KD7" s="21">
        <f>IF(KD$1&lt;INDEX('Valo FX'!$Q:$Q,MATCH($A7,'Valo FX'!$A:$A,0)),0,IF(KD$1&lt;INDEX('Valo FX'!$R:$R,MATCH($A7,'Valo FX'!$A:$A,0)),INDEX(Base!$U:$U,MATCH($A7,Base!$A:$A,0)),IF(KD$1=INDEX('Valo FX'!$R:$R,MATCH($A7,'Valo FX'!$A:$A,0)),INDEX(Base!$V:$V,MATCH($A7,Base!$A:$A,0)),0)))</f>
        <v>10.986879999999999</v>
      </c>
      <c r="KE7" s="21">
        <f>IF(KE$1&lt;INDEX('Valo FX'!$Q:$Q,MATCH($A7,'Valo FX'!$A:$A,0)),0,IF(KE$1&lt;INDEX('Valo FX'!$R:$R,MATCH($A7,'Valo FX'!$A:$A,0)),INDEX(Base!$U:$U,MATCH($A7,Base!$A:$A,0)),IF(KE$1=INDEX('Valo FX'!$R:$R,MATCH($A7,'Valo FX'!$A:$A,0)),INDEX(Base!$V:$V,MATCH($A7,Base!$A:$A,0)),0)))</f>
        <v>10.986879999999999</v>
      </c>
      <c r="KF7" s="21">
        <f>IF(KF$1&lt;INDEX('Valo FX'!$Q:$Q,MATCH($A7,'Valo FX'!$A:$A,0)),0,IF(KF$1&lt;INDEX('Valo FX'!$R:$R,MATCH($A7,'Valo FX'!$A:$A,0)),INDEX(Base!$U:$U,MATCH($A7,Base!$A:$A,0)),IF(KF$1=INDEX('Valo FX'!$R:$R,MATCH($A7,'Valo FX'!$A:$A,0)),INDEX(Base!$V:$V,MATCH($A7,Base!$A:$A,0)),0)))</f>
        <v>10.986879999999999</v>
      </c>
      <c r="KG7" s="21">
        <f>IF(KG$1&lt;INDEX('Valo FX'!$Q:$Q,MATCH($A7,'Valo FX'!$A:$A,0)),0,IF(KG$1&lt;INDEX('Valo FX'!$R:$R,MATCH($A7,'Valo FX'!$A:$A,0)),INDEX(Base!$U:$U,MATCH($A7,Base!$A:$A,0)),IF(KG$1=INDEX('Valo FX'!$R:$R,MATCH($A7,'Valo FX'!$A:$A,0)),INDEX(Base!$V:$V,MATCH($A7,Base!$A:$A,0)),0)))</f>
        <v>10.986879999999999</v>
      </c>
      <c r="KH7" s="21">
        <f>IF(KH$1&lt;INDEX('Valo FX'!$Q:$Q,MATCH($A7,'Valo FX'!$A:$A,0)),0,IF(KH$1&lt;INDEX('Valo FX'!$R:$R,MATCH($A7,'Valo FX'!$A:$A,0)),INDEX(Base!$U:$U,MATCH($A7,Base!$A:$A,0)),IF(KH$1=INDEX('Valo FX'!$R:$R,MATCH($A7,'Valo FX'!$A:$A,0)),INDEX(Base!$V:$V,MATCH($A7,Base!$A:$A,0)),0)))</f>
        <v>10.986879999999999</v>
      </c>
      <c r="KI7" s="21">
        <f>IF(KI$1&lt;INDEX('Valo FX'!$Q:$Q,MATCH($A7,'Valo FX'!$A:$A,0)),0,IF(KI$1&lt;INDEX('Valo FX'!$R:$R,MATCH($A7,'Valo FX'!$A:$A,0)),INDEX(Base!$U:$U,MATCH($A7,Base!$A:$A,0)),IF(KI$1=INDEX('Valo FX'!$R:$R,MATCH($A7,'Valo FX'!$A:$A,0)),INDEX(Base!$V:$V,MATCH($A7,Base!$A:$A,0)),0)))</f>
        <v>10.986879999999999</v>
      </c>
      <c r="KJ7" s="21">
        <f>IF(KJ$1&lt;INDEX('Valo FX'!$Q:$Q,MATCH($A7,'Valo FX'!$A:$A,0)),0,IF(KJ$1&lt;INDEX('Valo FX'!$R:$R,MATCH($A7,'Valo FX'!$A:$A,0)),INDEX(Base!$U:$U,MATCH($A7,Base!$A:$A,0)),IF(KJ$1=INDEX('Valo FX'!$R:$R,MATCH($A7,'Valo FX'!$A:$A,0)),INDEX(Base!$V:$V,MATCH($A7,Base!$A:$A,0)),0)))</f>
        <v>10.986879999999999</v>
      </c>
      <c r="KK7" s="21">
        <f>IF(KK$1&lt;INDEX('Valo FX'!$Q:$Q,MATCH($A7,'Valo FX'!$A:$A,0)),0,IF(KK$1&lt;INDEX('Valo FX'!$R:$R,MATCH($A7,'Valo FX'!$A:$A,0)),INDEX(Base!$U:$U,MATCH($A7,Base!$A:$A,0)),IF(KK$1=INDEX('Valo FX'!$R:$R,MATCH($A7,'Valo FX'!$A:$A,0)),INDEX(Base!$V:$V,MATCH($A7,Base!$A:$A,0)),0)))</f>
        <v>10.986879999999999</v>
      </c>
      <c r="KL7" s="21">
        <f>IF(KL$1&lt;INDEX('Valo FX'!$Q:$Q,MATCH($A7,'Valo FX'!$A:$A,0)),0,IF(KL$1&lt;INDEX('Valo FX'!$R:$R,MATCH($A7,'Valo FX'!$A:$A,0)),INDEX(Base!$U:$U,MATCH($A7,Base!$A:$A,0)),IF(KL$1=INDEX('Valo FX'!$R:$R,MATCH($A7,'Valo FX'!$A:$A,0)),INDEX(Base!$V:$V,MATCH($A7,Base!$A:$A,0)),0)))</f>
        <v>10.986879999999999</v>
      </c>
      <c r="KM7" s="21">
        <f>IF(KM$1&lt;INDEX('Valo FX'!$Q:$Q,MATCH($A7,'Valo FX'!$A:$A,0)),0,IF(KM$1&lt;INDEX('Valo FX'!$R:$R,MATCH($A7,'Valo FX'!$A:$A,0)),INDEX(Base!$U:$U,MATCH($A7,Base!$A:$A,0)),IF(KM$1=INDEX('Valo FX'!$R:$R,MATCH($A7,'Valo FX'!$A:$A,0)),INDEX(Base!$V:$V,MATCH($A7,Base!$A:$A,0)),0)))</f>
        <v>10.986879999999999</v>
      </c>
      <c r="KN7" s="21">
        <f>IF(KN$1&lt;INDEX('Valo FX'!$Q:$Q,MATCH($A7,'Valo FX'!$A:$A,0)),0,IF(KN$1&lt;INDEX('Valo FX'!$R:$R,MATCH($A7,'Valo FX'!$A:$A,0)),INDEX(Base!$U:$U,MATCH($A7,Base!$A:$A,0)),IF(KN$1=INDEX('Valo FX'!$R:$R,MATCH($A7,'Valo FX'!$A:$A,0)),INDEX(Base!$V:$V,MATCH($A7,Base!$A:$A,0)),0)))</f>
        <v>10.986879999999999</v>
      </c>
      <c r="KO7" s="21">
        <f>IF(KO$1&lt;INDEX('Valo FX'!$Q:$Q,MATCH($A7,'Valo FX'!$A:$A,0)),0,IF(KO$1&lt;INDEX('Valo FX'!$R:$R,MATCH($A7,'Valo FX'!$A:$A,0)),INDEX(Base!$U:$U,MATCH($A7,Base!$A:$A,0)),IF(KO$1=INDEX('Valo FX'!$R:$R,MATCH($A7,'Valo FX'!$A:$A,0)),INDEX(Base!$V:$V,MATCH($A7,Base!$A:$A,0)),0)))</f>
        <v>10.986879999999999</v>
      </c>
      <c r="KP7" s="21">
        <f>IF(KP$1&lt;INDEX('Valo FX'!$Q:$Q,MATCH($A7,'Valo FX'!$A:$A,0)),0,IF(KP$1&lt;INDEX('Valo FX'!$R:$R,MATCH($A7,'Valo FX'!$A:$A,0)),INDEX(Base!$U:$U,MATCH($A7,Base!$A:$A,0)),IF(KP$1=INDEX('Valo FX'!$R:$R,MATCH($A7,'Valo FX'!$A:$A,0)),INDEX(Base!$V:$V,MATCH($A7,Base!$A:$A,0)),0)))</f>
        <v>10.986879999999999</v>
      </c>
      <c r="KQ7" s="21">
        <f>IF(KQ$1&lt;INDEX('Valo FX'!$Q:$Q,MATCH($A7,'Valo FX'!$A:$A,0)),0,IF(KQ$1&lt;INDEX('Valo FX'!$R:$R,MATCH($A7,'Valo FX'!$A:$A,0)),INDEX(Base!$U:$U,MATCH($A7,Base!$A:$A,0)),IF(KQ$1=INDEX('Valo FX'!$R:$R,MATCH($A7,'Valo FX'!$A:$A,0)),INDEX(Base!$V:$V,MATCH($A7,Base!$A:$A,0)),0)))</f>
        <v>10.986879999999999</v>
      </c>
      <c r="KR7" s="21">
        <f>IF(KR$1&lt;INDEX('Valo FX'!$Q:$Q,MATCH($A7,'Valo FX'!$A:$A,0)),0,IF(KR$1&lt;INDEX('Valo FX'!$R:$R,MATCH($A7,'Valo FX'!$A:$A,0)),INDEX(Base!$U:$U,MATCH($A7,Base!$A:$A,0)),IF(KR$1=INDEX('Valo FX'!$R:$R,MATCH($A7,'Valo FX'!$A:$A,0)),INDEX(Base!$V:$V,MATCH($A7,Base!$A:$A,0)),0)))</f>
        <v>10.986879999999999</v>
      </c>
      <c r="KS7" s="21">
        <f>IF(KS$1&lt;INDEX('Valo FX'!$Q:$Q,MATCH($A7,'Valo FX'!$A:$A,0)),0,IF(KS$1&lt;INDEX('Valo FX'!$R:$R,MATCH($A7,'Valo FX'!$A:$A,0)),INDEX(Base!$U:$U,MATCH($A7,Base!$A:$A,0)),IF(KS$1=INDEX('Valo FX'!$R:$R,MATCH($A7,'Valo FX'!$A:$A,0)),INDEX(Base!$V:$V,MATCH($A7,Base!$A:$A,0)),0)))</f>
        <v>10.986879999999999</v>
      </c>
      <c r="KT7" s="21">
        <f>IF(KT$1&lt;INDEX('Valo FX'!$Q:$Q,MATCH($A7,'Valo FX'!$A:$A,0)),0,IF(KT$1&lt;INDEX('Valo FX'!$R:$R,MATCH($A7,'Valo FX'!$A:$A,0)),INDEX(Base!$U:$U,MATCH($A7,Base!$A:$A,0)),IF(KT$1=INDEX('Valo FX'!$R:$R,MATCH($A7,'Valo FX'!$A:$A,0)),INDEX(Base!$V:$V,MATCH($A7,Base!$A:$A,0)),0)))</f>
        <v>10.986879999999999</v>
      </c>
      <c r="KU7" s="21">
        <f>IF(KU$1&lt;INDEX('Valo FX'!$Q:$Q,MATCH($A7,'Valo FX'!$A:$A,0)),0,IF(KU$1&lt;INDEX('Valo FX'!$R:$R,MATCH($A7,'Valo FX'!$A:$A,0)),INDEX(Base!$U:$U,MATCH($A7,Base!$A:$A,0)),IF(KU$1=INDEX('Valo FX'!$R:$R,MATCH($A7,'Valo FX'!$A:$A,0)),INDEX(Base!$V:$V,MATCH($A7,Base!$A:$A,0)),0)))</f>
        <v>10.986879999999999</v>
      </c>
      <c r="KV7" s="21">
        <f>IF(KV$1&lt;INDEX('Valo FX'!$Q:$Q,MATCH($A7,'Valo FX'!$A:$A,0)),0,IF(KV$1&lt;INDEX('Valo FX'!$R:$R,MATCH($A7,'Valo FX'!$A:$A,0)),INDEX(Base!$U:$U,MATCH($A7,Base!$A:$A,0)),IF(KV$1=INDEX('Valo FX'!$R:$R,MATCH($A7,'Valo FX'!$A:$A,0)),INDEX(Base!$V:$V,MATCH($A7,Base!$A:$A,0)),0)))</f>
        <v>10.986879999999999</v>
      </c>
      <c r="KW7" s="21">
        <f>IF(KW$1&lt;INDEX('Valo FX'!$Q:$Q,MATCH($A7,'Valo FX'!$A:$A,0)),0,IF(KW$1&lt;INDEX('Valo FX'!$R:$R,MATCH($A7,'Valo FX'!$A:$A,0)),INDEX(Base!$U:$U,MATCH($A7,Base!$A:$A,0)),IF(KW$1=INDEX('Valo FX'!$R:$R,MATCH($A7,'Valo FX'!$A:$A,0)),INDEX(Base!$V:$V,MATCH($A7,Base!$A:$A,0)),0)))</f>
        <v>10.986879999999999</v>
      </c>
      <c r="KX7" s="21">
        <f>IF(KX$1&lt;INDEX('Valo FX'!$Q:$Q,MATCH($A7,'Valo FX'!$A:$A,0)),0,IF(KX$1&lt;INDEX('Valo FX'!$R:$R,MATCH($A7,'Valo FX'!$A:$A,0)),INDEX(Base!$U:$U,MATCH($A7,Base!$A:$A,0)),IF(KX$1=INDEX('Valo FX'!$R:$R,MATCH($A7,'Valo FX'!$A:$A,0)),INDEX(Base!$V:$V,MATCH($A7,Base!$A:$A,0)),0)))</f>
        <v>10.986879999999999</v>
      </c>
      <c r="KY7" s="21">
        <f>IF(KY$1&lt;INDEX('Valo FX'!$Q:$Q,MATCH($A7,'Valo FX'!$A:$A,0)),0,IF(KY$1&lt;INDEX('Valo FX'!$R:$R,MATCH($A7,'Valo FX'!$A:$A,0)),INDEX(Base!$U:$U,MATCH($A7,Base!$A:$A,0)),IF(KY$1=INDEX('Valo FX'!$R:$R,MATCH($A7,'Valo FX'!$A:$A,0)),INDEX(Base!$V:$V,MATCH($A7,Base!$A:$A,0)),0)))</f>
        <v>10.986879999999999</v>
      </c>
      <c r="KZ7" s="21">
        <f>IF(KZ$1&lt;INDEX('Valo FX'!$Q:$Q,MATCH($A7,'Valo FX'!$A:$A,0)),0,IF(KZ$1&lt;INDEX('Valo FX'!$R:$R,MATCH($A7,'Valo FX'!$A:$A,0)),INDEX(Base!$U:$U,MATCH($A7,Base!$A:$A,0)),IF(KZ$1=INDEX('Valo FX'!$R:$R,MATCH($A7,'Valo FX'!$A:$A,0)),INDEX(Base!$V:$V,MATCH($A7,Base!$A:$A,0)),0)))</f>
        <v>10.986879999999999</v>
      </c>
      <c r="LA7" s="21">
        <f>IF(LA$1&lt;INDEX('Valo FX'!$Q:$Q,MATCH($A7,'Valo FX'!$A:$A,0)),0,IF(LA$1&lt;INDEX('Valo FX'!$R:$R,MATCH($A7,'Valo FX'!$A:$A,0)),INDEX(Base!$U:$U,MATCH($A7,Base!$A:$A,0)),IF(LA$1=INDEX('Valo FX'!$R:$R,MATCH($A7,'Valo FX'!$A:$A,0)),INDEX(Base!$V:$V,MATCH($A7,Base!$A:$A,0)),0)))</f>
        <v>10.986879999999999</v>
      </c>
      <c r="LB7" s="21">
        <f>IF(LB$1&lt;INDEX('Valo FX'!$Q:$Q,MATCH($A7,'Valo FX'!$A:$A,0)),0,IF(LB$1&lt;INDEX('Valo FX'!$R:$R,MATCH($A7,'Valo FX'!$A:$A,0)),INDEX(Base!$U:$U,MATCH($A7,Base!$A:$A,0)),IF(LB$1=INDEX('Valo FX'!$R:$R,MATCH($A7,'Valo FX'!$A:$A,0)),INDEX(Base!$V:$V,MATCH($A7,Base!$A:$A,0)),0)))</f>
        <v>10.986879999999999</v>
      </c>
      <c r="LC7" s="21">
        <f>IF(LC$1&lt;INDEX('Valo FX'!$Q:$Q,MATCH($A7,'Valo FX'!$A:$A,0)),0,IF(LC$1&lt;INDEX('Valo FX'!$R:$R,MATCH($A7,'Valo FX'!$A:$A,0)),INDEX(Base!$U:$U,MATCH($A7,Base!$A:$A,0)),IF(LC$1=INDEX('Valo FX'!$R:$R,MATCH($A7,'Valo FX'!$A:$A,0)),INDEX(Base!$V:$V,MATCH($A7,Base!$A:$A,0)),0)))</f>
        <v>10.986879999999999</v>
      </c>
      <c r="LD7" s="21">
        <f>IF(LD$1&lt;INDEX('Valo FX'!$Q:$Q,MATCH($A7,'Valo FX'!$A:$A,0)),0,IF(LD$1&lt;INDEX('Valo FX'!$R:$R,MATCH($A7,'Valo FX'!$A:$A,0)),INDEX(Base!$U:$U,MATCH($A7,Base!$A:$A,0)),IF(LD$1=INDEX('Valo FX'!$R:$R,MATCH($A7,'Valo FX'!$A:$A,0)),INDEX(Base!$V:$V,MATCH($A7,Base!$A:$A,0)),0)))</f>
        <v>10.986879999999999</v>
      </c>
      <c r="LE7" s="21">
        <f>IF(LE$1&lt;INDEX('Valo FX'!$Q:$Q,MATCH($A7,'Valo FX'!$A:$A,0)),0,IF(LE$1&lt;INDEX('Valo FX'!$R:$R,MATCH($A7,'Valo FX'!$A:$A,0)),INDEX(Base!$U:$U,MATCH($A7,Base!$A:$A,0)),IF(LE$1=INDEX('Valo FX'!$R:$R,MATCH($A7,'Valo FX'!$A:$A,0)),INDEX(Base!$V:$V,MATCH($A7,Base!$A:$A,0)),0)))</f>
        <v>10.986879999999999</v>
      </c>
      <c r="LF7" s="21">
        <f>IF(LF$1&lt;INDEX('Valo FX'!$Q:$Q,MATCH($A7,'Valo FX'!$A:$A,0)),0,IF(LF$1&lt;INDEX('Valo FX'!$R:$R,MATCH($A7,'Valo FX'!$A:$A,0)),INDEX(Base!$U:$U,MATCH($A7,Base!$A:$A,0)),IF(LF$1=INDEX('Valo FX'!$R:$R,MATCH($A7,'Valo FX'!$A:$A,0)),INDEX(Base!$V:$V,MATCH($A7,Base!$A:$A,0)),0)))</f>
        <v>10.986879999999999</v>
      </c>
      <c r="LG7" s="21">
        <f>IF(LG$1&lt;INDEX('Valo FX'!$Q:$Q,MATCH($A7,'Valo FX'!$A:$A,0)),0,IF(LG$1&lt;INDEX('Valo FX'!$R:$R,MATCH($A7,'Valo FX'!$A:$A,0)),INDEX(Base!$U:$U,MATCH($A7,Base!$A:$A,0)),IF(LG$1=INDEX('Valo FX'!$R:$R,MATCH($A7,'Valo FX'!$A:$A,0)),INDEX(Base!$V:$V,MATCH($A7,Base!$A:$A,0)),0)))</f>
        <v>10.986879999999999</v>
      </c>
      <c r="LH7" s="21">
        <f>IF(LH$1&lt;INDEX('Valo FX'!$Q:$Q,MATCH($A7,'Valo FX'!$A:$A,0)),0,IF(LH$1&lt;INDEX('Valo FX'!$R:$R,MATCH($A7,'Valo FX'!$A:$A,0)),INDEX(Base!$U:$U,MATCH($A7,Base!$A:$A,0)),IF(LH$1=INDEX('Valo FX'!$R:$R,MATCH($A7,'Valo FX'!$A:$A,0)),INDEX(Base!$V:$V,MATCH($A7,Base!$A:$A,0)),0)))</f>
        <v>10.986879999999999</v>
      </c>
      <c r="LI7" s="21">
        <f>IF(LI$1&lt;INDEX('Valo FX'!$Q:$Q,MATCH($A7,'Valo FX'!$A:$A,0)),0,IF(LI$1&lt;INDEX('Valo FX'!$R:$R,MATCH($A7,'Valo FX'!$A:$A,0)),INDEX(Base!$U:$U,MATCH($A7,Base!$A:$A,0)),IF(LI$1=INDEX('Valo FX'!$R:$R,MATCH($A7,'Valo FX'!$A:$A,0)),INDEX(Base!$V:$V,MATCH($A7,Base!$A:$A,0)),0)))</f>
        <v>10.986879999999999</v>
      </c>
      <c r="LJ7" s="21">
        <f>IF(LJ$1&lt;INDEX('Valo FX'!$Q:$Q,MATCH($A7,'Valo FX'!$A:$A,0)),0,IF(LJ$1&lt;INDEX('Valo FX'!$R:$R,MATCH($A7,'Valo FX'!$A:$A,0)),INDEX(Base!$U:$U,MATCH($A7,Base!$A:$A,0)),IF(LJ$1=INDEX('Valo FX'!$R:$R,MATCH($A7,'Valo FX'!$A:$A,0)),INDEX(Base!$V:$V,MATCH($A7,Base!$A:$A,0)),0)))</f>
        <v>10.986879999999999</v>
      </c>
      <c r="LK7" s="21">
        <f>IF(LK$1&lt;INDEX('Valo FX'!$Q:$Q,MATCH($A7,'Valo FX'!$A:$A,0)),0,IF(LK$1&lt;INDEX('Valo FX'!$R:$R,MATCH($A7,'Valo FX'!$A:$A,0)),INDEX(Base!$U:$U,MATCH($A7,Base!$A:$A,0)),IF(LK$1=INDEX('Valo FX'!$R:$R,MATCH($A7,'Valo FX'!$A:$A,0)),INDEX(Base!$V:$V,MATCH($A7,Base!$A:$A,0)),0)))</f>
        <v>10.986879999999999</v>
      </c>
      <c r="LL7" s="21">
        <f>IF(LL$1&lt;INDEX('Valo FX'!$Q:$Q,MATCH($A7,'Valo FX'!$A:$A,0)),0,IF(LL$1&lt;INDEX('Valo FX'!$R:$R,MATCH($A7,'Valo FX'!$A:$A,0)),INDEX(Base!$U:$U,MATCH($A7,Base!$A:$A,0)),IF(LL$1=INDEX('Valo FX'!$R:$R,MATCH($A7,'Valo FX'!$A:$A,0)),INDEX(Base!$V:$V,MATCH($A7,Base!$A:$A,0)),0)))</f>
        <v>10.986879999999999</v>
      </c>
      <c r="LM7" s="21">
        <f>IF(LM$1&lt;INDEX('Valo FX'!$Q:$Q,MATCH($A7,'Valo FX'!$A:$A,0)),0,IF(LM$1&lt;INDEX('Valo FX'!$R:$R,MATCH($A7,'Valo FX'!$A:$A,0)),INDEX(Base!$U:$U,MATCH($A7,Base!$A:$A,0)),IF(LM$1=INDEX('Valo FX'!$R:$R,MATCH($A7,'Valo FX'!$A:$A,0)),INDEX(Base!$V:$V,MATCH($A7,Base!$A:$A,0)),0)))</f>
        <v>10.986879999999999</v>
      </c>
      <c r="LN7" s="21">
        <f>IF(LN$1&lt;INDEX('Valo FX'!$Q:$Q,MATCH($A7,'Valo FX'!$A:$A,0)),0,IF(LN$1&lt;INDEX('Valo FX'!$R:$R,MATCH($A7,'Valo FX'!$A:$A,0)),INDEX(Base!$U:$U,MATCH($A7,Base!$A:$A,0)),IF(LN$1=INDEX('Valo FX'!$R:$R,MATCH($A7,'Valo FX'!$A:$A,0)),INDEX(Base!$V:$V,MATCH($A7,Base!$A:$A,0)),0)))</f>
        <v>10.986879999999999</v>
      </c>
      <c r="LO7" s="21">
        <f>IF(LO$1&lt;INDEX('Valo FX'!$Q:$Q,MATCH($A7,'Valo FX'!$A:$A,0)),0,IF(LO$1&lt;INDEX('Valo FX'!$R:$R,MATCH($A7,'Valo FX'!$A:$A,0)),INDEX(Base!$U:$U,MATCH($A7,Base!$A:$A,0)),IF(LO$1=INDEX('Valo FX'!$R:$R,MATCH($A7,'Valo FX'!$A:$A,0)),INDEX(Base!$V:$V,MATCH($A7,Base!$A:$A,0)),0)))</f>
        <v>10.986879999999999</v>
      </c>
      <c r="LP7" s="21">
        <f>IF(LP$1&lt;INDEX('Valo FX'!$Q:$Q,MATCH($A7,'Valo FX'!$A:$A,0)),0,IF(LP$1&lt;INDEX('Valo FX'!$R:$R,MATCH($A7,'Valo FX'!$A:$A,0)),INDEX(Base!$U:$U,MATCH($A7,Base!$A:$A,0)),IF(LP$1=INDEX('Valo FX'!$R:$R,MATCH($A7,'Valo FX'!$A:$A,0)),INDEX(Base!$V:$V,MATCH($A7,Base!$A:$A,0)),0)))</f>
        <v>10.986879999999999</v>
      </c>
      <c r="LQ7" s="21">
        <f>IF(LQ$1&lt;INDEX('Valo FX'!$Q:$Q,MATCH($A7,'Valo FX'!$A:$A,0)),0,IF(LQ$1&lt;INDEX('Valo FX'!$R:$R,MATCH($A7,'Valo FX'!$A:$A,0)),INDEX(Base!$U:$U,MATCH($A7,Base!$A:$A,0)),IF(LQ$1=INDEX('Valo FX'!$R:$R,MATCH($A7,'Valo FX'!$A:$A,0)),INDEX(Base!$V:$V,MATCH($A7,Base!$A:$A,0)),0)))</f>
        <v>10.986879999999999</v>
      </c>
      <c r="LR7" s="21">
        <f>IF(LR$1&lt;INDEX('Valo FX'!$Q:$Q,MATCH($A7,'Valo FX'!$A:$A,0)),0,IF(LR$1&lt;INDEX('Valo FX'!$R:$R,MATCH($A7,'Valo FX'!$A:$A,0)),INDEX(Base!$U:$U,MATCH($A7,Base!$A:$A,0)),IF(LR$1=INDEX('Valo FX'!$R:$R,MATCH($A7,'Valo FX'!$A:$A,0)),INDEX(Base!$V:$V,MATCH($A7,Base!$A:$A,0)),0)))</f>
        <v>10.986879999999999</v>
      </c>
      <c r="LS7" s="21">
        <f>IF(LS$1&lt;INDEX('Valo FX'!$Q:$Q,MATCH($A7,'Valo FX'!$A:$A,0)),0,IF(LS$1&lt;INDEX('Valo FX'!$R:$R,MATCH($A7,'Valo FX'!$A:$A,0)),INDEX(Base!$U:$U,MATCH($A7,Base!$A:$A,0)),IF(LS$1=INDEX('Valo FX'!$R:$R,MATCH($A7,'Valo FX'!$A:$A,0)),INDEX(Base!$V:$V,MATCH($A7,Base!$A:$A,0)),0)))</f>
        <v>10.986879999999999</v>
      </c>
      <c r="LT7" s="21">
        <f>IF(LT$1&lt;INDEX('Valo FX'!$Q:$Q,MATCH($A7,'Valo FX'!$A:$A,0)),0,IF(LT$1&lt;INDEX('Valo FX'!$R:$R,MATCH($A7,'Valo FX'!$A:$A,0)),INDEX(Base!$U:$U,MATCH($A7,Base!$A:$A,0)),IF(LT$1=INDEX('Valo FX'!$R:$R,MATCH($A7,'Valo FX'!$A:$A,0)),INDEX(Base!$V:$V,MATCH($A7,Base!$A:$A,0)),0)))</f>
        <v>10.986879999999999</v>
      </c>
      <c r="LU7" s="21">
        <f>IF(LU$1&lt;INDEX('Valo FX'!$Q:$Q,MATCH($A7,'Valo FX'!$A:$A,0)),0,IF(LU$1&lt;INDEX('Valo FX'!$R:$R,MATCH($A7,'Valo FX'!$A:$A,0)),INDEX(Base!$U:$U,MATCH($A7,Base!$A:$A,0)),IF(LU$1=INDEX('Valo FX'!$R:$R,MATCH($A7,'Valo FX'!$A:$A,0)),INDEX(Base!$V:$V,MATCH($A7,Base!$A:$A,0)),0)))</f>
        <v>10.986879999999999</v>
      </c>
      <c r="LV7" s="21">
        <f>IF(LV$1&lt;INDEX('Valo FX'!$Q:$Q,MATCH($A7,'Valo FX'!$A:$A,0)),0,IF(LV$1&lt;INDEX('Valo FX'!$R:$R,MATCH($A7,'Valo FX'!$A:$A,0)),INDEX(Base!$U:$U,MATCH($A7,Base!$A:$A,0)),IF(LV$1=INDEX('Valo FX'!$R:$R,MATCH($A7,'Valo FX'!$A:$A,0)),INDEX(Base!$V:$V,MATCH($A7,Base!$A:$A,0)),0)))</f>
        <v>10.986879999999999</v>
      </c>
      <c r="LW7" s="21">
        <f>IF(LW$1&lt;INDEX('Valo FX'!$Q:$Q,MATCH($A7,'Valo FX'!$A:$A,0)),0,IF(LW$1&lt;INDEX('Valo FX'!$R:$R,MATCH($A7,'Valo FX'!$A:$A,0)),INDEX(Base!$U:$U,MATCH($A7,Base!$A:$A,0)),IF(LW$1=INDEX('Valo FX'!$R:$R,MATCH($A7,'Valo FX'!$A:$A,0)),INDEX(Base!$V:$V,MATCH($A7,Base!$A:$A,0)),0)))</f>
        <v>10.986879999999999</v>
      </c>
      <c r="LX7" s="21">
        <f>IF(LX$1&lt;INDEX('Valo FX'!$Q:$Q,MATCH($A7,'Valo FX'!$A:$A,0)),0,IF(LX$1&lt;INDEX('Valo FX'!$R:$R,MATCH($A7,'Valo FX'!$A:$A,0)),INDEX(Base!$U:$U,MATCH($A7,Base!$A:$A,0)),IF(LX$1=INDEX('Valo FX'!$R:$R,MATCH($A7,'Valo FX'!$A:$A,0)),INDEX(Base!$V:$V,MATCH($A7,Base!$A:$A,0)),0)))</f>
        <v>10.986879999999999</v>
      </c>
      <c r="LY7" s="21">
        <f>IF(LY$1&lt;INDEX('Valo FX'!$Q:$Q,MATCH($A7,'Valo FX'!$A:$A,0)),0,IF(LY$1&lt;INDEX('Valo FX'!$R:$R,MATCH($A7,'Valo FX'!$A:$A,0)),INDEX(Base!$U:$U,MATCH($A7,Base!$A:$A,0)),IF(LY$1=INDEX('Valo FX'!$R:$R,MATCH($A7,'Valo FX'!$A:$A,0)),INDEX(Base!$V:$V,MATCH($A7,Base!$A:$A,0)),0)))</f>
        <v>10.986879999999999</v>
      </c>
      <c r="LZ7" s="21">
        <f>IF(LZ$1&lt;INDEX('Valo FX'!$Q:$Q,MATCH($A7,'Valo FX'!$A:$A,0)),0,IF(LZ$1&lt;INDEX('Valo FX'!$R:$R,MATCH($A7,'Valo FX'!$A:$A,0)),INDEX(Base!$U:$U,MATCH($A7,Base!$A:$A,0)),IF(LZ$1=INDEX('Valo FX'!$R:$R,MATCH($A7,'Valo FX'!$A:$A,0)),INDEX(Base!$V:$V,MATCH($A7,Base!$A:$A,0)),0)))</f>
        <v>10.986879999999999</v>
      </c>
      <c r="MA7" s="21">
        <f>IF(MA$1&lt;INDEX('Valo FX'!$Q:$Q,MATCH($A7,'Valo FX'!$A:$A,0)),0,IF(MA$1&lt;INDEX('Valo FX'!$R:$R,MATCH($A7,'Valo FX'!$A:$A,0)),INDEX(Base!$U:$U,MATCH($A7,Base!$A:$A,0)),IF(MA$1=INDEX('Valo FX'!$R:$R,MATCH($A7,'Valo FX'!$A:$A,0)),INDEX(Base!$V:$V,MATCH($A7,Base!$A:$A,0)),0)))</f>
        <v>10.986879999999999</v>
      </c>
      <c r="MB7" s="21">
        <f>IF(MB$1&lt;INDEX('Valo FX'!$Q:$Q,MATCH($A7,'Valo FX'!$A:$A,0)),0,IF(MB$1&lt;INDEX('Valo FX'!$R:$R,MATCH($A7,'Valo FX'!$A:$A,0)),INDEX(Base!$U:$U,MATCH($A7,Base!$A:$A,0)),IF(MB$1=INDEX('Valo FX'!$R:$R,MATCH($A7,'Valo FX'!$A:$A,0)),INDEX(Base!$V:$V,MATCH($A7,Base!$A:$A,0)),0)))</f>
        <v>10.986879999999999</v>
      </c>
      <c r="MC7" s="21">
        <f>IF(MC$1&lt;INDEX('Valo FX'!$Q:$Q,MATCH($A7,'Valo FX'!$A:$A,0)),0,IF(MC$1&lt;INDEX('Valo FX'!$R:$R,MATCH($A7,'Valo FX'!$A:$A,0)),INDEX(Base!$U:$U,MATCH($A7,Base!$A:$A,0)),IF(MC$1=INDEX('Valo FX'!$R:$R,MATCH($A7,'Valo FX'!$A:$A,0)),INDEX(Base!$V:$V,MATCH($A7,Base!$A:$A,0)),0)))</f>
        <v>10.986879999999999</v>
      </c>
      <c r="MD7" s="21">
        <f>IF(MD$1&lt;INDEX('Valo FX'!$Q:$Q,MATCH($A7,'Valo FX'!$A:$A,0)),0,IF(MD$1&lt;INDEX('Valo FX'!$R:$R,MATCH($A7,'Valo FX'!$A:$A,0)),INDEX(Base!$U:$U,MATCH($A7,Base!$A:$A,0)),IF(MD$1=INDEX('Valo FX'!$R:$R,MATCH($A7,'Valo FX'!$A:$A,0)),INDEX(Base!$V:$V,MATCH($A7,Base!$A:$A,0)),0)))</f>
        <v>10.986879999999999</v>
      </c>
      <c r="ME7" s="21">
        <f>IF(ME$1&lt;INDEX('Valo FX'!$Q:$Q,MATCH($A7,'Valo FX'!$A:$A,0)),0,IF(ME$1&lt;INDEX('Valo FX'!$R:$R,MATCH($A7,'Valo FX'!$A:$A,0)),INDEX(Base!$U:$U,MATCH($A7,Base!$A:$A,0)),IF(ME$1=INDEX('Valo FX'!$R:$R,MATCH($A7,'Valo FX'!$A:$A,0)),INDEX(Base!$V:$V,MATCH($A7,Base!$A:$A,0)),0)))</f>
        <v>10.986879999999999</v>
      </c>
      <c r="MF7" s="21">
        <f>IF(MF$1&lt;INDEX('Valo FX'!$Q:$Q,MATCH($A7,'Valo FX'!$A:$A,0)),0,IF(MF$1&lt;INDEX('Valo FX'!$R:$R,MATCH($A7,'Valo FX'!$A:$A,0)),INDEX(Base!$U:$U,MATCH($A7,Base!$A:$A,0)),IF(MF$1=INDEX('Valo FX'!$R:$R,MATCH($A7,'Valo FX'!$A:$A,0)),INDEX(Base!$V:$V,MATCH($A7,Base!$A:$A,0)),0)))</f>
        <v>10.986879999999999</v>
      </c>
      <c r="MG7" s="21">
        <f>IF(MG$1&lt;INDEX('Valo FX'!$Q:$Q,MATCH($A7,'Valo FX'!$A:$A,0)),0,IF(MG$1&lt;INDEX('Valo FX'!$R:$R,MATCH($A7,'Valo FX'!$A:$A,0)),INDEX(Base!$U:$U,MATCH($A7,Base!$A:$A,0)),IF(MG$1=INDEX('Valo FX'!$R:$R,MATCH($A7,'Valo FX'!$A:$A,0)),INDEX(Base!$V:$V,MATCH($A7,Base!$A:$A,0)),0)))</f>
        <v>10.986879999999999</v>
      </c>
      <c r="MH7" s="21">
        <f>IF(MH$1&lt;INDEX('Valo FX'!$Q:$Q,MATCH($A7,'Valo FX'!$A:$A,0)),0,IF(MH$1&lt;INDEX('Valo FX'!$R:$R,MATCH($A7,'Valo FX'!$A:$A,0)),INDEX(Base!$U:$U,MATCH($A7,Base!$A:$A,0)),IF(MH$1=INDEX('Valo FX'!$R:$R,MATCH($A7,'Valo FX'!$A:$A,0)),INDEX(Base!$V:$V,MATCH($A7,Base!$A:$A,0)),0)))</f>
        <v>10.986879999999999</v>
      </c>
      <c r="MI7" s="21">
        <f>IF(MI$1&lt;INDEX('Valo FX'!$Q:$Q,MATCH($A7,'Valo FX'!$A:$A,0)),0,IF(MI$1&lt;INDEX('Valo FX'!$R:$R,MATCH($A7,'Valo FX'!$A:$A,0)),INDEX(Base!$U:$U,MATCH($A7,Base!$A:$A,0)),IF(MI$1=INDEX('Valo FX'!$R:$R,MATCH($A7,'Valo FX'!$A:$A,0)),INDEX(Base!$V:$V,MATCH($A7,Base!$A:$A,0)),0)))</f>
        <v>10.986879999999999</v>
      </c>
      <c r="MJ7" s="21">
        <f>IF(MJ$1&lt;INDEX('Valo FX'!$Q:$Q,MATCH($A7,'Valo FX'!$A:$A,0)),0,IF(MJ$1&lt;INDEX('Valo FX'!$R:$R,MATCH($A7,'Valo FX'!$A:$A,0)),INDEX(Base!$U:$U,MATCH($A7,Base!$A:$A,0)),IF(MJ$1=INDEX('Valo FX'!$R:$R,MATCH($A7,'Valo FX'!$A:$A,0)),INDEX(Base!$V:$V,MATCH($A7,Base!$A:$A,0)),0)))</f>
        <v>10.986879999999999</v>
      </c>
      <c r="MK7" s="21">
        <f>IF(MK$1&lt;INDEX('Valo FX'!$Q:$Q,MATCH($A7,'Valo FX'!$A:$A,0)),0,IF(MK$1&lt;INDEX('Valo FX'!$R:$R,MATCH($A7,'Valo FX'!$A:$A,0)),INDEX(Base!$U:$U,MATCH($A7,Base!$A:$A,0)),IF(MK$1=INDEX('Valo FX'!$R:$R,MATCH($A7,'Valo FX'!$A:$A,0)),INDEX(Base!$V:$V,MATCH($A7,Base!$A:$A,0)),0)))</f>
        <v>10.986879999999999</v>
      </c>
      <c r="ML7" s="21">
        <f>IF(ML$1&lt;INDEX('Valo FX'!$Q:$Q,MATCH($A7,'Valo FX'!$A:$A,0)),0,IF(ML$1&lt;INDEX('Valo FX'!$R:$R,MATCH($A7,'Valo FX'!$A:$A,0)),INDEX(Base!$U:$U,MATCH($A7,Base!$A:$A,0)),IF(ML$1=INDEX('Valo FX'!$R:$R,MATCH($A7,'Valo FX'!$A:$A,0)),INDEX(Base!$V:$V,MATCH($A7,Base!$A:$A,0)),0)))</f>
        <v>10.986879999999999</v>
      </c>
      <c r="MM7" s="21">
        <f>IF(MM$1&lt;INDEX('Valo FX'!$Q:$Q,MATCH($A7,'Valo FX'!$A:$A,0)),0,IF(MM$1&lt;INDEX('Valo FX'!$R:$R,MATCH($A7,'Valo FX'!$A:$A,0)),INDEX(Base!$U:$U,MATCH($A7,Base!$A:$A,0)),IF(MM$1=INDEX('Valo FX'!$R:$R,MATCH($A7,'Valo FX'!$A:$A,0)),INDEX(Base!$V:$V,MATCH($A7,Base!$A:$A,0)),0)))</f>
        <v>10.986879999999999</v>
      </c>
      <c r="MN7" s="21">
        <f>IF(MN$1&lt;INDEX('Valo FX'!$Q:$Q,MATCH($A7,'Valo FX'!$A:$A,0)),0,IF(MN$1&lt;INDEX('Valo FX'!$R:$R,MATCH($A7,'Valo FX'!$A:$A,0)),INDEX(Base!$U:$U,MATCH($A7,Base!$A:$A,0)),IF(MN$1=INDEX('Valo FX'!$R:$R,MATCH($A7,'Valo FX'!$A:$A,0)),INDEX(Base!$V:$V,MATCH($A7,Base!$A:$A,0)),0)))</f>
        <v>10.986879999999999</v>
      </c>
      <c r="MO7" s="21">
        <f>IF(MO$1&lt;INDEX('Valo FX'!$Q:$Q,MATCH($A7,'Valo FX'!$A:$A,0)),0,IF(MO$1&lt;INDEX('Valo FX'!$R:$R,MATCH($A7,'Valo FX'!$A:$A,0)),INDEX(Base!$U:$U,MATCH($A7,Base!$A:$A,0)),IF(MO$1=INDEX('Valo FX'!$R:$R,MATCH($A7,'Valo FX'!$A:$A,0)),INDEX(Base!$V:$V,MATCH($A7,Base!$A:$A,0)),0)))</f>
        <v>10.986879999999999</v>
      </c>
      <c r="MP7" s="21">
        <f>IF(MP$1&lt;INDEX('Valo FX'!$Q:$Q,MATCH($A7,'Valo FX'!$A:$A,0)),0,IF(MP$1&lt;INDEX('Valo FX'!$R:$R,MATCH($A7,'Valo FX'!$A:$A,0)),INDEX(Base!$U:$U,MATCH($A7,Base!$A:$A,0)),IF(MP$1=INDEX('Valo FX'!$R:$R,MATCH($A7,'Valo FX'!$A:$A,0)),INDEX(Base!$V:$V,MATCH($A7,Base!$A:$A,0)),0)))</f>
        <v>10.986879999999999</v>
      </c>
      <c r="MQ7" s="21">
        <f>IF(MQ$1&lt;INDEX('Valo FX'!$Q:$Q,MATCH($A7,'Valo FX'!$A:$A,0)),0,IF(MQ$1&lt;INDEX('Valo FX'!$R:$R,MATCH($A7,'Valo FX'!$A:$A,0)),INDEX(Base!$U:$U,MATCH($A7,Base!$A:$A,0)),IF(MQ$1=INDEX('Valo FX'!$R:$R,MATCH($A7,'Valo FX'!$A:$A,0)),INDEX(Base!$V:$V,MATCH($A7,Base!$A:$A,0)),0)))</f>
        <v>10.986879999999999</v>
      </c>
      <c r="MR7" s="21">
        <f>IF(MR$1&lt;INDEX('Valo FX'!$Q:$Q,MATCH($A7,'Valo FX'!$A:$A,0)),0,IF(MR$1&lt;INDEX('Valo FX'!$R:$R,MATCH($A7,'Valo FX'!$A:$A,0)),INDEX(Base!$U:$U,MATCH($A7,Base!$A:$A,0)),IF(MR$1=INDEX('Valo FX'!$R:$R,MATCH($A7,'Valo FX'!$A:$A,0)),INDEX(Base!$V:$V,MATCH($A7,Base!$A:$A,0)),0)))</f>
        <v>10.986879999999999</v>
      </c>
      <c r="MS7" s="21">
        <f>IF(MS$1&lt;INDEX('Valo FX'!$Q:$Q,MATCH($A7,'Valo FX'!$A:$A,0)),0,IF(MS$1&lt;INDEX('Valo FX'!$R:$R,MATCH($A7,'Valo FX'!$A:$A,0)),INDEX(Base!$U:$U,MATCH($A7,Base!$A:$A,0)),IF(MS$1=INDEX('Valo FX'!$R:$R,MATCH($A7,'Valo FX'!$A:$A,0)),INDEX(Base!$V:$V,MATCH($A7,Base!$A:$A,0)),0)))</f>
        <v>10.986879999999999</v>
      </c>
      <c r="MT7" s="21">
        <f>IF(MT$1&lt;INDEX('Valo FX'!$Q:$Q,MATCH($A7,'Valo FX'!$A:$A,0)),0,IF(MT$1&lt;INDEX('Valo FX'!$R:$R,MATCH($A7,'Valo FX'!$A:$A,0)),INDEX(Base!$U:$U,MATCH($A7,Base!$A:$A,0)),IF(MT$1=INDEX('Valo FX'!$R:$R,MATCH($A7,'Valo FX'!$A:$A,0)),INDEX(Base!$V:$V,MATCH($A7,Base!$A:$A,0)),0)))</f>
        <v>10.986879999999999</v>
      </c>
      <c r="MU7" s="21">
        <f>IF(MU$1&lt;INDEX('Valo FX'!$Q:$Q,MATCH($A7,'Valo FX'!$A:$A,0)),0,IF(MU$1&lt;INDEX('Valo FX'!$R:$R,MATCH($A7,'Valo FX'!$A:$A,0)),INDEX(Base!$U:$U,MATCH($A7,Base!$A:$A,0)),IF(MU$1=INDEX('Valo FX'!$R:$R,MATCH($A7,'Valo FX'!$A:$A,0)),INDEX(Base!$V:$V,MATCH($A7,Base!$A:$A,0)),0)))</f>
        <v>10.986879999999999</v>
      </c>
      <c r="MV7" s="21">
        <f>IF(MV$1&lt;INDEX('Valo FX'!$Q:$Q,MATCH($A7,'Valo FX'!$A:$A,0)),0,IF(MV$1&lt;INDEX('Valo FX'!$R:$R,MATCH($A7,'Valo FX'!$A:$A,0)),INDEX(Base!$U:$U,MATCH($A7,Base!$A:$A,0)),IF(MV$1=INDEX('Valo FX'!$R:$R,MATCH($A7,'Valo FX'!$A:$A,0)),INDEX(Base!$V:$V,MATCH($A7,Base!$A:$A,0)),0)))</f>
        <v>10.986879999999999</v>
      </c>
      <c r="MW7" s="21">
        <f>IF(MW$1&lt;INDEX('Valo FX'!$Q:$Q,MATCH($A7,'Valo FX'!$A:$A,0)),0,IF(MW$1&lt;INDEX('Valo FX'!$R:$R,MATCH($A7,'Valo FX'!$A:$A,0)),INDEX(Base!$U:$U,MATCH($A7,Base!$A:$A,0)),IF(MW$1=INDEX('Valo FX'!$R:$R,MATCH($A7,'Valo FX'!$A:$A,0)),INDEX(Base!$V:$V,MATCH($A7,Base!$A:$A,0)),0)))</f>
        <v>10.986879999999999</v>
      </c>
      <c r="MX7" s="21">
        <f>IF(MX$1&lt;INDEX('Valo FX'!$Q:$Q,MATCH($A7,'Valo FX'!$A:$A,0)),0,IF(MX$1&lt;INDEX('Valo FX'!$R:$R,MATCH($A7,'Valo FX'!$A:$A,0)),INDEX(Base!$U:$U,MATCH($A7,Base!$A:$A,0)),IF(MX$1=INDEX('Valo FX'!$R:$R,MATCH($A7,'Valo FX'!$A:$A,0)),INDEX(Base!$V:$V,MATCH($A7,Base!$A:$A,0)),0)))</f>
        <v>10.986879999999999</v>
      </c>
      <c r="MY7" s="21">
        <f>IF(MY$1&lt;INDEX('Valo FX'!$Q:$Q,MATCH($A7,'Valo FX'!$A:$A,0)),0,IF(MY$1&lt;INDEX('Valo FX'!$R:$R,MATCH($A7,'Valo FX'!$A:$A,0)),INDEX(Base!$U:$U,MATCH($A7,Base!$A:$A,0)),IF(MY$1=INDEX('Valo FX'!$R:$R,MATCH($A7,'Valo FX'!$A:$A,0)),INDEX(Base!$V:$V,MATCH($A7,Base!$A:$A,0)),0)))</f>
        <v>11.27858</v>
      </c>
    </row>
    <row r="8" spans="1:363" x14ac:dyDescent="0.2">
      <c r="A8" s="7">
        <f>+'Valo FX'!A9</f>
        <v>6</v>
      </c>
      <c r="B8" s="58">
        <f>-'Valo FX'!T9</f>
        <v>-1723.2178374195353</v>
      </c>
      <c r="C8" s="21">
        <f>IF(C$1&lt;INDEX('Valo FX'!$Q:$Q,MATCH($A8,'Valo FX'!$A:$A,0)),0,IF(C$1&lt;INDEX('Valo FX'!$R:$R,MATCH($A8,'Valo FX'!$A:$A,0)),INDEX(Base!$U:$U,MATCH($A8,Base!$A:$A,0)),IF(C$1=INDEX('Valo FX'!$R:$R,MATCH($A8,'Valo FX'!$A:$A,0)),INDEX(Base!$V:$V,MATCH($A8,Base!$A:$A,0)),0)))</f>
        <v>0</v>
      </c>
      <c r="D8" s="21">
        <f>IF(D$1&lt;INDEX('Valo FX'!$Q:$Q,MATCH($A8,'Valo FX'!$A:$A,0)),0,IF(D$1&lt;INDEX('Valo FX'!$R:$R,MATCH($A8,'Valo FX'!$A:$A,0)),INDEX(Base!$U:$U,MATCH($A8,Base!$A:$A,0)),IF(D$1=INDEX('Valo FX'!$R:$R,MATCH($A8,'Valo FX'!$A:$A,0)),INDEX(Base!$V:$V,MATCH($A8,Base!$A:$A,0)),0)))</f>
        <v>0</v>
      </c>
      <c r="E8" s="21">
        <f>IF(E$1&lt;INDEX('Valo FX'!$Q:$Q,MATCH($A8,'Valo FX'!$A:$A,0)),0,IF(E$1&lt;INDEX('Valo FX'!$R:$R,MATCH($A8,'Valo FX'!$A:$A,0)),INDEX(Base!$U:$U,MATCH($A8,Base!$A:$A,0)),IF(E$1=INDEX('Valo FX'!$R:$R,MATCH($A8,'Valo FX'!$A:$A,0)),INDEX(Base!$V:$V,MATCH($A8,Base!$A:$A,0)),0)))</f>
        <v>0</v>
      </c>
      <c r="F8" s="21">
        <f>IF(F$1&lt;INDEX('Valo FX'!$Q:$Q,MATCH($A8,'Valo FX'!$A:$A,0)),0,IF(F$1&lt;INDEX('Valo FX'!$R:$R,MATCH($A8,'Valo FX'!$A:$A,0)),INDEX(Base!$U:$U,MATCH($A8,Base!$A:$A,0)),IF(F$1=INDEX('Valo FX'!$R:$R,MATCH($A8,'Valo FX'!$A:$A,0)),INDEX(Base!$V:$V,MATCH($A8,Base!$A:$A,0)),0)))</f>
        <v>0</v>
      </c>
      <c r="G8" s="21">
        <f>IF(G$1&lt;INDEX('Valo FX'!$Q:$Q,MATCH($A8,'Valo FX'!$A:$A,0)),0,IF(G$1&lt;INDEX('Valo FX'!$R:$R,MATCH($A8,'Valo FX'!$A:$A,0)),INDEX(Base!$U:$U,MATCH($A8,Base!$A:$A,0)),IF(G$1=INDEX('Valo FX'!$R:$R,MATCH($A8,'Valo FX'!$A:$A,0)),INDEX(Base!$V:$V,MATCH($A8,Base!$A:$A,0)),0)))</f>
        <v>0</v>
      </c>
      <c r="H8" s="21">
        <f>IF(H$1&lt;INDEX('Valo FX'!$Q:$Q,MATCH($A8,'Valo FX'!$A:$A,0)),0,IF(H$1&lt;INDEX('Valo FX'!$R:$R,MATCH($A8,'Valo FX'!$A:$A,0)),INDEX(Base!$U:$U,MATCH($A8,Base!$A:$A,0)),IF(H$1=INDEX('Valo FX'!$R:$R,MATCH($A8,'Valo FX'!$A:$A,0)),INDEX(Base!$V:$V,MATCH($A8,Base!$A:$A,0)),0)))</f>
        <v>0</v>
      </c>
      <c r="I8" s="21">
        <f>IF(I$1&lt;INDEX('Valo FX'!$Q:$Q,MATCH($A8,'Valo FX'!$A:$A,0)),0,IF(I$1&lt;INDEX('Valo FX'!$R:$R,MATCH($A8,'Valo FX'!$A:$A,0)),INDEX(Base!$U:$U,MATCH($A8,Base!$A:$A,0)),IF(I$1=INDEX('Valo FX'!$R:$R,MATCH($A8,'Valo FX'!$A:$A,0)),INDEX(Base!$V:$V,MATCH($A8,Base!$A:$A,0)),0)))</f>
        <v>12.508353</v>
      </c>
      <c r="J8" s="21">
        <f>IF(J$1&lt;INDEX('Valo FX'!$Q:$Q,MATCH($A8,'Valo FX'!$A:$A,0)),0,IF(J$1&lt;INDEX('Valo FX'!$R:$R,MATCH($A8,'Valo FX'!$A:$A,0)),INDEX(Base!$U:$U,MATCH($A8,Base!$A:$A,0)),IF(J$1=INDEX('Valo FX'!$R:$R,MATCH($A8,'Valo FX'!$A:$A,0)),INDEX(Base!$V:$V,MATCH($A8,Base!$A:$A,0)),0)))</f>
        <v>12.508353</v>
      </c>
      <c r="K8" s="21">
        <f>IF(K$1&lt;INDEX('Valo FX'!$Q:$Q,MATCH($A8,'Valo FX'!$A:$A,0)),0,IF(K$1&lt;INDEX('Valo FX'!$R:$R,MATCH($A8,'Valo FX'!$A:$A,0)),INDEX(Base!$U:$U,MATCH($A8,Base!$A:$A,0)),IF(K$1=INDEX('Valo FX'!$R:$R,MATCH($A8,'Valo FX'!$A:$A,0)),INDEX(Base!$V:$V,MATCH($A8,Base!$A:$A,0)),0)))</f>
        <v>12.508353</v>
      </c>
      <c r="L8" s="21">
        <f>IF(L$1&lt;INDEX('Valo FX'!$Q:$Q,MATCH($A8,'Valo FX'!$A:$A,0)),0,IF(L$1&lt;INDEX('Valo FX'!$R:$R,MATCH($A8,'Valo FX'!$A:$A,0)),INDEX(Base!$U:$U,MATCH($A8,Base!$A:$A,0)),IF(L$1=INDEX('Valo FX'!$R:$R,MATCH($A8,'Valo FX'!$A:$A,0)),INDEX(Base!$V:$V,MATCH($A8,Base!$A:$A,0)),0)))</f>
        <v>12.508353</v>
      </c>
      <c r="M8" s="21">
        <f>IF(M$1&lt;INDEX('Valo FX'!$Q:$Q,MATCH($A8,'Valo FX'!$A:$A,0)),0,IF(M$1&lt;INDEX('Valo FX'!$R:$R,MATCH($A8,'Valo FX'!$A:$A,0)),INDEX(Base!$U:$U,MATCH($A8,Base!$A:$A,0)),IF(M$1=INDEX('Valo FX'!$R:$R,MATCH($A8,'Valo FX'!$A:$A,0)),INDEX(Base!$V:$V,MATCH($A8,Base!$A:$A,0)),0)))</f>
        <v>12.508353</v>
      </c>
      <c r="N8" s="21">
        <f>IF(N$1&lt;INDEX('Valo FX'!$Q:$Q,MATCH($A8,'Valo FX'!$A:$A,0)),0,IF(N$1&lt;INDEX('Valo FX'!$R:$R,MATCH($A8,'Valo FX'!$A:$A,0)),INDEX(Base!$U:$U,MATCH($A8,Base!$A:$A,0)),IF(N$1=INDEX('Valo FX'!$R:$R,MATCH($A8,'Valo FX'!$A:$A,0)),INDEX(Base!$V:$V,MATCH($A8,Base!$A:$A,0)),0)))</f>
        <v>12.508353</v>
      </c>
      <c r="O8" s="21">
        <f>IF(O$1&lt;INDEX('Valo FX'!$Q:$Q,MATCH($A8,'Valo FX'!$A:$A,0)),0,IF(O$1&lt;INDEX('Valo FX'!$R:$R,MATCH($A8,'Valo FX'!$A:$A,0)),INDEX(Base!$U:$U,MATCH($A8,Base!$A:$A,0)),IF(O$1=INDEX('Valo FX'!$R:$R,MATCH($A8,'Valo FX'!$A:$A,0)),INDEX(Base!$V:$V,MATCH($A8,Base!$A:$A,0)),0)))</f>
        <v>12.508353</v>
      </c>
      <c r="P8" s="21">
        <f>IF(P$1&lt;INDEX('Valo FX'!$Q:$Q,MATCH($A8,'Valo FX'!$A:$A,0)),0,IF(P$1&lt;INDEX('Valo FX'!$R:$R,MATCH($A8,'Valo FX'!$A:$A,0)),INDEX(Base!$U:$U,MATCH($A8,Base!$A:$A,0)),IF(P$1=INDEX('Valo FX'!$R:$R,MATCH($A8,'Valo FX'!$A:$A,0)),INDEX(Base!$V:$V,MATCH($A8,Base!$A:$A,0)),0)))</f>
        <v>12.508353</v>
      </c>
      <c r="Q8" s="21">
        <f>IF(Q$1&lt;INDEX('Valo FX'!$Q:$Q,MATCH($A8,'Valo FX'!$A:$A,0)),0,IF(Q$1&lt;INDEX('Valo FX'!$R:$R,MATCH($A8,'Valo FX'!$A:$A,0)),INDEX(Base!$U:$U,MATCH($A8,Base!$A:$A,0)),IF(Q$1=INDEX('Valo FX'!$R:$R,MATCH($A8,'Valo FX'!$A:$A,0)),INDEX(Base!$V:$V,MATCH($A8,Base!$A:$A,0)),0)))</f>
        <v>12.508353</v>
      </c>
      <c r="R8" s="21">
        <f>IF(R$1&lt;INDEX('Valo FX'!$Q:$Q,MATCH($A8,'Valo FX'!$A:$A,0)),0,IF(R$1&lt;INDEX('Valo FX'!$R:$R,MATCH($A8,'Valo FX'!$A:$A,0)),INDEX(Base!$U:$U,MATCH($A8,Base!$A:$A,0)),IF(R$1=INDEX('Valo FX'!$R:$R,MATCH($A8,'Valo FX'!$A:$A,0)),INDEX(Base!$V:$V,MATCH($A8,Base!$A:$A,0)),0)))</f>
        <v>12.508353</v>
      </c>
      <c r="S8" s="21">
        <f>IF(S$1&lt;INDEX('Valo FX'!$Q:$Q,MATCH($A8,'Valo FX'!$A:$A,0)),0,IF(S$1&lt;INDEX('Valo FX'!$R:$R,MATCH($A8,'Valo FX'!$A:$A,0)),INDEX(Base!$U:$U,MATCH($A8,Base!$A:$A,0)),IF(S$1=INDEX('Valo FX'!$R:$R,MATCH($A8,'Valo FX'!$A:$A,0)),INDEX(Base!$V:$V,MATCH($A8,Base!$A:$A,0)),0)))</f>
        <v>12.508353</v>
      </c>
      <c r="T8" s="21">
        <f>IF(T$1&lt;INDEX('Valo FX'!$Q:$Q,MATCH($A8,'Valo FX'!$A:$A,0)),0,IF(T$1&lt;INDEX('Valo FX'!$R:$R,MATCH($A8,'Valo FX'!$A:$A,0)),INDEX(Base!$U:$U,MATCH($A8,Base!$A:$A,0)),IF(T$1=INDEX('Valo FX'!$R:$R,MATCH($A8,'Valo FX'!$A:$A,0)),INDEX(Base!$V:$V,MATCH($A8,Base!$A:$A,0)),0)))</f>
        <v>12.508353</v>
      </c>
      <c r="U8" s="21">
        <f>IF(U$1&lt;INDEX('Valo FX'!$Q:$Q,MATCH($A8,'Valo FX'!$A:$A,0)),0,IF(U$1&lt;INDEX('Valo FX'!$R:$R,MATCH($A8,'Valo FX'!$A:$A,0)),INDEX(Base!$U:$U,MATCH($A8,Base!$A:$A,0)),IF(U$1=INDEX('Valo FX'!$R:$R,MATCH($A8,'Valo FX'!$A:$A,0)),INDEX(Base!$V:$V,MATCH($A8,Base!$A:$A,0)),0)))</f>
        <v>12.508353</v>
      </c>
      <c r="V8" s="21">
        <f>IF(V$1&lt;INDEX('Valo FX'!$Q:$Q,MATCH($A8,'Valo FX'!$A:$A,0)),0,IF(V$1&lt;INDEX('Valo FX'!$R:$R,MATCH($A8,'Valo FX'!$A:$A,0)),INDEX(Base!$U:$U,MATCH($A8,Base!$A:$A,0)),IF(V$1=INDEX('Valo FX'!$R:$R,MATCH($A8,'Valo FX'!$A:$A,0)),INDEX(Base!$V:$V,MATCH($A8,Base!$A:$A,0)),0)))</f>
        <v>12.508353</v>
      </c>
      <c r="W8" s="21">
        <f>IF(W$1&lt;INDEX('Valo FX'!$Q:$Q,MATCH($A8,'Valo FX'!$A:$A,0)),0,IF(W$1&lt;INDEX('Valo FX'!$R:$R,MATCH($A8,'Valo FX'!$A:$A,0)),INDEX(Base!$U:$U,MATCH($A8,Base!$A:$A,0)),IF(W$1=INDEX('Valo FX'!$R:$R,MATCH($A8,'Valo FX'!$A:$A,0)),INDEX(Base!$V:$V,MATCH($A8,Base!$A:$A,0)),0)))</f>
        <v>12.508353</v>
      </c>
      <c r="X8" s="21">
        <f>IF(X$1&lt;INDEX('Valo FX'!$Q:$Q,MATCH($A8,'Valo FX'!$A:$A,0)),0,IF(X$1&lt;INDEX('Valo FX'!$R:$R,MATCH($A8,'Valo FX'!$A:$A,0)),INDEX(Base!$U:$U,MATCH($A8,Base!$A:$A,0)),IF(X$1=INDEX('Valo FX'!$R:$R,MATCH($A8,'Valo FX'!$A:$A,0)),INDEX(Base!$V:$V,MATCH($A8,Base!$A:$A,0)),0)))</f>
        <v>12.508353</v>
      </c>
      <c r="Y8" s="21">
        <f>IF(Y$1&lt;INDEX('Valo FX'!$Q:$Q,MATCH($A8,'Valo FX'!$A:$A,0)),0,IF(Y$1&lt;INDEX('Valo FX'!$R:$R,MATCH($A8,'Valo FX'!$A:$A,0)),INDEX(Base!$U:$U,MATCH($A8,Base!$A:$A,0)),IF(Y$1=INDEX('Valo FX'!$R:$R,MATCH($A8,'Valo FX'!$A:$A,0)),INDEX(Base!$V:$V,MATCH($A8,Base!$A:$A,0)),0)))</f>
        <v>12.508353</v>
      </c>
      <c r="Z8" s="21">
        <f>IF(Z$1&lt;INDEX('Valo FX'!$Q:$Q,MATCH($A8,'Valo FX'!$A:$A,0)),0,IF(Z$1&lt;INDEX('Valo FX'!$R:$R,MATCH($A8,'Valo FX'!$A:$A,0)),INDEX(Base!$U:$U,MATCH($A8,Base!$A:$A,0)),IF(Z$1=INDEX('Valo FX'!$R:$R,MATCH($A8,'Valo FX'!$A:$A,0)),INDEX(Base!$V:$V,MATCH($A8,Base!$A:$A,0)),0)))</f>
        <v>12.508353</v>
      </c>
      <c r="AA8" s="21">
        <f>IF(AA$1&lt;INDEX('Valo FX'!$Q:$Q,MATCH($A8,'Valo FX'!$A:$A,0)),0,IF(AA$1&lt;INDEX('Valo FX'!$R:$R,MATCH($A8,'Valo FX'!$A:$A,0)),INDEX(Base!$U:$U,MATCH($A8,Base!$A:$A,0)),IF(AA$1=INDEX('Valo FX'!$R:$R,MATCH($A8,'Valo FX'!$A:$A,0)),INDEX(Base!$V:$V,MATCH($A8,Base!$A:$A,0)),0)))</f>
        <v>12.508353</v>
      </c>
      <c r="AB8" s="21">
        <f>IF(AB$1&lt;INDEX('Valo FX'!$Q:$Q,MATCH($A8,'Valo FX'!$A:$A,0)),0,IF(AB$1&lt;INDEX('Valo FX'!$R:$R,MATCH($A8,'Valo FX'!$A:$A,0)),INDEX(Base!$U:$U,MATCH($A8,Base!$A:$A,0)),IF(AB$1=INDEX('Valo FX'!$R:$R,MATCH($A8,'Valo FX'!$A:$A,0)),INDEX(Base!$V:$V,MATCH($A8,Base!$A:$A,0)),0)))</f>
        <v>12.508353</v>
      </c>
      <c r="AC8" s="21">
        <f>IF(AC$1&lt;INDEX('Valo FX'!$Q:$Q,MATCH($A8,'Valo FX'!$A:$A,0)),0,IF(AC$1&lt;INDEX('Valo FX'!$R:$R,MATCH($A8,'Valo FX'!$A:$A,0)),INDEX(Base!$U:$U,MATCH($A8,Base!$A:$A,0)),IF(AC$1=INDEX('Valo FX'!$R:$R,MATCH($A8,'Valo FX'!$A:$A,0)),INDEX(Base!$V:$V,MATCH($A8,Base!$A:$A,0)),0)))</f>
        <v>12.508353</v>
      </c>
      <c r="AD8" s="21">
        <f>IF(AD$1&lt;INDEX('Valo FX'!$Q:$Q,MATCH($A8,'Valo FX'!$A:$A,0)),0,IF(AD$1&lt;INDEX('Valo FX'!$R:$R,MATCH($A8,'Valo FX'!$A:$A,0)),INDEX(Base!$U:$U,MATCH($A8,Base!$A:$A,0)),IF(AD$1=INDEX('Valo FX'!$R:$R,MATCH($A8,'Valo FX'!$A:$A,0)),INDEX(Base!$V:$V,MATCH($A8,Base!$A:$A,0)),0)))</f>
        <v>12.508353</v>
      </c>
      <c r="AE8" s="21">
        <f>IF(AE$1&lt;INDEX('Valo FX'!$Q:$Q,MATCH($A8,'Valo FX'!$A:$A,0)),0,IF(AE$1&lt;INDEX('Valo FX'!$R:$R,MATCH($A8,'Valo FX'!$A:$A,0)),INDEX(Base!$U:$U,MATCH($A8,Base!$A:$A,0)),IF(AE$1=INDEX('Valo FX'!$R:$R,MATCH($A8,'Valo FX'!$A:$A,0)),INDEX(Base!$V:$V,MATCH($A8,Base!$A:$A,0)),0)))</f>
        <v>12.508353</v>
      </c>
      <c r="AF8" s="21">
        <f>IF(AF$1&lt;INDEX('Valo FX'!$Q:$Q,MATCH($A8,'Valo FX'!$A:$A,0)),0,IF(AF$1&lt;INDEX('Valo FX'!$R:$R,MATCH($A8,'Valo FX'!$A:$A,0)),INDEX(Base!$U:$U,MATCH($A8,Base!$A:$A,0)),IF(AF$1=INDEX('Valo FX'!$R:$R,MATCH($A8,'Valo FX'!$A:$A,0)),INDEX(Base!$V:$V,MATCH($A8,Base!$A:$A,0)),0)))</f>
        <v>12.508353</v>
      </c>
      <c r="AG8" s="21">
        <f>IF(AG$1&lt;INDEX('Valo FX'!$Q:$Q,MATCH($A8,'Valo FX'!$A:$A,0)),0,IF(AG$1&lt;INDEX('Valo FX'!$R:$R,MATCH($A8,'Valo FX'!$A:$A,0)),INDEX(Base!$U:$U,MATCH($A8,Base!$A:$A,0)),IF(AG$1=INDEX('Valo FX'!$R:$R,MATCH($A8,'Valo FX'!$A:$A,0)),INDEX(Base!$V:$V,MATCH($A8,Base!$A:$A,0)),0)))</f>
        <v>12.508353</v>
      </c>
      <c r="AH8" s="21">
        <f>IF(AH$1&lt;INDEX('Valo FX'!$Q:$Q,MATCH($A8,'Valo FX'!$A:$A,0)),0,IF(AH$1&lt;INDEX('Valo FX'!$R:$R,MATCH($A8,'Valo FX'!$A:$A,0)),INDEX(Base!$U:$U,MATCH($A8,Base!$A:$A,0)),IF(AH$1=INDEX('Valo FX'!$R:$R,MATCH($A8,'Valo FX'!$A:$A,0)),INDEX(Base!$V:$V,MATCH($A8,Base!$A:$A,0)),0)))</f>
        <v>12.508353</v>
      </c>
      <c r="AI8" s="21">
        <f>IF(AI$1&lt;INDEX('Valo FX'!$Q:$Q,MATCH($A8,'Valo FX'!$A:$A,0)),0,IF(AI$1&lt;INDEX('Valo FX'!$R:$R,MATCH($A8,'Valo FX'!$A:$A,0)),INDEX(Base!$U:$U,MATCH($A8,Base!$A:$A,0)),IF(AI$1=INDEX('Valo FX'!$R:$R,MATCH($A8,'Valo FX'!$A:$A,0)),INDEX(Base!$V:$V,MATCH($A8,Base!$A:$A,0)),0)))</f>
        <v>12.508353</v>
      </c>
      <c r="AJ8" s="21">
        <f>IF(AJ$1&lt;INDEX('Valo FX'!$Q:$Q,MATCH($A8,'Valo FX'!$A:$A,0)),0,IF(AJ$1&lt;INDEX('Valo FX'!$R:$R,MATCH($A8,'Valo FX'!$A:$A,0)),INDEX(Base!$U:$U,MATCH($A8,Base!$A:$A,0)),IF(AJ$1=INDEX('Valo FX'!$R:$R,MATCH($A8,'Valo FX'!$A:$A,0)),INDEX(Base!$V:$V,MATCH($A8,Base!$A:$A,0)),0)))</f>
        <v>12.508353</v>
      </c>
      <c r="AK8" s="21">
        <f>IF(AK$1&lt;INDEX('Valo FX'!$Q:$Q,MATCH($A8,'Valo FX'!$A:$A,0)),0,IF(AK$1&lt;INDEX('Valo FX'!$R:$R,MATCH($A8,'Valo FX'!$A:$A,0)),INDEX(Base!$U:$U,MATCH($A8,Base!$A:$A,0)),IF(AK$1=INDEX('Valo FX'!$R:$R,MATCH($A8,'Valo FX'!$A:$A,0)),INDEX(Base!$V:$V,MATCH($A8,Base!$A:$A,0)),0)))</f>
        <v>12.508353</v>
      </c>
      <c r="AL8" s="21">
        <f>IF(AL$1&lt;INDEX('Valo FX'!$Q:$Q,MATCH($A8,'Valo FX'!$A:$A,0)),0,IF(AL$1&lt;INDEX('Valo FX'!$R:$R,MATCH($A8,'Valo FX'!$A:$A,0)),INDEX(Base!$U:$U,MATCH($A8,Base!$A:$A,0)),IF(AL$1=INDEX('Valo FX'!$R:$R,MATCH($A8,'Valo FX'!$A:$A,0)),INDEX(Base!$V:$V,MATCH($A8,Base!$A:$A,0)),0)))</f>
        <v>12.508353</v>
      </c>
      <c r="AM8" s="21">
        <f>IF(AM$1&lt;INDEX('Valo FX'!$Q:$Q,MATCH($A8,'Valo FX'!$A:$A,0)),0,IF(AM$1&lt;INDEX('Valo FX'!$R:$R,MATCH($A8,'Valo FX'!$A:$A,0)),INDEX(Base!$U:$U,MATCH($A8,Base!$A:$A,0)),IF(AM$1=INDEX('Valo FX'!$R:$R,MATCH($A8,'Valo FX'!$A:$A,0)),INDEX(Base!$V:$V,MATCH($A8,Base!$A:$A,0)),0)))</f>
        <v>12.508353</v>
      </c>
      <c r="AN8" s="21">
        <f>IF(AN$1&lt;INDEX('Valo FX'!$Q:$Q,MATCH($A8,'Valo FX'!$A:$A,0)),0,IF(AN$1&lt;INDEX('Valo FX'!$R:$R,MATCH($A8,'Valo FX'!$A:$A,0)),INDEX(Base!$U:$U,MATCH($A8,Base!$A:$A,0)),IF(AN$1=INDEX('Valo FX'!$R:$R,MATCH($A8,'Valo FX'!$A:$A,0)),INDEX(Base!$V:$V,MATCH($A8,Base!$A:$A,0)),0)))</f>
        <v>12.508353</v>
      </c>
      <c r="AO8" s="21">
        <f>IF(AO$1&lt;INDEX('Valo FX'!$Q:$Q,MATCH($A8,'Valo FX'!$A:$A,0)),0,IF(AO$1&lt;INDEX('Valo FX'!$R:$R,MATCH($A8,'Valo FX'!$A:$A,0)),INDEX(Base!$U:$U,MATCH($A8,Base!$A:$A,0)),IF(AO$1=INDEX('Valo FX'!$R:$R,MATCH($A8,'Valo FX'!$A:$A,0)),INDEX(Base!$V:$V,MATCH($A8,Base!$A:$A,0)),0)))</f>
        <v>12.508353</v>
      </c>
      <c r="AP8" s="21">
        <f>IF(AP$1&lt;INDEX('Valo FX'!$Q:$Q,MATCH($A8,'Valo FX'!$A:$A,0)),0,IF(AP$1&lt;INDEX('Valo FX'!$R:$R,MATCH($A8,'Valo FX'!$A:$A,0)),INDEX(Base!$U:$U,MATCH($A8,Base!$A:$A,0)),IF(AP$1=INDEX('Valo FX'!$R:$R,MATCH($A8,'Valo FX'!$A:$A,0)),INDEX(Base!$V:$V,MATCH($A8,Base!$A:$A,0)),0)))</f>
        <v>12.508353</v>
      </c>
      <c r="AQ8" s="21">
        <f>IF(AQ$1&lt;INDEX('Valo FX'!$Q:$Q,MATCH($A8,'Valo FX'!$A:$A,0)),0,IF(AQ$1&lt;INDEX('Valo FX'!$R:$R,MATCH($A8,'Valo FX'!$A:$A,0)),INDEX(Base!$U:$U,MATCH($A8,Base!$A:$A,0)),IF(AQ$1=INDEX('Valo FX'!$R:$R,MATCH($A8,'Valo FX'!$A:$A,0)),INDEX(Base!$V:$V,MATCH($A8,Base!$A:$A,0)),0)))</f>
        <v>12.508353</v>
      </c>
      <c r="AR8" s="21">
        <f>IF(AR$1&lt;INDEX('Valo FX'!$Q:$Q,MATCH($A8,'Valo FX'!$A:$A,0)),0,IF(AR$1&lt;INDEX('Valo FX'!$R:$R,MATCH($A8,'Valo FX'!$A:$A,0)),INDEX(Base!$U:$U,MATCH($A8,Base!$A:$A,0)),IF(AR$1=INDEX('Valo FX'!$R:$R,MATCH($A8,'Valo FX'!$A:$A,0)),INDEX(Base!$V:$V,MATCH($A8,Base!$A:$A,0)),0)))</f>
        <v>12.508353</v>
      </c>
      <c r="AS8" s="21">
        <f>IF(AS$1&lt;INDEX('Valo FX'!$Q:$Q,MATCH($A8,'Valo FX'!$A:$A,0)),0,IF(AS$1&lt;INDEX('Valo FX'!$R:$R,MATCH($A8,'Valo FX'!$A:$A,0)),INDEX(Base!$U:$U,MATCH($A8,Base!$A:$A,0)),IF(AS$1=INDEX('Valo FX'!$R:$R,MATCH($A8,'Valo FX'!$A:$A,0)),INDEX(Base!$V:$V,MATCH($A8,Base!$A:$A,0)),0)))</f>
        <v>12.508353</v>
      </c>
      <c r="AT8" s="21">
        <f>IF(AT$1&lt;INDEX('Valo FX'!$Q:$Q,MATCH($A8,'Valo FX'!$A:$A,0)),0,IF(AT$1&lt;INDEX('Valo FX'!$R:$R,MATCH($A8,'Valo FX'!$A:$A,0)),INDEX(Base!$U:$U,MATCH($A8,Base!$A:$A,0)),IF(AT$1=INDEX('Valo FX'!$R:$R,MATCH($A8,'Valo FX'!$A:$A,0)),INDEX(Base!$V:$V,MATCH($A8,Base!$A:$A,0)),0)))</f>
        <v>12.508353</v>
      </c>
      <c r="AU8" s="21">
        <f>IF(AU$1&lt;INDEX('Valo FX'!$Q:$Q,MATCH($A8,'Valo FX'!$A:$A,0)),0,IF(AU$1&lt;INDEX('Valo FX'!$R:$R,MATCH($A8,'Valo FX'!$A:$A,0)),INDEX(Base!$U:$U,MATCH($A8,Base!$A:$A,0)),IF(AU$1=INDEX('Valo FX'!$R:$R,MATCH($A8,'Valo FX'!$A:$A,0)),INDEX(Base!$V:$V,MATCH($A8,Base!$A:$A,0)),0)))</f>
        <v>12.508353</v>
      </c>
      <c r="AV8" s="21">
        <f>IF(AV$1&lt;INDEX('Valo FX'!$Q:$Q,MATCH($A8,'Valo FX'!$A:$A,0)),0,IF(AV$1&lt;INDEX('Valo FX'!$R:$R,MATCH($A8,'Valo FX'!$A:$A,0)),INDEX(Base!$U:$U,MATCH($A8,Base!$A:$A,0)),IF(AV$1=INDEX('Valo FX'!$R:$R,MATCH($A8,'Valo FX'!$A:$A,0)),INDEX(Base!$V:$V,MATCH($A8,Base!$A:$A,0)),0)))</f>
        <v>12.508353</v>
      </c>
      <c r="AW8" s="21">
        <f>IF(AW$1&lt;INDEX('Valo FX'!$Q:$Q,MATCH($A8,'Valo FX'!$A:$A,0)),0,IF(AW$1&lt;INDEX('Valo FX'!$R:$R,MATCH($A8,'Valo FX'!$A:$A,0)),INDEX(Base!$U:$U,MATCH($A8,Base!$A:$A,0)),IF(AW$1=INDEX('Valo FX'!$R:$R,MATCH($A8,'Valo FX'!$A:$A,0)),INDEX(Base!$V:$V,MATCH($A8,Base!$A:$A,0)),0)))</f>
        <v>12.508353</v>
      </c>
      <c r="AX8" s="21">
        <f>IF(AX$1&lt;INDEX('Valo FX'!$Q:$Q,MATCH($A8,'Valo FX'!$A:$A,0)),0,IF(AX$1&lt;INDEX('Valo FX'!$R:$R,MATCH($A8,'Valo FX'!$A:$A,0)),INDEX(Base!$U:$U,MATCH($A8,Base!$A:$A,0)),IF(AX$1=INDEX('Valo FX'!$R:$R,MATCH($A8,'Valo FX'!$A:$A,0)),INDEX(Base!$V:$V,MATCH($A8,Base!$A:$A,0)),0)))</f>
        <v>12.508353</v>
      </c>
      <c r="AY8" s="21">
        <f>IF(AY$1&lt;INDEX('Valo FX'!$Q:$Q,MATCH($A8,'Valo FX'!$A:$A,0)),0,IF(AY$1&lt;INDEX('Valo FX'!$R:$R,MATCH($A8,'Valo FX'!$A:$A,0)),INDEX(Base!$U:$U,MATCH($A8,Base!$A:$A,0)),IF(AY$1=INDEX('Valo FX'!$R:$R,MATCH($A8,'Valo FX'!$A:$A,0)),INDEX(Base!$V:$V,MATCH($A8,Base!$A:$A,0)),0)))</f>
        <v>12.508353</v>
      </c>
      <c r="AZ8" s="21">
        <f>IF(AZ$1&lt;INDEX('Valo FX'!$Q:$Q,MATCH($A8,'Valo FX'!$A:$A,0)),0,IF(AZ$1&lt;INDEX('Valo FX'!$R:$R,MATCH($A8,'Valo FX'!$A:$A,0)),INDEX(Base!$U:$U,MATCH($A8,Base!$A:$A,0)),IF(AZ$1=INDEX('Valo FX'!$R:$R,MATCH($A8,'Valo FX'!$A:$A,0)),INDEX(Base!$V:$V,MATCH($A8,Base!$A:$A,0)),0)))</f>
        <v>12.508353</v>
      </c>
      <c r="BA8" s="21">
        <f>IF(BA$1&lt;INDEX('Valo FX'!$Q:$Q,MATCH($A8,'Valo FX'!$A:$A,0)),0,IF(BA$1&lt;INDEX('Valo FX'!$R:$R,MATCH($A8,'Valo FX'!$A:$A,0)),INDEX(Base!$U:$U,MATCH($A8,Base!$A:$A,0)),IF(BA$1=INDEX('Valo FX'!$R:$R,MATCH($A8,'Valo FX'!$A:$A,0)),INDEX(Base!$V:$V,MATCH($A8,Base!$A:$A,0)),0)))</f>
        <v>12.508353</v>
      </c>
      <c r="BB8" s="21">
        <f>IF(BB$1&lt;INDEX('Valo FX'!$Q:$Q,MATCH($A8,'Valo FX'!$A:$A,0)),0,IF(BB$1&lt;INDEX('Valo FX'!$R:$R,MATCH($A8,'Valo FX'!$A:$A,0)),INDEX(Base!$U:$U,MATCH($A8,Base!$A:$A,0)),IF(BB$1=INDEX('Valo FX'!$R:$R,MATCH($A8,'Valo FX'!$A:$A,0)),INDEX(Base!$V:$V,MATCH($A8,Base!$A:$A,0)),0)))</f>
        <v>12.508353</v>
      </c>
      <c r="BC8" s="21">
        <f>IF(BC$1&lt;INDEX('Valo FX'!$Q:$Q,MATCH($A8,'Valo FX'!$A:$A,0)),0,IF(BC$1&lt;INDEX('Valo FX'!$R:$R,MATCH($A8,'Valo FX'!$A:$A,0)),INDEX(Base!$U:$U,MATCH($A8,Base!$A:$A,0)),IF(BC$1=INDEX('Valo FX'!$R:$R,MATCH($A8,'Valo FX'!$A:$A,0)),INDEX(Base!$V:$V,MATCH($A8,Base!$A:$A,0)),0)))</f>
        <v>12.508353</v>
      </c>
      <c r="BD8" s="21">
        <f>IF(BD$1&lt;INDEX('Valo FX'!$Q:$Q,MATCH($A8,'Valo FX'!$A:$A,0)),0,IF(BD$1&lt;INDEX('Valo FX'!$R:$R,MATCH($A8,'Valo FX'!$A:$A,0)),INDEX(Base!$U:$U,MATCH($A8,Base!$A:$A,0)),IF(BD$1=INDEX('Valo FX'!$R:$R,MATCH($A8,'Valo FX'!$A:$A,0)),INDEX(Base!$V:$V,MATCH($A8,Base!$A:$A,0)),0)))</f>
        <v>12.508353</v>
      </c>
      <c r="BE8" s="21">
        <f>IF(BE$1&lt;INDEX('Valo FX'!$Q:$Q,MATCH($A8,'Valo FX'!$A:$A,0)),0,IF(BE$1&lt;INDEX('Valo FX'!$R:$R,MATCH($A8,'Valo FX'!$A:$A,0)),INDEX(Base!$U:$U,MATCH($A8,Base!$A:$A,0)),IF(BE$1=INDEX('Valo FX'!$R:$R,MATCH($A8,'Valo FX'!$A:$A,0)),INDEX(Base!$V:$V,MATCH($A8,Base!$A:$A,0)),0)))</f>
        <v>12.508353</v>
      </c>
      <c r="BF8" s="21">
        <f>IF(BF$1&lt;INDEX('Valo FX'!$Q:$Q,MATCH($A8,'Valo FX'!$A:$A,0)),0,IF(BF$1&lt;INDEX('Valo FX'!$R:$R,MATCH($A8,'Valo FX'!$A:$A,0)),INDEX(Base!$U:$U,MATCH($A8,Base!$A:$A,0)),IF(BF$1=INDEX('Valo FX'!$R:$R,MATCH($A8,'Valo FX'!$A:$A,0)),INDEX(Base!$V:$V,MATCH($A8,Base!$A:$A,0)),0)))</f>
        <v>12.508353</v>
      </c>
      <c r="BG8" s="21">
        <f>IF(BG$1&lt;INDEX('Valo FX'!$Q:$Q,MATCH($A8,'Valo FX'!$A:$A,0)),0,IF(BG$1&lt;INDEX('Valo FX'!$R:$R,MATCH($A8,'Valo FX'!$A:$A,0)),INDEX(Base!$U:$U,MATCH($A8,Base!$A:$A,0)),IF(BG$1=INDEX('Valo FX'!$R:$R,MATCH($A8,'Valo FX'!$A:$A,0)),INDEX(Base!$V:$V,MATCH($A8,Base!$A:$A,0)),0)))</f>
        <v>12.508353</v>
      </c>
      <c r="BH8" s="21">
        <f>IF(BH$1&lt;INDEX('Valo FX'!$Q:$Q,MATCH($A8,'Valo FX'!$A:$A,0)),0,IF(BH$1&lt;INDEX('Valo FX'!$R:$R,MATCH($A8,'Valo FX'!$A:$A,0)),INDEX(Base!$U:$U,MATCH($A8,Base!$A:$A,0)),IF(BH$1=INDEX('Valo FX'!$R:$R,MATCH($A8,'Valo FX'!$A:$A,0)),INDEX(Base!$V:$V,MATCH($A8,Base!$A:$A,0)),0)))</f>
        <v>12.508353</v>
      </c>
      <c r="BI8" s="21">
        <f>IF(BI$1&lt;INDEX('Valo FX'!$Q:$Q,MATCH($A8,'Valo FX'!$A:$A,0)),0,IF(BI$1&lt;INDEX('Valo FX'!$R:$R,MATCH($A8,'Valo FX'!$A:$A,0)),INDEX(Base!$U:$U,MATCH($A8,Base!$A:$A,0)),IF(BI$1=INDEX('Valo FX'!$R:$R,MATCH($A8,'Valo FX'!$A:$A,0)),INDEX(Base!$V:$V,MATCH($A8,Base!$A:$A,0)),0)))</f>
        <v>12.508353</v>
      </c>
      <c r="BJ8" s="21">
        <f>IF(BJ$1&lt;INDEX('Valo FX'!$Q:$Q,MATCH($A8,'Valo FX'!$A:$A,0)),0,IF(BJ$1&lt;INDEX('Valo FX'!$R:$R,MATCH($A8,'Valo FX'!$A:$A,0)),INDEX(Base!$U:$U,MATCH($A8,Base!$A:$A,0)),IF(BJ$1=INDEX('Valo FX'!$R:$R,MATCH($A8,'Valo FX'!$A:$A,0)),INDEX(Base!$V:$V,MATCH($A8,Base!$A:$A,0)),0)))</f>
        <v>12.508353</v>
      </c>
      <c r="BK8" s="21">
        <f>IF(BK$1&lt;INDEX('Valo FX'!$Q:$Q,MATCH($A8,'Valo FX'!$A:$A,0)),0,IF(BK$1&lt;INDEX('Valo FX'!$R:$R,MATCH($A8,'Valo FX'!$A:$A,0)),INDEX(Base!$U:$U,MATCH($A8,Base!$A:$A,0)),IF(BK$1=INDEX('Valo FX'!$R:$R,MATCH($A8,'Valo FX'!$A:$A,0)),INDEX(Base!$V:$V,MATCH($A8,Base!$A:$A,0)),0)))</f>
        <v>12.508353</v>
      </c>
      <c r="BL8" s="21">
        <f>IF(BL$1&lt;INDEX('Valo FX'!$Q:$Q,MATCH($A8,'Valo FX'!$A:$A,0)),0,IF(BL$1&lt;INDEX('Valo FX'!$R:$R,MATCH($A8,'Valo FX'!$A:$A,0)),INDEX(Base!$U:$U,MATCH($A8,Base!$A:$A,0)),IF(BL$1=INDEX('Valo FX'!$R:$R,MATCH($A8,'Valo FX'!$A:$A,0)),INDEX(Base!$V:$V,MATCH($A8,Base!$A:$A,0)),0)))</f>
        <v>12.508353</v>
      </c>
      <c r="BM8" s="21">
        <f>IF(BM$1&lt;INDEX('Valo FX'!$Q:$Q,MATCH($A8,'Valo FX'!$A:$A,0)),0,IF(BM$1&lt;INDEX('Valo FX'!$R:$R,MATCH($A8,'Valo FX'!$A:$A,0)),INDEX(Base!$U:$U,MATCH($A8,Base!$A:$A,0)),IF(BM$1=INDEX('Valo FX'!$R:$R,MATCH($A8,'Valo FX'!$A:$A,0)),INDEX(Base!$V:$V,MATCH($A8,Base!$A:$A,0)),0)))</f>
        <v>12.508353</v>
      </c>
      <c r="BN8" s="21">
        <f>IF(BN$1&lt;INDEX('Valo FX'!$Q:$Q,MATCH($A8,'Valo FX'!$A:$A,0)),0,IF(BN$1&lt;INDEX('Valo FX'!$R:$R,MATCH($A8,'Valo FX'!$A:$A,0)),INDEX(Base!$U:$U,MATCH($A8,Base!$A:$A,0)),IF(BN$1=INDEX('Valo FX'!$R:$R,MATCH($A8,'Valo FX'!$A:$A,0)),INDEX(Base!$V:$V,MATCH($A8,Base!$A:$A,0)),0)))</f>
        <v>12.508353</v>
      </c>
      <c r="BO8" s="21">
        <f>IF(BO$1&lt;INDEX('Valo FX'!$Q:$Q,MATCH($A8,'Valo FX'!$A:$A,0)),0,IF(BO$1&lt;INDEX('Valo FX'!$R:$R,MATCH($A8,'Valo FX'!$A:$A,0)),INDEX(Base!$U:$U,MATCH($A8,Base!$A:$A,0)),IF(BO$1=INDEX('Valo FX'!$R:$R,MATCH($A8,'Valo FX'!$A:$A,0)),INDEX(Base!$V:$V,MATCH($A8,Base!$A:$A,0)),0)))</f>
        <v>12.508353</v>
      </c>
      <c r="BP8" s="21">
        <f>IF(BP$1&lt;INDEX('Valo FX'!$Q:$Q,MATCH($A8,'Valo FX'!$A:$A,0)),0,IF(BP$1&lt;INDEX('Valo FX'!$R:$R,MATCH($A8,'Valo FX'!$A:$A,0)),INDEX(Base!$U:$U,MATCH($A8,Base!$A:$A,0)),IF(BP$1=INDEX('Valo FX'!$R:$R,MATCH($A8,'Valo FX'!$A:$A,0)),INDEX(Base!$V:$V,MATCH($A8,Base!$A:$A,0)),0)))</f>
        <v>12.508353</v>
      </c>
      <c r="BQ8" s="21">
        <f>IF(BQ$1&lt;INDEX('Valo FX'!$Q:$Q,MATCH($A8,'Valo FX'!$A:$A,0)),0,IF(BQ$1&lt;INDEX('Valo FX'!$R:$R,MATCH($A8,'Valo FX'!$A:$A,0)),INDEX(Base!$U:$U,MATCH($A8,Base!$A:$A,0)),IF(BQ$1=INDEX('Valo FX'!$R:$R,MATCH($A8,'Valo FX'!$A:$A,0)),INDEX(Base!$V:$V,MATCH($A8,Base!$A:$A,0)),0)))</f>
        <v>12.508353</v>
      </c>
      <c r="BR8" s="21">
        <f>IF(BR$1&lt;INDEX('Valo FX'!$Q:$Q,MATCH($A8,'Valo FX'!$A:$A,0)),0,IF(BR$1&lt;INDEX('Valo FX'!$R:$R,MATCH($A8,'Valo FX'!$A:$A,0)),INDEX(Base!$U:$U,MATCH($A8,Base!$A:$A,0)),IF(BR$1=INDEX('Valo FX'!$R:$R,MATCH($A8,'Valo FX'!$A:$A,0)),INDEX(Base!$V:$V,MATCH($A8,Base!$A:$A,0)),0)))</f>
        <v>12.508353</v>
      </c>
      <c r="BS8" s="21">
        <f>IF(BS$1&lt;INDEX('Valo FX'!$Q:$Q,MATCH($A8,'Valo FX'!$A:$A,0)),0,IF(BS$1&lt;INDEX('Valo FX'!$R:$R,MATCH($A8,'Valo FX'!$A:$A,0)),INDEX(Base!$U:$U,MATCH($A8,Base!$A:$A,0)),IF(BS$1=INDEX('Valo FX'!$R:$R,MATCH($A8,'Valo FX'!$A:$A,0)),INDEX(Base!$V:$V,MATCH($A8,Base!$A:$A,0)),0)))</f>
        <v>12.508353</v>
      </c>
      <c r="BT8" s="21">
        <f>IF(BT$1&lt;INDEX('Valo FX'!$Q:$Q,MATCH($A8,'Valo FX'!$A:$A,0)),0,IF(BT$1&lt;INDEX('Valo FX'!$R:$R,MATCH($A8,'Valo FX'!$A:$A,0)),INDEX(Base!$U:$U,MATCH($A8,Base!$A:$A,0)),IF(BT$1=INDEX('Valo FX'!$R:$R,MATCH($A8,'Valo FX'!$A:$A,0)),INDEX(Base!$V:$V,MATCH($A8,Base!$A:$A,0)),0)))</f>
        <v>12.508353</v>
      </c>
      <c r="BU8" s="21">
        <f>IF(BU$1&lt;INDEX('Valo FX'!$Q:$Q,MATCH($A8,'Valo FX'!$A:$A,0)),0,IF(BU$1&lt;INDEX('Valo FX'!$R:$R,MATCH($A8,'Valo FX'!$A:$A,0)),INDEX(Base!$U:$U,MATCH($A8,Base!$A:$A,0)),IF(BU$1=INDEX('Valo FX'!$R:$R,MATCH($A8,'Valo FX'!$A:$A,0)),INDEX(Base!$V:$V,MATCH($A8,Base!$A:$A,0)),0)))</f>
        <v>12.508353</v>
      </c>
      <c r="BV8" s="21">
        <f>IF(BV$1&lt;INDEX('Valo FX'!$Q:$Q,MATCH($A8,'Valo FX'!$A:$A,0)),0,IF(BV$1&lt;INDEX('Valo FX'!$R:$R,MATCH($A8,'Valo FX'!$A:$A,0)),INDEX(Base!$U:$U,MATCH($A8,Base!$A:$A,0)),IF(BV$1=INDEX('Valo FX'!$R:$R,MATCH($A8,'Valo FX'!$A:$A,0)),INDEX(Base!$V:$V,MATCH($A8,Base!$A:$A,0)),0)))</f>
        <v>12.508353</v>
      </c>
      <c r="BW8" s="21">
        <f>IF(BW$1&lt;INDEX('Valo FX'!$Q:$Q,MATCH($A8,'Valo FX'!$A:$A,0)),0,IF(BW$1&lt;INDEX('Valo FX'!$R:$R,MATCH($A8,'Valo FX'!$A:$A,0)),INDEX(Base!$U:$U,MATCH($A8,Base!$A:$A,0)),IF(BW$1=INDEX('Valo FX'!$R:$R,MATCH($A8,'Valo FX'!$A:$A,0)),INDEX(Base!$V:$V,MATCH($A8,Base!$A:$A,0)),0)))</f>
        <v>12.508353</v>
      </c>
      <c r="BX8" s="21">
        <f>IF(BX$1&lt;INDEX('Valo FX'!$Q:$Q,MATCH($A8,'Valo FX'!$A:$A,0)),0,IF(BX$1&lt;INDEX('Valo FX'!$R:$R,MATCH($A8,'Valo FX'!$A:$A,0)),INDEX(Base!$U:$U,MATCH($A8,Base!$A:$A,0)),IF(BX$1=INDEX('Valo FX'!$R:$R,MATCH($A8,'Valo FX'!$A:$A,0)),INDEX(Base!$V:$V,MATCH($A8,Base!$A:$A,0)),0)))</f>
        <v>12.508353</v>
      </c>
      <c r="BY8" s="21">
        <f>IF(BY$1&lt;INDEX('Valo FX'!$Q:$Q,MATCH($A8,'Valo FX'!$A:$A,0)),0,IF(BY$1&lt;INDEX('Valo FX'!$R:$R,MATCH($A8,'Valo FX'!$A:$A,0)),INDEX(Base!$U:$U,MATCH($A8,Base!$A:$A,0)),IF(BY$1=INDEX('Valo FX'!$R:$R,MATCH($A8,'Valo FX'!$A:$A,0)),INDEX(Base!$V:$V,MATCH($A8,Base!$A:$A,0)),0)))</f>
        <v>12.508353</v>
      </c>
      <c r="BZ8" s="21">
        <f>IF(BZ$1&lt;INDEX('Valo FX'!$Q:$Q,MATCH($A8,'Valo FX'!$A:$A,0)),0,IF(BZ$1&lt;INDEX('Valo FX'!$R:$R,MATCH($A8,'Valo FX'!$A:$A,0)),INDEX(Base!$U:$U,MATCH($A8,Base!$A:$A,0)),IF(BZ$1=INDEX('Valo FX'!$R:$R,MATCH($A8,'Valo FX'!$A:$A,0)),INDEX(Base!$V:$V,MATCH($A8,Base!$A:$A,0)),0)))</f>
        <v>12.508353</v>
      </c>
      <c r="CA8" s="21">
        <f>IF(CA$1&lt;INDEX('Valo FX'!$Q:$Q,MATCH($A8,'Valo FX'!$A:$A,0)),0,IF(CA$1&lt;INDEX('Valo FX'!$R:$R,MATCH($A8,'Valo FX'!$A:$A,0)),INDEX(Base!$U:$U,MATCH($A8,Base!$A:$A,0)),IF(CA$1=INDEX('Valo FX'!$R:$R,MATCH($A8,'Valo FX'!$A:$A,0)),INDEX(Base!$V:$V,MATCH($A8,Base!$A:$A,0)),0)))</f>
        <v>12.508353</v>
      </c>
      <c r="CB8" s="21">
        <f>IF(CB$1&lt;INDEX('Valo FX'!$Q:$Q,MATCH($A8,'Valo FX'!$A:$A,0)),0,IF(CB$1&lt;INDEX('Valo FX'!$R:$R,MATCH($A8,'Valo FX'!$A:$A,0)),INDEX(Base!$U:$U,MATCH($A8,Base!$A:$A,0)),IF(CB$1=INDEX('Valo FX'!$R:$R,MATCH($A8,'Valo FX'!$A:$A,0)),INDEX(Base!$V:$V,MATCH($A8,Base!$A:$A,0)),0)))</f>
        <v>12.508353</v>
      </c>
      <c r="CC8" s="21">
        <f>IF(CC$1&lt;INDEX('Valo FX'!$Q:$Q,MATCH($A8,'Valo FX'!$A:$A,0)),0,IF(CC$1&lt;INDEX('Valo FX'!$R:$R,MATCH($A8,'Valo FX'!$A:$A,0)),INDEX(Base!$U:$U,MATCH($A8,Base!$A:$A,0)),IF(CC$1=INDEX('Valo FX'!$R:$R,MATCH($A8,'Valo FX'!$A:$A,0)),INDEX(Base!$V:$V,MATCH($A8,Base!$A:$A,0)),0)))</f>
        <v>12.508353</v>
      </c>
      <c r="CD8" s="21">
        <f>IF(CD$1&lt;INDEX('Valo FX'!$Q:$Q,MATCH($A8,'Valo FX'!$A:$A,0)),0,IF(CD$1&lt;INDEX('Valo FX'!$R:$R,MATCH($A8,'Valo FX'!$A:$A,0)),INDEX(Base!$U:$U,MATCH($A8,Base!$A:$A,0)),IF(CD$1=INDEX('Valo FX'!$R:$R,MATCH($A8,'Valo FX'!$A:$A,0)),INDEX(Base!$V:$V,MATCH($A8,Base!$A:$A,0)),0)))</f>
        <v>12.508353</v>
      </c>
      <c r="CE8" s="21">
        <f>IF(CE$1&lt;INDEX('Valo FX'!$Q:$Q,MATCH($A8,'Valo FX'!$A:$A,0)),0,IF(CE$1&lt;INDEX('Valo FX'!$R:$R,MATCH($A8,'Valo FX'!$A:$A,0)),INDEX(Base!$U:$U,MATCH($A8,Base!$A:$A,0)),IF(CE$1=INDEX('Valo FX'!$R:$R,MATCH($A8,'Valo FX'!$A:$A,0)),INDEX(Base!$V:$V,MATCH($A8,Base!$A:$A,0)),0)))</f>
        <v>12.508353</v>
      </c>
      <c r="CF8" s="21">
        <f>IF(CF$1&lt;INDEX('Valo FX'!$Q:$Q,MATCH($A8,'Valo FX'!$A:$A,0)),0,IF(CF$1&lt;INDEX('Valo FX'!$R:$R,MATCH($A8,'Valo FX'!$A:$A,0)),INDEX(Base!$U:$U,MATCH($A8,Base!$A:$A,0)),IF(CF$1=INDEX('Valo FX'!$R:$R,MATCH($A8,'Valo FX'!$A:$A,0)),INDEX(Base!$V:$V,MATCH($A8,Base!$A:$A,0)),0)))</f>
        <v>12.508353</v>
      </c>
      <c r="CG8" s="21">
        <f>IF(CG$1&lt;INDEX('Valo FX'!$Q:$Q,MATCH($A8,'Valo FX'!$A:$A,0)),0,IF(CG$1&lt;INDEX('Valo FX'!$R:$R,MATCH($A8,'Valo FX'!$A:$A,0)),INDEX(Base!$U:$U,MATCH($A8,Base!$A:$A,0)),IF(CG$1=INDEX('Valo FX'!$R:$R,MATCH($A8,'Valo FX'!$A:$A,0)),INDEX(Base!$V:$V,MATCH($A8,Base!$A:$A,0)),0)))</f>
        <v>12.508353</v>
      </c>
      <c r="CH8" s="21">
        <f>IF(CH$1&lt;INDEX('Valo FX'!$Q:$Q,MATCH($A8,'Valo FX'!$A:$A,0)),0,IF(CH$1&lt;INDEX('Valo FX'!$R:$R,MATCH($A8,'Valo FX'!$A:$A,0)),INDEX(Base!$U:$U,MATCH($A8,Base!$A:$A,0)),IF(CH$1=INDEX('Valo FX'!$R:$R,MATCH($A8,'Valo FX'!$A:$A,0)),INDEX(Base!$V:$V,MATCH($A8,Base!$A:$A,0)),0)))</f>
        <v>12.508353</v>
      </c>
      <c r="CI8" s="21">
        <f>IF(CI$1&lt;INDEX('Valo FX'!$Q:$Q,MATCH($A8,'Valo FX'!$A:$A,0)),0,IF(CI$1&lt;INDEX('Valo FX'!$R:$R,MATCH($A8,'Valo FX'!$A:$A,0)),INDEX(Base!$U:$U,MATCH($A8,Base!$A:$A,0)),IF(CI$1=INDEX('Valo FX'!$R:$R,MATCH($A8,'Valo FX'!$A:$A,0)),INDEX(Base!$V:$V,MATCH($A8,Base!$A:$A,0)),0)))</f>
        <v>12.508353</v>
      </c>
      <c r="CJ8" s="21">
        <f>IF(CJ$1&lt;INDEX('Valo FX'!$Q:$Q,MATCH($A8,'Valo FX'!$A:$A,0)),0,IF(CJ$1&lt;INDEX('Valo FX'!$R:$R,MATCH($A8,'Valo FX'!$A:$A,0)),INDEX(Base!$U:$U,MATCH($A8,Base!$A:$A,0)),IF(CJ$1=INDEX('Valo FX'!$R:$R,MATCH($A8,'Valo FX'!$A:$A,0)),INDEX(Base!$V:$V,MATCH($A8,Base!$A:$A,0)),0)))</f>
        <v>12.508353</v>
      </c>
      <c r="CK8" s="21">
        <f>IF(CK$1&lt;INDEX('Valo FX'!$Q:$Q,MATCH($A8,'Valo FX'!$A:$A,0)),0,IF(CK$1&lt;INDEX('Valo FX'!$R:$R,MATCH($A8,'Valo FX'!$A:$A,0)),INDEX(Base!$U:$U,MATCH($A8,Base!$A:$A,0)),IF(CK$1=INDEX('Valo FX'!$R:$R,MATCH($A8,'Valo FX'!$A:$A,0)),INDEX(Base!$V:$V,MATCH($A8,Base!$A:$A,0)),0)))</f>
        <v>12.508353</v>
      </c>
      <c r="CL8" s="21">
        <f>IF(CL$1&lt;INDEX('Valo FX'!$Q:$Q,MATCH($A8,'Valo FX'!$A:$A,0)),0,IF(CL$1&lt;INDEX('Valo FX'!$R:$R,MATCH($A8,'Valo FX'!$A:$A,0)),INDEX(Base!$U:$U,MATCH($A8,Base!$A:$A,0)),IF(CL$1=INDEX('Valo FX'!$R:$R,MATCH($A8,'Valo FX'!$A:$A,0)),INDEX(Base!$V:$V,MATCH($A8,Base!$A:$A,0)),0)))</f>
        <v>12.508353</v>
      </c>
      <c r="CM8" s="21">
        <f>IF(CM$1&lt;INDEX('Valo FX'!$Q:$Q,MATCH($A8,'Valo FX'!$A:$A,0)),0,IF(CM$1&lt;INDEX('Valo FX'!$R:$R,MATCH($A8,'Valo FX'!$A:$A,0)),INDEX(Base!$U:$U,MATCH($A8,Base!$A:$A,0)),IF(CM$1=INDEX('Valo FX'!$R:$R,MATCH($A8,'Valo FX'!$A:$A,0)),INDEX(Base!$V:$V,MATCH($A8,Base!$A:$A,0)),0)))</f>
        <v>12.508353</v>
      </c>
      <c r="CN8" s="21">
        <f>IF(CN$1&lt;INDEX('Valo FX'!$Q:$Q,MATCH($A8,'Valo FX'!$A:$A,0)),0,IF(CN$1&lt;INDEX('Valo FX'!$R:$R,MATCH($A8,'Valo FX'!$A:$A,0)),INDEX(Base!$U:$U,MATCH($A8,Base!$A:$A,0)),IF(CN$1=INDEX('Valo FX'!$R:$R,MATCH($A8,'Valo FX'!$A:$A,0)),INDEX(Base!$V:$V,MATCH($A8,Base!$A:$A,0)),0)))</f>
        <v>12.508353</v>
      </c>
      <c r="CO8" s="21">
        <f>IF(CO$1&lt;INDEX('Valo FX'!$Q:$Q,MATCH($A8,'Valo FX'!$A:$A,0)),0,IF(CO$1&lt;INDEX('Valo FX'!$R:$R,MATCH($A8,'Valo FX'!$A:$A,0)),INDEX(Base!$U:$U,MATCH($A8,Base!$A:$A,0)),IF(CO$1=INDEX('Valo FX'!$R:$R,MATCH($A8,'Valo FX'!$A:$A,0)),INDEX(Base!$V:$V,MATCH($A8,Base!$A:$A,0)),0)))</f>
        <v>12.508353</v>
      </c>
      <c r="CP8" s="21">
        <f>IF(CP$1&lt;INDEX('Valo FX'!$Q:$Q,MATCH($A8,'Valo FX'!$A:$A,0)),0,IF(CP$1&lt;INDEX('Valo FX'!$R:$R,MATCH($A8,'Valo FX'!$A:$A,0)),INDEX(Base!$U:$U,MATCH($A8,Base!$A:$A,0)),IF(CP$1=INDEX('Valo FX'!$R:$R,MATCH($A8,'Valo FX'!$A:$A,0)),INDEX(Base!$V:$V,MATCH($A8,Base!$A:$A,0)),0)))</f>
        <v>12.508353</v>
      </c>
      <c r="CQ8" s="21">
        <f>IF(CQ$1&lt;INDEX('Valo FX'!$Q:$Q,MATCH($A8,'Valo FX'!$A:$A,0)),0,IF(CQ$1&lt;INDEX('Valo FX'!$R:$R,MATCH($A8,'Valo FX'!$A:$A,0)),INDEX(Base!$U:$U,MATCH($A8,Base!$A:$A,0)),IF(CQ$1=INDEX('Valo FX'!$R:$R,MATCH($A8,'Valo FX'!$A:$A,0)),INDEX(Base!$V:$V,MATCH($A8,Base!$A:$A,0)),0)))</f>
        <v>12.508353</v>
      </c>
      <c r="CR8" s="21">
        <f>IF(CR$1&lt;INDEX('Valo FX'!$Q:$Q,MATCH($A8,'Valo FX'!$A:$A,0)),0,IF(CR$1&lt;INDEX('Valo FX'!$R:$R,MATCH($A8,'Valo FX'!$A:$A,0)),INDEX(Base!$U:$U,MATCH($A8,Base!$A:$A,0)),IF(CR$1=INDEX('Valo FX'!$R:$R,MATCH($A8,'Valo FX'!$A:$A,0)),INDEX(Base!$V:$V,MATCH($A8,Base!$A:$A,0)),0)))</f>
        <v>12.508353</v>
      </c>
      <c r="CS8" s="21">
        <f>IF(CS$1&lt;INDEX('Valo FX'!$Q:$Q,MATCH($A8,'Valo FX'!$A:$A,0)),0,IF(CS$1&lt;INDEX('Valo FX'!$R:$R,MATCH($A8,'Valo FX'!$A:$A,0)),INDEX(Base!$U:$U,MATCH($A8,Base!$A:$A,0)),IF(CS$1=INDEX('Valo FX'!$R:$R,MATCH($A8,'Valo FX'!$A:$A,0)),INDEX(Base!$V:$V,MATCH($A8,Base!$A:$A,0)),0)))</f>
        <v>12.508353</v>
      </c>
      <c r="CT8" s="21">
        <f>IF(CT$1&lt;INDEX('Valo FX'!$Q:$Q,MATCH($A8,'Valo FX'!$A:$A,0)),0,IF(CT$1&lt;INDEX('Valo FX'!$R:$R,MATCH($A8,'Valo FX'!$A:$A,0)),INDEX(Base!$U:$U,MATCH($A8,Base!$A:$A,0)),IF(CT$1=INDEX('Valo FX'!$R:$R,MATCH($A8,'Valo FX'!$A:$A,0)),INDEX(Base!$V:$V,MATCH($A8,Base!$A:$A,0)),0)))</f>
        <v>12.508353</v>
      </c>
      <c r="CU8" s="21">
        <f>IF(CU$1&lt;INDEX('Valo FX'!$Q:$Q,MATCH($A8,'Valo FX'!$A:$A,0)),0,IF(CU$1&lt;INDEX('Valo FX'!$R:$R,MATCH($A8,'Valo FX'!$A:$A,0)),INDEX(Base!$U:$U,MATCH($A8,Base!$A:$A,0)),IF(CU$1=INDEX('Valo FX'!$R:$R,MATCH($A8,'Valo FX'!$A:$A,0)),INDEX(Base!$V:$V,MATCH($A8,Base!$A:$A,0)),0)))</f>
        <v>12.508353</v>
      </c>
      <c r="CV8" s="21">
        <f>IF(CV$1&lt;INDEX('Valo FX'!$Q:$Q,MATCH($A8,'Valo FX'!$A:$A,0)),0,IF(CV$1&lt;INDEX('Valo FX'!$R:$R,MATCH($A8,'Valo FX'!$A:$A,0)),INDEX(Base!$U:$U,MATCH($A8,Base!$A:$A,0)),IF(CV$1=INDEX('Valo FX'!$R:$R,MATCH($A8,'Valo FX'!$A:$A,0)),INDEX(Base!$V:$V,MATCH($A8,Base!$A:$A,0)),0)))</f>
        <v>12.508353</v>
      </c>
      <c r="CW8" s="21">
        <f>IF(CW$1&lt;INDEX('Valo FX'!$Q:$Q,MATCH($A8,'Valo FX'!$A:$A,0)),0,IF(CW$1&lt;INDEX('Valo FX'!$R:$R,MATCH($A8,'Valo FX'!$A:$A,0)),INDEX(Base!$U:$U,MATCH($A8,Base!$A:$A,0)),IF(CW$1=INDEX('Valo FX'!$R:$R,MATCH($A8,'Valo FX'!$A:$A,0)),INDEX(Base!$V:$V,MATCH($A8,Base!$A:$A,0)),0)))</f>
        <v>12.508353</v>
      </c>
      <c r="CX8" s="21">
        <f>IF(CX$1&lt;INDEX('Valo FX'!$Q:$Q,MATCH($A8,'Valo FX'!$A:$A,0)),0,IF(CX$1&lt;INDEX('Valo FX'!$R:$R,MATCH($A8,'Valo FX'!$A:$A,0)),INDEX(Base!$U:$U,MATCH($A8,Base!$A:$A,0)),IF(CX$1=INDEX('Valo FX'!$R:$R,MATCH($A8,'Valo FX'!$A:$A,0)),INDEX(Base!$V:$V,MATCH($A8,Base!$A:$A,0)),0)))</f>
        <v>12.508353</v>
      </c>
      <c r="CY8" s="21">
        <f>IF(CY$1&lt;INDEX('Valo FX'!$Q:$Q,MATCH($A8,'Valo FX'!$A:$A,0)),0,IF(CY$1&lt;INDEX('Valo FX'!$R:$R,MATCH($A8,'Valo FX'!$A:$A,0)),INDEX(Base!$U:$U,MATCH($A8,Base!$A:$A,0)),IF(CY$1=INDEX('Valo FX'!$R:$R,MATCH($A8,'Valo FX'!$A:$A,0)),INDEX(Base!$V:$V,MATCH($A8,Base!$A:$A,0)),0)))</f>
        <v>12.508353</v>
      </c>
      <c r="CZ8" s="21">
        <f>IF(CZ$1&lt;INDEX('Valo FX'!$Q:$Q,MATCH($A8,'Valo FX'!$A:$A,0)),0,IF(CZ$1&lt;INDEX('Valo FX'!$R:$R,MATCH($A8,'Valo FX'!$A:$A,0)),INDEX(Base!$U:$U,MATCH($A8,Base!$A:$A,0)),IF(CZ$1=INDEX('Valo FX'!$R:$R,MATCH($A8,'Valo FX'!$A:$A,0)),INDEX(Base!$V:$V,MATCH($A8,Base!$A:$A,0)),0)))</f>
        <v>12.508353</v>
      </c>
      <c r="DA8" s="21">
        <f>IF(DA$1&lt;INDEX('Valo FX'!$Q:$Q,MATCH($A8,'Valo FX'!$A:$A,0)),0,IF(DA$1&lt;INDEX('Valo FX'!$R:$R,MATCH($A8,'Valo FX'!$A:$A,0)),INDEX(Base!$U:$U,MATCH($A8,Base!$A:$A,0)),IF(DA$1=INDEX('Valo FX'!$R:$R,MATCH($A8,'Valo FX'!$A:$A,0)),INDEX(Base!$V:$V,MATCH($A8,Base!$A:$A,0)),0)))</f>
        <v>12.508353</v>
      </c>
      <c r="DB8" s="21">
        <f>IF(DB$1&lt;INDEX('Valo FX'!$Q:$Q,MATCH($A8,'Valo FX'!$A:$A,0)),0,IF(DB$1&lt;INDEX('Valo FX'!$R:$R,MATCH($A8,'Valo FX'!$A:$A,0)),INDEX(Base!$U:$U,MATCH($A8,Base!$A:$A,0)),IF(DB$1=INDEX('Valo FX'!$R:$R,MATCH($A8,'Valo FX'!$A:$A,0)),INDEX(Base!$V:$V,MATCH($A8,Base!$A:$A,0)),0)))</f>
        <v>12.508353</v>
      </c>
      <c r="DC8" s="21">
        <f>IF(DC$1&lt;INDEX('Valo FX'!$Q:$Q,MATCH($A8,'Valo FX'!$A:$A,0)),0,IF(DC$1&lt;INDEX('Valo FX'!$R:$R,MATCH($A8,'Valo FX'!$A:$A,0)),INDEX(Base!$U:$U,MATCH($A8,Base!$A:$A,0)),IF(DC$1=INDEX('Valo FX'!$R:$R,MATCH($A8,'Valo FX'!$A:$A,0)),INDEX(Base!$V:$V,MATCH($A8,Base!$A:$A,0)),0)))</f>
        <v>12.508353</v>
      </c>
      <c r="DD8" s="21">
        <f>IF(DD$1&lt;INDEX('Valo FX'!$Q:$Q,MATCH($A8,'Valo FX'!$A:$A,0)),0,IF(DD$1&lt;INDEX('Valo FX'!$R:$R,MATCH($A8,'Valo FX'!$A:$A,0)),INDEX(Base!$U:$U,MATCH($A8,Base!$A:$A,0)),IF(DD$1=INDEX('Valo FX'!$R:$R,MATCH($A8,'Valo FX'!$A:$A,0)),INDEX(Base!$V:$V,MATCH($A8,Base!$A:$A,0)),0)))</f>
        <v>12.508353</v>
      </c>
      <c r="DE8" s="21">
        <f>IF(DE$1&lt;INDEX('Valo FX'!$Q:$Q,MATCH($A8,'Valo FX'!$A:$A,0)),0,IF(DE$1&lt;INDEX('Valo FX'!$R:$R,MATCH($A8,'Valo FX'!$A:$A,0)),INDEX(Base!$U:$U,MATCH($A8,Base!$A:$A,0)),IF(DE$1=INDEX('Valo FX'!$R:$R,MATCH($A8,'Valo FX'!$A:$A,0)),INDEX(Base!$V:$V,MATCH($A8,Base!$A:$A,0)),0)))</f>
        <v>12.508353</v>
      </c>
      <c r="DF8" s="21">
        <f>IF(DF$1&lt;INDEX('Valo FX'!$Q:$Q,MATCH($A8,'Valo FX'!$A:$A,0)),0,IF(DF$1&lt;INDEX('Valo FX'!$R:$R,MATCH($A8,'Valo FX'!$A:$A,0)),INDEX(Base!$U:$U,MATCH($A8,Base!$A:$A,0)),IF(DF$1=INDEX('Valo FX'!$R:$R,MATCH($A8,'Valo FX'!$A:$A,0)),INDEX(Base!$V:$V,MATCH($A8,Base!$A:$A,0)),0)))</f>
        <v>12.508353</v>
      </c>
      <c r="DG8" s="21">
        <f>IF(DG$1&lt;INDEX('Valo FX'!$Q:$Q,MATCH($A8,'Valo FX'!$A:$A,0)),0,IF(DG$1&lt;INDEX('Valo FX'!$R:$R,MATCH($A8,'Valo FX'!$A:$A,0)),INDEX(Base!$U:$U,MATCH($A8,Base!$A:$A,0)),IF(DG$1=INDEX('Valo FX'!$R:$R,MATCH($A8,'Valo FX'!$A:$A,0)),INDEX(Base!$V:$V,MATCH($A8,Base!$A:$A,0)),0)))</f>
        <v>12.508353</v>
      </c>
      <c r="DH8" s="21">
        <f>IF(DH$1&lt;INDEX('Valo FX'!$Q:$Q,MATCH($A8,'Valo FX'!$A:$A,0)),0,IF(DH$1&lt;INDEX('Valo FX'!$R:$R,MATCH($A8,'Valo FX'!$A:$A,0)),INDEX(Base!$U:$U,MATCH($A8,Base!$A:$A,0)),IF(DH$1=INDEX('Valo FX'!$R:$R,MATCH($A8,'Valo FX'!$A:$A,0)),INDEX(Base!$V:$V,MATCH($A8,Base!$A:$A,0)),0)))</f>
        <v>12.508353</v>
      </c>
      <c r="DI8" s="21">
        <f>IF(DI$1&lt;INDEX('Valo FX'!$Q:$Q,MATCH($A8,'Valo FX'!$A:$A,0)),0,IF(DI$1&lt;INDEX('Valo FX'!$R:$R,MATCH($A8,'Valo FX'!$A:$A,0)),INDEX(Base!$U:$U,MATCH($A8,Base!$A:$A,0)),IF(DI$1=INDEX('Valo FX'!$R:$R,MATCH($A8,'Valo FX'!$A:$A,0)),INDEX(Base!$V:$V,MATCH($A8,Base!$A:$A,0)),0)))</f>
        <v>12.508353</v>
      </c>
      <c r="DJ8" s="21">
        <f>IF(DJ$1&lt;INDEX('Valo FX'!$Q:$Q,MATCH($A8,'Valo FX'!$A:$A,0)),0,IF(DJ$1&lt;INDEX('Valo FX'!$R:$R,MATCH($A8,'Valo FX'!$A:$A,0)),INDEX(Base!$U:$U,MATCH($A8,Base!$A:$A,0)),IF(DJ$1=INDEX('Valo FX'!$R:$R,MATCH($A8,'Valo FX'!$A:$A,0)),INDEX(Base!$V:$V,MATCH($A8,Base!$A:$A,0)),0)))</f>
        <v>12.508353</v>
      </c>
      <c r="DK8" s="21">
        <f>IF(DK$1&lt;INDEX('Valo FX'!$Q:$Q,MATCH($A8,'Valo FX'!$A:$A,0)),0,IF(DK$1&lt;INDEX('Valo FX'!$R:$R,MATCH($A8,'Valo FX'!$A:$A,0)),INDEX(Base!$U:$U,MATCH($A8,Base!$A:$A,0)),IF(DK$1=INDEX('Valo FX'!$R:$R,MATCH($A8,'Valo FX'!$A:$A,0)),INDEX(Base!$V:$V,MATCH($A8,Base!$A:$A,0)),0)))</f>
        <v>12.508353</v>
      </c>
      <c r="DL8" s="21">
        <f>IF(DL$1&lt;INDEX('Valo FX'!$Q:$Q,MATCH($A8,'Valo FX'!$A:$A,0)),0,IF(DL$1&lt;INDEX('Valo FX'!$R:$R,MATCH($A8,'Valo FX'!$A:$A,0)),INDEX(Base!$U:$U,MATCH($A8,Base!$A:$A,0)),IF(DL$1=INDEX('Valo FX'!$R:$R,MATCH($A8,'Valo FX'!$A:$A,0)),INDEX(Base!$V:$V,MATCH($A8,Base!$A:$A,0)),0)))</f>
        <v>12.508353</v>
      </c>
      <c r="DM8" s="21">
        <f>IF(DM$1&lt;INDEX('Valo FX'!$Q:$Q,MATCH($A8,'Valo FX'!$A:$A,0)),0,IF(DM$1&lt;INDEX('Valo FX'!$R:$R,MATCH($A8,'Valo FX'!$A:$A,0)),INDEX(Base!$U:$U,MATCH($A8,Base!$A:$A,0)),IF(DM$1=INDEX('Valo FX'!$R:$R,MATCH($A8,'Valo FX'!$A:$A,0)),INDEX(Base!$V:$V,MATCH($A8,Base!$A:$A,0)),0)))</f>
        <v>12.508353</v>
      </c>
      <c r="DN8" s="21">
        <f>IF(DN$1&lt;INDEX('Valo FX'!$Q:$Q,MATCH($A8,'Valo FX'!$A:$A,0)),0,IF(DN$1&lt;INDEX('Valo FX'!$R:$R,MATCH($A8,'Valo FX'!$A:$A,0)),INDEX(Base!$U:$U,MATCH($A8,Base!$A:$A,0)),IF(DN$1=INDEX('Valo FX'!$R:$R,MATCH($A8,'Valo FX'!$A:$A,0)),INDEX(Base!$V:$V,MATCH($A8,Base!$A:$A,0)),0)))</f>
        <v>12.508353</v>
      </c>
      <c r="DO8" s="21">
        <f>IF(DO$1&lt;INDEX('Valo FX'!$Q:$Q,MATCH($A8,'Valo FX'!$A:$A,0)),0,IF(DO$1&lt;INDEX('Valo FX'!$R:$R,MATCH($A8,'Valo FX'!$A:$A,0)),INDEX(Base!$U:$U,MATCH($A8,Base!$A:$A,0)),IF(DO$1=INDEX('Valo FX'!$R:$R,MATCH($A8,'Valo FX'!$A:$A,0)),INDEX(Base!$V:$V,MATCH($A8,Base!$A:$A,0)),0)))</f>
        <v>12.508353</v>
      </c>
      <c r="DP8" s="21">
        <f>IF(DP$1&lt;INDEX('Valo FX'!$Q:$Q,MATCH($A8,'Valo FX'!$A:$A,0)),0,IF(DP$1&lt;INDEX('Valo FX'!$R:$R,MATCH($A8,'Valo FX'!$A:$A,0)),INDEX(Base!$U:$U,MATCH($A8,Base!$A:$A,0)),IF(DP$1=INDEX('Valo FX'!$R:$R,MATCH($A8,'Valo FX'!$A:$A,0)),INDEX(Base!$V:$V,MATCH($A8,Base!$A:$A,0)),0)))</f>
        <v>12.508353</v>
      </c>
      <c r="DQ8" s="21">
        <f>IF(DQ$1&lt;INDEX('Valo FX'!$Q:$Q,MATCH($A8,'Valo FX'!$A:$A,0)),0,IF(DQ$1&lt;INDEX('Valo FX'!$R:$R,MATCH($A8,'Valo FX'!$A:$A,0)),INDEX(Base!$U:$U,MATCH($A8,Base!$A:$A,0)),IF(DQ$1=INDEX('Valo FX'!$R:$R,MATCH($A8,'Valo FX'!$A:$A,0)),INDEX(Base!$V:$V,MATCH($A8,Base!$A:$A,0)),0)))</f>
        <v>12.508353</v>
      </c>
      <c r="DR8" s="21">
        <f>IF(DR$1&lt;INDEX('Valo FX'!$Q:$Q,MATCH($A8,'Valo FX'!$A:$A,0)),0,IF(DR$1&lt;INDEX('Valo FX'!$R:$R,MATCH($A8,'Valo FX'!$A:$A,0)),INDEX(Base!$U:$U,MATCH($A8,Base!$A:$A,0)),IF(DR$1=INDEX('Valo FX'!$R:$R,MATCH($A8,'Valo FX'!$A:$A,0)),INDEX(Base!$V:$V,MATCH($A8,Base!$A:$A,0)),0)))</f>
        <v>12.508353</v>
      </c>
      <c r="DS8" s="21">
        <f>IF(DS$1&lt;INDEX('Valo FX'!$Q:$Q,MATCH($A8,'Valo FX'!$A:$A,0)),0,IF(DS$1&lt;INDEX('Valo FX'!$R:$R,MATCH($A8,'Valo FX'!$A:$A,0)),INDEX(Base!$U:$U,MATCH($A8,Base!$A:$A,0)),IF(DS$1=INDEX('Valo FX'!$R:$R,MATCH($A8,'Valo FX'!$A:$A,0)),INDEX(Base!$V:$V,MATCH($A8,Base!$A:$A,0)),0)))</f>
        <v>12.508353</v>
      </c>
      <c r="DT8" s="21">
        <f>IF(DT$1&lt;INDEX('Valo FX'!$Q:$Q,MATCH($A8,'Valo FX'!$A:$A,0)),0,IF(DT$1&lt;INDEX('Valo FX'!$R:$R,MATCH($A8,'Valo FX'!$A:$A,0)),INDEX(Base!$U:$U,MATCH($A8,Base!$A:$A,0)),IF(DT$1=INDEX('Valo FX'!$R:$R,MATCH($A8,'Valo FX'!$A:$A,0)),INDEX(Base!$V:$V,MATCH($A8,Base!$A:$A,0)),0)))</f>
        <v>12.508353</v>
      </c>
      <c r="DU8" s="21">
        <f>IF(DU$1&lt;INDEX('Valo FX'!$Q:$Q,MATCH($A8,'Valo FX'!$A:$A,0)),0,IF(DU$1&lt;INDEX('Valo FX'!$R:$R,MATCH($A8,'Valo FX'!$A:$A,0)),INDEX(Base!$U:$U,MATCH($A8,Base!$A:$A,0)),IF(DU$1=INDEX('Valo FX'!$R:$R,MATCH($A8,'Valo FX'!$A:$A,0)),INDEX(Base!$V:$V,MATCH($A8,Base!$A:$A,0)),0)))</f>
        <v>12.508353</v>
      </c>
      <c r="DV8" s="21">
        <f>IF(DV$1&lt;INDEX('Valo FX'!$Q:$Q,MATCH($A8,'Valo FX'!$A:$A,0)),0,IF(DV$1&lt;INDEX('Valo FX'!$R:$R,MATCH($A8,'Valo FX'!$A:$A,0)),INDEX(Base!$U:$U,MATCH($A8,Base!$A:$A,0)),IF(DV$1=INDEX('Valo FX'!$R:$R,MATCH($A8,'Valo FX'!$A:$A,0)),INDEX(Base!$V:$V,MATCH($A8,Base!$A:$A,0)),0)))</f>
        <v>12.508353</v>
      </c>
      <c r="DW8" s="21">
        <f>IF(DW$1&lt;INDEX('Valo FX'!$Q:$Q,MATCH($A8,'Valo FX'!$A:$A,0)),0,IF(DW$1&lt;INDEX('Valo FX'!$R:$R,MATCH($A8,'Valo FX'!$A:$A,0)),INDEX(Base!$U:$U,MATCH($A8,Base!$A:$A,0)),IF(DW$1=INDEX('Valo FX'!$R:$R,MATCH($A8,'Valo FX'!$A:$A,0)),INDEX(Base!$V:$V,MATCH($A8,Base!$A:$A,0)),0)))</f>
        <v>12.508353</v>
      </c>
      <c r="DX8" s="21">
        <f>IF(DX$1&lt;INDEX('Valo FX'!$Q:$Q,MATCH($A8,'Valo FX'!$A:$A,0)),0,IF(DX$1&lt;INDEX('Valo FX'!$R:$R,MATCH($A8,'Valo FX'!$A:$A,0)),INDEX(Base!$U:$U,MATCH($A8,Base!$A:$A,0)),IF(DX$1=INDEX('Valo FX'!$R:$R,MATCH($A8,'Valo FX'!$A:$A,0)),INDEX(Base!$V:$V,MATCH($A8,Base!$A:$A,0)),0)))</f>
        <v>12.508353</v>
      </c>
      <c r="DY8" s="21">
        <f>IF(DY$1&lt;INDEX('Valo FX'!$Q:$Q,MATCH($A8,'Valo FX'!$A:$A,0)),0,IF(DY$1&lt;INDEX('Valo FX'!$R:$R,MATCH($A8,'Valo FX'!$A:$A,0)),INDEX(Base!$U:$U,MATCH($A8,Base!$A:$A,0)),IF(DY$1=INDEX('Valo FX'!$R:$R,MATCH($A8,'Valo FX'!$A:$A,0)),INDEX(Base!$V:$V,MATCH($A8,Base!$A:$A,0)),0)))</f>
        <v>12.508353</v>
      </c>
      <c r="DZ8" s="21">
        <f>IF(DZ$1&lt;INDEX('Valo FX'!$Q:$Q,MATCH($A8,'Valo FX'!$A:$A,0)),0,IF(DZ$1&lt;INDEX('Valo FX'!$R:$R,MATCH($A8,'Valo FX'!$A:$A,0)),INDEX(Base!$U:$U,MATCH($A8,Base!$A:$A,0)),IF(DZ$1=INDEX('Valo FX'!$R:$R,MATCH($A8,'Valo FX'!$A:$A,0)),INDEX(Base!$V:$V,MATCH($A8,Base!$A:$A,0)),0)))</f>
        <v>12.508353</v>
      </c>
      <c r="EA8" s="21">
        <f>IF(EA$1&lt;INDEX('Valo FX'!$Q:$Q,MATCH($A8,'Valo FX'!$A:$A,0)),0,IF(EA$1&lt;INDEX('Valo FX'!$R:$R,MATCH($A8,'Valo FX'!$A:$A,0)),INDEX(Base!$U:$U,MATCH($A8,Base!$A:$A,0)),IF(EA$1=INDEX('Valo FX'!$R:$R,MATCH($A8,'Valo FX'!$A:$A,0)),INDEX(Base!$V:$V,MATCH($A8,Base!$A:$A,0)),0)))</f>
        <v>12.508353</v>
      </c>
      <c r="EB8" s="21">
        <f>IF(EB$1&lt;INDEX('Valo FX'!$Q:$Q,MATCH($A8,'Valo FX'!$A:$A,0)),0,IF(EB$1&lt;INDEX('Valo FX'!$R:$R,MATCH($A8,'Valo FX'!$A:$A,0)),INDEX(Base!$U:$U,MATCH($A8,Base!$A:$A,0)),IF(EB$1=INDEX('Valo FX'!$R:$R,MATCH($A8,'Valo FX'!$A:$A,0)),INDEX(Base!$V:$V,MATCH($A8,Base!$A:$A,0)),0)))</f>
        <v>12.508353</v>
      </c>
      <c r="EC8" s="21">
        <f>IF(EC$1&lt;INDEX('Valo FX'!$Q:$Q,MATCH($A8,'Valo FX'!$A:$A,0)),0,IF(EC$1&lt;INDEX('Valo FX'!$R:$R,MATCH($A8,'Valo FX'!$A:$A,0)),INDEX(Base!$U:$U,MATCH($A8,Base!$A:$A,0)),IF(EC$1=INDEX('Valo FX'!$R:$R,MATCH($A8,'Valo FX'!$A:$A,0)),INDEX(Base!$V:$V,MATCH($A8,Base!$A:$A,0)),0)))</f>
        <v>12.508353</v>
      </c>
      <c r="ED8" s="21">
        <f>IF(ED$1&lt;INDEX('Valo FX'!$Q:$Q,MATCH($A8,'Valo FX'!$A:$A,0)),0,IF(ED$1&lt;INDEX('Valo FX'!$R:$R,MATCH($A8,'Valo FX'!$A:$A,0)),INDEX(Base!$U:$U,MATCH($A8,Base!$A:$A,0)),IF(ED$1=INDEX('Valo FX'!$R:$R,MATCH($A8,'Valo FX'!$A:$A,0)),INDEX(Base!$V:$V,MATCH($A8,Base!$A:$A,0)),0)))</f>
        <v>12.508353</v>
      </c>
      <c r="EE8" s="21">
        <f>IF(EE$1&lt;INDEX('Valo FX'!$Q:$Q,MATCH($A8,'Valo FX'!$A:$A,0)),0,IF(EE$1&lt;INDEX('Valo FX'!$R:$R,MATCH($A8,'Valo FX'!$A:$A,0)),INDEX(Base!$U:$U,MATCH($A8,Base!$A:$A,0)),IF(EE$1=INDEX('Valo FX'!$R:$R,MATCH($A8,'Valo FX'!$A:$A,0)),INDEX(Base!$V:$V,MATCH($A8,Base!$A:$A,0)),0)))</f>
        <v>12.508353</v>
      </c>
      <c r="EF8" s="21">
        <f>IF(EF$1&lt;INDEX('Valo FX'!$Q:$Q,MATCH($A8,'Valo FX'!$A:$A,0)),0,IF(EF$1&lt;INDEX('Valo FX'!$R:$R,MATCH($A8,'Valo FX'!$A:$A,0)),INDEX(Base!$U:$U,MATCH($A8,Base!$A:$A,0)),IF(EF$1=INDEX('Valo FX'!$R:$R,MATCH($A8,'Valo FX'!$A:$A,0)),INDEX(Base!$V:$V,MATCH($A8,Base!$A:$A,0)),0)))</f>
        <v>12.508353</v>
      </c>
      <c r="EG8" s="21">
        <f>IF(EG$1&lt;INDEX('Valo FX'!$Q:$Q,MATCH($A8,'Valo FX'!$A:$A,0)),0,IF(EG$1&lt;INDEX('Valo FX'!$R:$R,MATCH($A8,'Valo FX'!$A:$A,0)),INDEX(Base!$U:$U,MATCH($A8,Base!$A:$A,0)),IF(EG$1=INDEX('Valo FX'!$R:$R,MATCH($A8,'Valo FX'!$A:$A,0)),INDEX(Base!$V:$V,MATCH($A8,Base!$A:$A,0)),0)))</f>
        <v>12.508353</v>
      </c>
      <c r="EH8" s="21">
        <f>IF(EH$1&lt;INDEX('Valo FX'!$Q:$Q,MATCH($A8,'Valo FX'!$A:$A,0)),0,IF(EH$1&lt;INDEX('Valo FX'!$R:$R,MATCH($A8,'Valo FX'!$A:$A,0)),INDEX(Base!$U:$U,MATCH($A8,Base!$A:$A,0)),IF(EH$1=INDEX('Valo FX'!$R:$R,MATCH($A8,'Valo FX'!$A:$A,0)),INDEX(Base!$V:$V,MATCH($A8,Base!$A:$A,0)),0)))</f>
        <v>12.508353</v>
      </c>
      <c r="EI8" s="21">
        <f>IF(EI$1&lt;INDEX('Valo FX'!$Q:$Q,MATCH($A8,'Valo FX'!$A:$A,0)),0,IF(EI$1&lt;INDEX('Valo FX'!$R:$R,MATCH($A8,'Valo FX'!$A:$A,0)),INDEX(Base!$U:$U,MATCH($A8,Base!$A:$A,0)),IF(EI$1=INDEX('Valo FX'!$R:$R,MATCH($A8,'Valo FX'!$A:$A,0)),INDEX(Base!$V:$V,MATCH($A8,Base!$A:$A,0)),0)))</f>
        <v>12.508353</v>
      </c>
      <c r="EJ8" s="21">
        <f>IF(EJ$1&lt;INDEX('Valo FX'!$Q:$Q,MATCH($A8,'Valo FX'!$A:$A,0)),0,IF(EJ$1&lt;INDEX('Valo FX'!$R:$R,MATCH($A8,'Valo FX'!$A:$A,0)),INDEX(Base!$U:$U,MATCH($A8,Base!$A:$A,0)),IF(EJ$1=INDEX('Valo FX'!$R:$R,MATCH($A8,'Valo FX'!$A:$A,0)),INDEX(Base!$V:$V,MATCH($A8,Base!$A:$A,0)),0)))</f>
        <v>12.508353</v>
      </c>
      <c r="EK8" s="21">
        <f>IF(EK$1&lt;INDEX('Valo FX'!$Q:$Q,MATCH($A8,'Valo FX'!$A:$A,0)),0,IF(EK$1&lt;INDEX('Valo FX'!$R:$R,MATCH($A8,'Valo FX'!$A:$A,0)),INDEX(Base!$U:$U,MATCH($A8,Base!$A:$A,0)),IF(EK$1=INDEX('Valo FX'!$R:$R,MATCH($A8,'Valo FX'!$A:$A,0)),INDEX(Base!$V:$V,MATCH($A8,Base!$A:$A,0)),0)))</f>
        <v>12.508353</v>
      </c>
      <c r="EL8" s="21">
        <f>IF(EL$1&lt;INDEX('Valo FX'!$Q:$Q,MATCH($A8,'Valo FX'!$A:$A,0)),0,IF(EL$1&lt;INDEX('Valo FX'!$R:$R,MATCH($A8,'Valo FX'!$A:$A,0)),INDEX(Base!$U:$U,MATCH($A8,Base!$A:$A,0)),IF(EL$1=INDEX('Valo FX'!$R:$R,MATCH($A8,'Valo FX'!$A:$A,0)),INDEX(Base!$V:$V,MATCH($A8,Base!$A:$A,0)),0)))</f>
        <v>12.508353</v>
      </c>
      <c r="EM8" s="21">
        <f>IF(EM$1&lt;INDEX('Valo FX'!$Q:$Q,MATCH($A8,'Valo FX'!$A:$A,0)),0,IF(EM$1&lt;INDEX('Valo FX'!$R:$R,MATCH($A8,'Valo FX'!$A:$A,0)),INDEX(Base!$U:$U,MATCH($A8,Base!$A:$A,0)),IF(EM$1=INDEX('Valo FX'!$R:$R,MATCH($A8,'Valo FX'!$A:$A,0)),INDEX(Base!$V:$V,MATCH($A8,Base!$A:$A,0)),0)))</f>
        <v>12.508353</v>
      </c>
      <c r="EN8" s="21">
        <f>IF(EN$1&lt;INDEX('Valo FX'!$Q:$Q,MATCH($A8,'Valo FX'!$A:$A,0)),0,IF(EN$1&lt;INDEX('Valo FX'!$R:$R,MATCH($A8,'Valo FX'!$A:$A,0)),INDEX(Base!$U:$U,MATCH($A8,Base!$A:$A,0)),IF(EN$1=INDEX('Valo FX'!$R:$R,MATCH($A8,'Valo FX'!$A:$A,0)),INDEX(Base!$V:$V,MATCH($A8,Base!$A:$A,0)),0)))</f>
        <v>12.508353</v>
      </c>
      <c r="EO8" s="21">
        <f>IF(EO$1&lt;INDEX('Valo FX'!$Q:$Q,MATCH($A8,'Valo FX'!$A:$A,0)),0,IF(EO$1&lt;INDEX('Valo FX'!$R:$R,MATCH($A8,'Valo FX'!$A:$A,0)),INDEX(Base!$U:$U,MATCH($A8,Base!$A:$A,0)),IF(EO$1=INDEX('Valo FX'!$R:$R,MATCH($A8,'Valo FX'!$A:$A,0)),INDEX(Base!$V:$V,MATCH($A8,Base!$A:$A,0)),0)))</f>
        <v>12.508353</v>
      </c>
      <c r="EP8" s="21">
        <f>IF(EP$1&lt;INDEX('Valo FX'!$Q:$Q,MATCH($A8,'Valo FX'!$A:$A,0)),0,IF(EP$1&lt;INDEX('Valo FX'!$R:$R,MATCH($A8,'Valo FX'!$A:$A,0)),INDEX(Base!$U:$U,MATCH($A8,Base!$A:$A,0)),IF(EP$1=INDEX('Valo FX'!$R:$R,MATCH($A8,'Valo FX'!$A:$A,0)),INDEX(Base!$V:$V,MATCH($A8,Base!$A:$A,0)),0)))</f>
        <v>12.508353</v>
      </c>
      <c r="EQ8" s="21">
        <f>IF(EQ$1&lt;INDEX('Valo FX'!$Q:$Q,MATCH($A8,'Valo FX'!$A:$A,0)),0,IF(EQ$1&lt;INDEX('Valo FX'!$R:$R,MATCH($A8,'Valo FX'!$A:$A,0)),INDEX(Base!$U:$U,MATCH($A8,Base!$A:$A,0)),IF(EQ$1=INDEX('Valo FX'!$R:$R,MATCH($A8,'Valo FX'!$A:$A,0)),INDEX(Base!$V:$V,MATCH($A8,Base!$A:$A,0)),0)))</f>
        <v>12.508353</v>
      </c>
      <c r="ER8" s="21">
        <f>IF(ER$1&lt;INDEX('Valo FX'!$Q:$Q,MATCH($A8,'Valo FX'!$A:$A,0)),0,IF(ER$1&lt;INDEX('Valo FX'!$R:$R,MATCH($A8,'Valo FX'!$A:$A,0)),INDEX(Base!$U:$U,MATCH($A8,Base!$A:$A,0)),IF(ER$1=INDEX('Valo FX'!$R:$R,MATCH($A8,'Valo FX'!$A:$A,0)),INDEX(Base!$V:$V,MATCH($A8,Base!$A:$A,0)),0)))</f>
        <v>12.508353</v>
      </c>
      <c r="ES8" s="21">
        <f>IF(ES$1&lt;INDEX('Valo FX'!$Q:$Q,MATCH($A8,'Valo FX'!$A:$A,0)),0,IF(ES$1&lt;INDEX('Valo FX'!$R:$R,MATCH($A8,'Valo FX'!$A:$A,0)),INDEX(Base!$U:$U,MATCH($A8,Base!$A:$A,0)),IF(ES$1=INDEX('Valo FX'!$R:$R,MATCH($A8,'Valo FX'!$A:$A,0)),INDEX(Base!$V:$V,MATCH($A8,Base!$A:$A,0)),0)))</f>
        <v>12.508353</v>
      </c>
      <c r="ET8" s="21">
        <f>IF(ET$1&lt;INDEX('Valo FX'!$Q:$Q,MATCH($A8,'Valo FX'!$A:$A,0)),0,IF(ET$1&lt;INDEX('Valo FX'!$R:$R,MATCH($A8,'Valo FX'!$A:$A,0)),INDEX(Base!$U:$U,MATCH($A8,Base!$A:$A,0)),IF(ET$1=INDEX('Valo FX'!$R:$R,MATCH($A8,'Valo FX'!$A:$A,0)),INDEX(Base!$V:$V,MATCH($A8,Base!$A:$A,0)),0)))</f>
        <v>12.508353</v>
      </c>
      <c r="EU8" s="21">
        <f>IF(EU$1&lt;INDEX('Valo FX'!$Q:$Q,MATCH($A8,'Valo FX'!$A:$A,0)),0,IF(EU$1&lt;INDEX('Valo FX'!$R:$R,MATCH($A8,'Valo FX'!$A:$A,0)),INDEX(Base!$U:$U,MATCH($A8,Base!$A:$A,0)),IF(EU$1=INDEX('Valo FX'!$R:$R,MATCH($A8,'Valo FX'!$A:$A,0)),INDEX(Base!$V:$V,MATCH($A8,Base!$A:$A,0)),0)))</f>
        <v>12.508353</v>
      </c>
      <c r="EV8" s="21">
        <f>IF(EV$1&lt;INDEX('Valo FX'!$Q:$Q,MATCH($A8,'Valo FX'!$A:$A,0)),0,IF(EV$1&lt;INDEX('Valo FX'!$R:$R,MATCH($A8,'Valo FX'!$A:$A,0)),INDEX(Base!$U:$U,MATCH($A8,Base!$A:$A,0)),IF(EV$1=INDEX('Valo FX'!$R:$R,MATCH($A8,'Valo FX'!$A:$A,0)),INDEX(Base!$V:$V,MATCH($A8,Base!$A:$A,0)),0)))</f>
        <v>12.508353</v>
      </c>
      <c r="EW8" s="21">
        <f>IF(EW$1&lt;INDEX('Valo FX'!$Q:$Q,MATCH($A8,'Valo FX'!$A:$A,0)),0,IF(EW$1&lt;INDEX('Valo FX'!$R:$R,MATCH($A8,'Valo FX'!$A:$A,0)),INDEX(Base!$U:$U,MATCH($A8,Base!$A:$A,0)),IF(EW$1=INDEX('Valo FX'!$R:$R,MATCH($A8,'Valo FX'!$A:$A,0)),INDEX(Base!$V:$V,MATCH($A8,Base!$A:$A,0)),0)))</f>
        <v>12.508353</v>
      </c>
      <c r="EX8" s="21">
        <f>IF(EX$1&lt;INDEX('Valo FX'!$Q:$Q,MATCH($A8,'Valo FX'!$A:$A,0)),0,IF(EX$1&lt;INDEX('Valo FX'!$R:$R,MATCH($A8,'Valo FX'!$A:$A,0)),INDEX(Base!$U:$U,MATCH($A8,Base!$A:$A,0)),IF(EX$1=INDEX('Valo FX'!$R:$R,MATCH($A8,'Valo FX'!$A:$A,0)),INDEX(Base!$V:$V,MATCH($A8,Base!$A:$A,0)),0)))</f>
        <v>12.508353</v>
      </c>
      <c r="EY8" s="21">
        <f>IF(EY$1&lt;INDEX('Valo FX'!$Q:$Q,MATCH($A8,'Valo FX'!$A:$A,0)),0,IF(EY$1&lt;INDEX('Valo FX'!$R:$R,MATCH($A8,'Valo FX'!$A:$A,0)),INDEX(Base!$U:$U,MATCH($A8,Base!$A:$A,0)),IF(EY$1=INDEX('Valo FX'!$R:$R,MATCH($A8,'Valo FX'!$A:$A,0)),INDEX(Base!$V:$V,MATCH($A8,Base!$A:$A,0)),0)))</f>
        <v>12.508353</v>
      </c>
      <c r="EZ8" s="21">
        <f>IF(EZ$1&lt;INDEX('Valo FX'!$Q:$Q,MATCH($A8,'Valo FX'!$A:$A,0)),0,IF(EZ$1&lt;INDEX('Valo FX'!$R:$R,MATCH($A8,'Valo FX'!$A:$A,0)),INDEX(Base!$U:$U,MATCH($A8,Base!$A:$A,0)),IF(EZ$1=INDEX('Valo FX'!$R:$R,MATCH($A8,'Valo FX'!$A:$A,0)),INDEX(Base!$V:$V,MATCH($A8,Base!$A:$A,0)),0)))</f>
        <v>12.508353</v>
      </c>
      <c r="FA8" s="21">
        <f>IF(FA$1&lt;INDEX('Valo FX'!$Q:$Q,MATCH($A8,'Valo FX'!$A:$A,0)),0,IF(FA$1&lt;INDEX('Valo FX'!$R:$R,MATCH($A8,'Valo FX'!$A:$A,0)),INDEX(Base!$U:$U,MATCH($A8,Base!$A:$A,0)),IF(FA$1=INDEX('Valo FX'!$R:$R,MATCH($A8,'Valo FX'!$A:$A,0)),INDEX(Base!$V:$V,MATCH($A8,Base!$A:$A,0)),0)))</f>
        <v>12.508353</v>
      </c>
      <c r="FB8" s="21">
        <f>IF(FB$1&lt;INDEX('Valo FX'!$Q:$Q,MATCH($A8,'Valo FX'!$A:$A,0)),0,IF(FB$1&lt;INDEX('Valo FX'!$R:$R,MATCH($A8,'Valo FX'!$A:$A,0)),INDEX(Base!$U:$U,MATCH($A8,Base!$A:$A,0)),IF(FB$1=INDEX('Valo FX'!$R:$R,MATCH($A8,'Valo FX'!$A:$A,0)),INDEX(Base!$V:$V,MATCH($A8,Base!$A:$A,0)),0)))</f>
        <v>12.508353</v>
      </c>
      <c r="FC8" s="21">
        <f>IF(FC$1&lt;INDEX('Valo FX'!$Q:$Q,MATCH($A8,'Valo FX'!$A:$A,0)),0,IF(FC$1&lt;INDEX('Valo FX'!$R:$R,MATCH($A8,'Valo FX'!$A:$A,0)),INDEX(Base!$U:$U,MATCH($A8,Base!$A:$A,0)),IF(FC$1=INDEX('Valo FX'!$R:$R,MATCH($A8,'Valo FX'!$A:$A,0)),INDEX(Base!$V:$V,MATCH($A8,Base!$A:$A,0)),0)))</f>
        <v>12.508353</v>
      </c>
      <c r="FD8" s="21">
        <f>IF(FD$1&lt;INDEX('Valo FX'!$Q:$Q,MATCH($A8,'Valo FX'!$A:$A,0)),0,IF(FD$1&lt;INDEX('Valo FX'!$R:$R,MATCH($A8,'Valo FX'!$A:$A,0)),INDEX(Base!$U:$U,MATCH($A8,Base!$A:$A,0)),IF(FD$1=INDEX('Valo FX'!$R:$R,MATCH($A8,'Valo FX'!$A:$A,0)),INDEX(Base!$V:$V,MATCH($A8,Base!$A:$A,0)),0)))</f>
        <v>12.508353</v>
      </c>
      <c r="FE8" s="21">
        <f>IF(FE$1&lt;INDEX('Valo FX'!$Q:$Q,MATCH($A8,'Valo FX'!$A:$A,0)),0,IF(FE$1&lt;INDEX('Valo FX'!$R:$R,MATCH($A8,'Valo FX'!$A:$A,0)),INDEX(Base!$U:$U,MATCH($A8,Base!$A:$A,0)),IF(FE$1=INDEX('Valo FX'!$R:$R,MATCH($A8,'Valo FX'!$A:$A,0)),INDEX(Base!$V:$V,MATCH($A8,Base!$A:$A,0)),0)))</f>
        <v>12.508353</v>
      </c>
      <c r="FF8" s="21">
        <f>IF(FF$1&lt;INDEX('Valo FX'!$Q:$Q,MATCH($A8,'Valo FX'!$A:$A,0)),0,IF(FF$1&lt;INDEX('Valo FX'!$R:$R,MATCH($A8,'Valo FX'!$A:$A,0)),INDEX(Base!$U:$U,MATCH($A8,Base!$A:$A,0)),IF(FF$1=INDEX('Valo FX'!$R:$R,MATCH($A8,'Valo FX'!$A:$A,0)),INDEX(Base!$V:$V,MATCH($A8,Base!$A:$A,0)),0)))</f>
        <v>12.508353</v>
      </c>
      <c r="FG8" s="21">
        <f>IF(FG$1&lt;INDEX('Valo FX'!$Q:$Q,MATCH($A8,'Valo FX'!$A:$A,0)),0,IF(FG$1&lt;INDEX('Valo FX'!$R:$R,MATCH($A8,'Valo FX'!$A:$A,0)),INDEX(Base!$U:$U,MATCH($A8,Base!$A:$A,0)),IF(FG$1=INDEX('Valo FX'!$R:$R,MATCH($A8,'Valo FX'!$A:$A,0)),INDEX(Base!$V:$V,MATCH($A8,Base!$A:$A,0)),0)))</f>
        <v>12.508353</v>
      </c>
      <c r="FH8" s="21">
        <f>IF(FH$1&lt;INDEX('Valo FX'!$Q:$Q,MATCH($A8,'Valo FX'!$A:$A,0)),0,IF(FH$1&lt;INDEX('Valo FX'!$R:$R,MATCH($A8,'Valo FX'!$A:$A,0)),INDEX(Base!$U:$U,MATCH($A8,Base!$A:$A,0)),IF(FH$1=INDEX('Valo FX'!$R:$R,MATCH($A8,'Valo FX'!$A:$A,0)),INDEX(Base!$V:$V,MATCH($A8,Base!$A:$A,0)),0)))</f>
        <v>12.508353</v>
      </c>
      <c r="FI8" s="21">
        <f>IF(FI$1&lt;INDEX('Valo FX'!$Q:$Q,MATCH($A8,'Valo FX'!$A:$A,0)),0,IF(FI$1&lt;INDEX('Valo FX'!$R:$R,MATCH($A8,'Valo FX'!$A:$A,0)),INDEX(Base!$U:$U,MATCH($A8,Base!$A:$A,0)),IF(FI$1=INDEX('Valo FX'!$R:$R,MATCH($A8,'Valo FX'!$A:$A,0)),INDEX(Base!$V:$V,MATCH($A8,Base!$A:$A,0)),0)))</f>
        <v>12.508353</v>
      </c>
      <c r="FJ8" s="21">
        <f>IF(FJ$1&lt;INDEX('Valo FX'!$Q:$Q,MATCH($A8,'Valo FX'!$A:$A,0)),0,IF(FJ$1&lt;INDEX('Valo FX'!$R:$R,MATCH($A8,'Valo FX'!$A:$A,0)),INDEX(Base!$U:$U,MATCH($A8,Base!$A:$A,0)),IF(FJ$1=INDEX('Valo FX'!$R:$R,MATCH($A8,'Valo FX'!$A:$A,0)),INDEX(Base!$V:$V,MATCH($A8,Base!$A:$A,0)),0)))</f>
        <v>12.508353</v>
      </c>
      <c r="FK8" s="21">
        <f>IF(FK$1&lt;INDEX('Valo FX'!$Q:$Q,MATCH($A8,'Valo FX'!$A:$A,0)),0,IF(FK$1&lt;INDEX('Valo FX'!$R:$R,MATCH($A8,'Valo FX'!$A:$A,0)),INDEX(Base!$U:$U,MATCH($A8,Base!$A:$A,0)),IF(FK$1=INDEX('Valo FX'!$R:$R,MATCH($A8,'Valo FX'!$A:$A,0)),INDEX(Base!$V:$V,MATCH($A8,Base!$A:$A,0)),0)))</f>
        <v>12.508353</v>
      </c>
      <c r="FL8" s="21">
        <f>IF(FL$1&lt;INDEX('Valo FX'!$Q:$Q,MATCH($A8,'Valo FX'!$A:$A,0)),0,IF(FL$1&lt;INDEX('Valo FX'!$R:$R,MATCH($A8,'Valo FX'!$A:$A,0)),INDEX(Base!$U:$U,MATCH($A8,Base!$A:$A,0)),IF(FL$1=INDEX('Valo FX'!$R:$R,MATCH($A8,'Valo FX'!$A:$A,0)),INDEX(Base!$V:$V,MATCH($A8,Base!$A:$A,0)),0)))</f>
        <v>12.508353</v>
      </c>
      <c r="FM8" s="21">
        <f>IF(FM$1&lt;INDEX('Valo FX'!$Q:$Q,MATCH($A8,'Valo FX'!$A:$A,0)),0,IF(FM$1&lt;INDEX('Valo FX'!$R:$R,MATCH($A8,'Valo FX'!$A:$A,0)),INDEX(Base!$U:$U,MATCH($A8,Base!$A:$A,0)),IF(FM$1=INDEX('Valo FX'!$R:$R,MATCH($A8,'Valo FX'!$A:$A,0)),INDEX(Base!$V:$V,MATCH($A8,Base!$A:$A,0)),0)))</f>
        <v>12.508353</v>
      </c>
      <c r="FN8" s="21">
        <f>IF(FN$1&lt;INDEX('Valo FX'!$Q:$Q,MATCH($A8,'Valo FX'!$A:$A,0)),0,IF(FN$1&lt;INDEX('Valo FX'!$R:$R,MATCH($A8,'Valo FX'!$A:$A,0)),INDEX(Base!$U:$U,MATCH($A8,Base!$A:$A,0)),IF(FN$1=INDEX('Valo FX'!$R:$R,MATCH($A8,'Valo FX'!$A:$A,0)),INDEX(Base!$V:$V,MATCH($A8,Base!$A:$A,0)),0)))</f>
        <v>12.508353</v>
      </c>
      <c r="FO8" s="21">
        <f>IF(FO$1&lt;INDEX('Valo FX'!$Q:$Q,MATCH($A8,'Valo FX'!$A:$A,0)),0,IF(FO$1&lt;INDEX('Valo FX'!$R:$R,MATCH($A8,'Valo FX'!$A:$A,0)),INDEX(Base!$U:$U,MATCH($A8,Base!$A:$A,0)),IF(FO$1=INDEX('Valo FX'!$R:$R,MATCH($A8,'Valo FX'!$A:$A,0)),INDEX(Base!$V:$V,MATCH($A8,Base!$A:$A,0)),0)))</f>
        <v>12.508353</v>
      </c>
      <c r="FP8" s="21">
        <f>IF(FP$1&lt;INDEX('Valo FX'!$Q:$Q,MATCH($A8,'Valo FX'!$A:$A,0)),0,IF(FP$1&lt;INDEX('Valo FX'!$R:$R,MATCH($A8,'Valo FX'!$A:$A,0)),INDEX(Base!$U:$U,MATCH($A8,Base!$A:$A,0)),IF(FP$1=INDEX('Valo FX'!$R:$R,MATCH($A8,'Valo FX'!$A:$A,0)),INDEX(Base!$V:$V,MATCH($A8,Base!$A:$A,0)),0)))</f>
        <v>12.508353</v>
      </c>
      <c r="FQ8" s="21">
        <f>IF(FQ$1&lt;INDEX('Valo FX'!$Q:$Q,MATCH($A8,'Valo FX'!$A:$A,0)),0,IF(FQ$1&lt;INDEX('Valo FX'!$R:$R,MATCH($A8,'Valo FX'!$A:$A,0)),INDEX(Base!$U:$U,MATCH($A8,Base!$A:$A,0)),IF(FQ$1=INDEX('Valo FX'!$R:$R,MATCH($A8,'Valo FX'!$A:$A,0)),INDEX(Base!$V:$V,MATCH($A8,Base!$A:$A,0)),0)))</f>
        <v>12.508353</v>
      </c>
      <c r="FR8" s="21">
        <f>IF(FR$1&lt;INDEX('Valo FX'!$Q:$Q,MATCH($A8,'Valo FX'!$A:$A,0)),0,IF(FR$1&lt;INDEX('Valo FX'!$R:$R,MATCH($A8,'Valo FX'!$A:$A,0)),INDEX(Base!$U:$U,MATCH($A8,Base!$A:$A,0)),IF(FR$1=INDEX('Valo FX'!$R:$R,MATCH($A8,'Valo FX'!$A:$A,0)),INDEX(Base!$V:$V,MATCH($A8,Base!$A:$A,0)),0)))</f>
        <v>12.508353</v>
      </c>
      <c r="FS8" s="21">
        <f>IF(FS$1&lt;INDEX('Valo FX'!$Q:$Q,MATCH($A8,'Valo FX'!$A:$A,0)),0,IF(FS$1&lt;INDEX('Valo FX'!$R:$R,MATCH($A8,'Valo FX'!$A:$A,0)),INDEX(Base!$U:$U,MATCH($A8,Base!$A:$A,0)),IF(FS$1=INDEX('Valo FX'!$R:$R,MATCH($A8,'Valo FX'!$A:$A,0)),INDEX(Base!$V:$V,MATCH($A8,Base!$A:$A,0)),0)))</f>
        <v>12.508353</v>
      </c>
      <c r="FT8" s="21">
        <f>IF(FT$1&lt;INDEX('Valo FX'!$Q:$Q,MATCH($A8,'Valo FX'!$A:$A,0)),0,IF(FT$1&lt;INDEX('Valo FX'!$R:$R,MATCH($A8,'Valo FX'!$A:$A,0)),INDEX(Base!$U:$U,MATCH($A8,Base!$A:$A,0)),IF(FT$1=INDEX('Valo FX'!$R:$R,MATCH($A8,'Valo FX'!$A:$A,0)),INDEX(Base!$V:$V,MATCH($A8,Base!$A:$A,0)),0)))</f>
        <v>12.508353</v>
      </c>
      <c r="FU8" s="21">
        <f>IF(FU$1&lt;INDEX('Valo FX'!$Q:$Q,MATCH($A8,'Valo FX'!$A:$A,0)),0,IF(FU$1&lt;INDEX('Valo FX'!$R:$R,MATCH($A8,'Valo FX'!$A:$A,0)),INDEX(Base!$U:$U,MATCH($A8,Base!$A:$A,0)),IF(FU$1=INDEX('Valo FX'!$R:$R,MATCH($A8,'Valo FX'!$A:$A,0)),INDEX(Base!$V:$V,MATCH($A8,Base!$A:$A,0)),0)))</f>
        <v>12.508353</v>
      </c>
      <c r="FV8" s="21">
        <f>IF(FV$1&lt;INDEX('Valo FX'!$Q:$Q,MATCH($A8,'Valo FX'!$A:$A,0)),0,IF(FV$1&lt;INDEX('Valo FX'!$R:$R,MATCH($A8,'Valo FX'!$A:$A,0)),INDEX(Base!$U:$U,MATCH($A8,Base!$A:$A,0)),IF(FV$1=INDEX('Valo FX'!$R:$R,MATCH($A8,'Valo FX'!$A:$A,0)),INDEX(Base!$V:$V,MATCH($A8,Base!$A:$A,0)),0)))</f>
        <v>12.508353</v>
      </c>
      <c r="FW8" s="21">
        <f>IF(FW$1&lt;INDEX('Valo FX'!$Q:$Q,MATCH($A8,'Valo FX'!$A:$A,0)),0,IF(FW$1&lt;INDEX('Valo FX'!$R:$R,MATCH($A8,'Valo FX'!$A:$A,0)),INDEX(Base!$U:$U,MATCH($A8,Base!$A:$A,0)),IF(FW$1=INDEX('Valo FX'!$R:$R,MATCH($A8,'Valo FX'!$A:$A,0)),INDEX(Base!$V:$V,MATCH($A8,Base!$A:$A,0)),0)))</f>
        <v>12.508353</v>
      </c>
      <c r="FX8" s="21">
        <f>IF(FX$1&lt;INDEX('Valo FX'!$Q:$Q,MATCH($A8,'Valo FX'!$A:$A,0)),0,IF(FX$1&lt;INDEX('Valo FX'!$R:$R,MATCH($A8,'Valo FX'!$A:$A,0)),INDEX(Base!$U:$U,MATCH($A8,Base!$A:$A,0)),IF(FX$1=INDEX('Valo FX'!$R:$R,MATCH($A8,'Valo FX'!$A:$A,0)),INDEX(Base!$V:$V,MATCH($A8,Base!$A:$A,0)),0)))</f>
        <v>12.508353</v>
      </c>
      <c r="FY8" s="21">
        <f>IF(FY$1&lt;INDEX('Valo FX'!$Q:$Q,MATCH($A8,'Valo FX'!$A:$A,0)),0,IF(FY$1&lt;INDEX('Valo FX'!$R:$R,MATCH($A8,'Valo FX'!$A:$A,0)),INDEX(Base!$U:$U,MATCH($A8,Base!$A:$A,0)),IF(FY$1=INDEX('Valo FX'!$R:$R,MATCH($A8,'Valo FX'!$A:$A,0)),INDEX(Base!$V:$V,MATCH($A8,Base!$A:$A,0)),0)))</f>
        <v>12.508353</v>
      </c>
      <c r="FZ8" s="21">
        <f>IF(FZ$1&lt;INDEX('Valo FX'!$Q:$Q,MATCH($A8,'Valo FX'!$A:$A,0)),0,IF(FZ$1&lt;INDEX('Valo FX'!$R:$R,MATCH($A8,'Valo FX'!$A:$A,0)),INDEX(Base!$U:$U,MATCH($A8,Base!$A:$A,0)),IF(FZ$1=INDEX('Valo FX'!$R:$R,MATCH($A8,'Valo FX'!$A:$A,0)),INDEX(Base!$V:$V,MATCH($A8,Base!$A:$A,0)),0)))</f>
        <v>12.508353</v>
      </c>
      <c r="GA8" s="21">
        <f>IF(GA$1&lt;INDEX('Valo FX'!$Q:$Q,MATCH($A8,'Valo FX'!$A:$A,0)),0,IF(GA$1&lt;INDEX('Valo FX'!$R:$R,MATCH($A8,'Valo FX'!$A:$A,0)),INDEX(Base!$U:$U,MATCH($A8,Base!$A:$A,0)),IF(GA$1=INDEX('Valo FX'!$R:$R,MATCH($A8,'Valo FX'!$A:$A,0)),INDEX(Base!$V:$V,MATCH($A8,Base!$A:$A,0)),0)))</f>
        <v>12.508353</v>
      </c>
      <c r="GB8" s="21">
        <f>IF(GB$1&lt;INDEX('Valo FX'!$Q:$Q,MATCH($A8,'Valo FX'!$A:$A,0)),0,IF(GB$1&lt;INDEX('Valo FX'!$R:$R,MATCH($A8,'Valo FX'!$A:$A,0)),INDEX(Base!$U:$U,MATCH($A8,Base!$A:$A,0)),IF(GB$1=INDEX('Valo FX'!$R:$R,MATCH($A8,'Valo FX'!$A:$A,0)),INDEX(Base!$V:$V,MATCH($A8,Base!$A:$A,0)),0)))</f>
        <v>12.508353</v>
      </c>
      <c r="GC8" s="21">
        <f>IF(GC$1&lt;INDEX('Valo FX'!$Q:$Q,MATCH($A8,'Valo FX'!$A:$A,0)),0,IF(GC$1&lt;INDEX('Valo FX'!$R:$R,MATCH($A8,'Valo FX'!$A:$A,0)),INDEX(Base!$U:$U,MATCH($A8,Base!$A:$A,0)),IF(GC$1=INDEX('Valo FX'!$R:$R,MATCH($A8,'Valo FX'!$A:$A,0)),INDEX(Base!$V:$V,MATCH($A8,Base!$A:$A,0)),0)))</f>
        <v>12.508353</v>
      </c>
      <c r="GD8" s="21">
        <f>IF(GD$1&lt;INDEX('Valo FX'!$Q:$Q,MATCH($A8,'Valo FX'!$A:$A,0)),0,IF(GD$1&lt;INDEX('Valo FX'!$R:$R,MATCH($A8,'Valo FX'!$A:$A,0)),INDEX(Base!$U:$U,MATCH($A8,Base!$A:$A,0)),IF(GD$1=INDEX('Valo FX'!$R:$R,MATCH($A8,'Valo FX'!$A:$A,0)),INDEX(Base!$V:$V,MATCH($A8,Base!$A:$A,0)),0)))</f>
        <v>12.508353</v>
      </c>
      <c r="GE8" s="21">
        <f>IF(GE$1&lt;INDEX('Valo FX'!$Q:$Q,MATCH($A8,'Valo FX'!$A:$A,0)),0,IF(GE$1&lt;INDEX('Valo FX'!$R:$R,MATCH($A8,'Valo FX'!$A:$A,0)),INDEX(Base!$U:$U,MATCH($A8,Base!$A:$A,0)),IF(GE$1=INDEX('Valo FX'!$R:$R,MATCH($A8,'Valo FX'!$A:$A,0)),INDEX(Base!$V:$V,MATCH($A8,Base!$A:$A,0)),0)))</f>
        <v>12.508353</v>
      </c>
      <c r="GF8" s="21">
        <f>IF(GF$1&lt;INDEX('Valo FX'!$Q:$Q,MATCH($A8,'Valo FX'!$A:$A,0)),0,IF(GF$1&lt;INDEX('Valo FX'!$R:$R,MATCH($A8,'Valo FX'!$A:$A,0)),INDEX(Base!$U:$U,MATCH($A8,Base!$A:$A,0)),IF(GF$1=INDEX('Valo FX'!$R:$R,MATCH($A8,'Valo FX'!$A:$A,0)),INDEX(Base!$V:$V,MATCH($A8,Base!$A:$A,0)),0)))</f>
        <v>12.508353</v>
      </c>
      <c r="GG8" s="21">
        <f>IF(GG$1&lt;INDEX('Valo FX'!$Q:$Q,MATCH($A8,'Valo FX'!$A:$A,0)),0,IF(GG$1&lt;INDEX('Valo FX'!$R:$R,MATCH($A8,'Valo FX'!$A:$A,0)),INDEX(Base!$U:$U,MATCH($A8,Base!$A:$A,0)),IF(GG$1=INDEX('Valo FX'!$R:$R,MATCH($A8,'Valo FX'!$A:$A,0)),INDEX(Base!$V:$V,MATCH($A8,Base!$A:$A,0)),0)))</f>
        <v>12.508353</v>
      </c>
      <c r="GH8" s="21">
        <f>IF(GH$1&lt;INDEX('Valo FX'!$Q:$Q,MATCH($A8,'Valo FX'!$A:$A,0)),0,IF(GH$1&lt;INDEX('Valo FX'!$R:$R,MATCH($A8,'Valo FX'!$A:$A,0)),INDEX(Base!$U:$U,MATCH($A8,Base!$A:$A,0)),IF(GH$1=INDEX('Valo FX'!$R:$R,MATCH($A8,'Valo FX'!$A:$A,0)),INDEX(Base!$V:$V,MATCH($A8,Base!$A:$A,0)),0)))</f>
        <v>12.508353</v>
      </c>
      <c r="GI8" s="21">
        <f>IF(GI$1&lt;INDEX('Valo FX'!$Q:$Q,MATCH($A8,'Valo FX'!$A:$A,0)),0,IF(GI$1&lt;INDEX('Valo FX'!$R:$R,MATCH($A8,'Valo FX'!$A:$A,0)),INDEX(Base!$U:$U,MATCH($A8,Base!$A:$A,0)),IF(GI$1=INDEX('Valo FX'!$R:$R,MATCH($A8,'Valo FX'!$A:$A,0)),INDEX(Base!$V:$V,MATCH($A8,Base!$A:$A,0)),0)))</f>
        <v>12.508353</v>
      </c>
      <c r="GJ8" s="21">
        <f>IF(GJ$1&lt;INDEX('Valo FX'!$Q:$Q,MATCH($A8,'Valo FX'!$A:$A,0)),0,IF(GJ$1&lt;INDEX('Valo FX'!$R:$R,MATCH($A8,'Valo FX'!$A:$A,0)),INDEX(Base!$U:$U,MATCH($A8,Base!$A:$A,0)),IF(GJ$1=INDEX('Valo FX'!$R:$R,MATCH($A8,'Valo FX'!$A:$A,0)),INDEX(Base!$V:$V,MATCH($A8,Base!$A:$A,0)),0)))</f>
        <v>12.508353</v>
      </c>
      <c r="GK8" s="21">
        <f>IF(GK$1&lt;INDEX('Valo FX'!$Q:$Q,MATCH($A8,'Valo FX'!$A:$A,0)),0,IF(GK$1&lt;INDEX('Valo FX'!$R:$R,MATCH($A8,'Valo FX'!$A:$A,0)),INDEX(Base!$U:$U,MATCH($A8,Base!$A:$A,0)),IF(GK$1=INDEX('Valo FX'!$R:$R,MATCH($A8,'Valo FX'!$A:$A,0)),INDEX(Base!$V:$V,MATCH($A8,Base!$A:$A,0)),0)))</f>
        <v>12.508353</v>
      </c>
      <c r="GL8" s="21">
        <f>IF(GL$1&lt;INDEX('Valo FX'!$Q:$Q,MATCH($A8,'Valo FX'!$A:$A,0)),0,IF(GL$1&lt;INDEX('Valo FX'!$R:$R,MATCH($A8,'Valo FX'!$A:$A,0)),INDEX(Base!$U:$U,MATCH($A8,Base!$A:$A,0)),IF(GL$1=INDEX('Valo FX'!$R:$R,MATCH($A8,'Valo FX'!$A:$A,0)),INDEX(Base!$V:$V,MATCH($A8,Base!$A:$A,0)),0)))</f>
        <v>12.508353</v>
      </c>
      <c r="GM8" s="21">
        <f>IF(GM$1&lt;INDEX('Valo FX'!$Q:$Q,MATCH($A8,'Valo FX'!$A:$A,0)),0,IF(GM$1&lt;INDEX('Valo FX'!$R:$R,MATCH($A8,'Valo FX'!$A:$A,0)),INDEX(Base!$U:$U,MATCH($A8,Base!$A:$A,0)),IF(GM$1=INDEX('Valo FX'!$R:$R,MATCH($A8,'Valo FX'!$A:$A,0)),INDEX(Base!$V:$V,MATCH($A8,Base!$A:$A,0)),0)))</f>
        <v>12.508353</v>
      </c>
      <c r="GN8" s="21">
        <f>IF(GN$1&lt;INDEX('Valo FX'!$Q:$Q,MATCH($A8,'Valo FX'!$A:$A,0)),0,IF(GN$1&lt;INDEX('Valo FX'!$R:$R,MATCH($A8,'Valo FX'!$A:$A,0)),INDEX(Base!$U:$U,MATCH($A8,Base!$A:$A,0)),IF(GN$1=INDEX('Valo FX'!$R:$R,MATCH($A8,'Valo FX'!$A:$A,0)),INDEX(Base!$V:$V,MATCH($A8,Base!$A:$A,0)),0)))</f>
        <v>12.508353</v>
      </c>
      <c r="GO8" s="21">
        <f>IF(GO$1&lt;INDEX('Valo FX'!$Q:$Q,MATCH($A8,'Valo FX'!$A:$A,0)),0,IF(GO$1&lt;INDEX('Valo FX'!$R:$R,MATCH($A8,'Valo FX'!$A:$A,0)),INDEX(Base!$U:$U,MATCH($A8,Base!$A:$A,0)),IF(GO$1=INDEX('Valo FX'!$R:$R,MATCH($A8,'Valo FX'!$A:$A,0)),INDEX(Base!$V:$V,MATCH($A8,Base!$A:$A,0)),0)))</f>
        <v>12.508353</v>
      </c>
      <c r="GP8" s="21">
        <f>IF(GP$1&lt;INDEX('Valo FX'!$Q:$Q,MATCH($A8,'Valo FX'!$A:$A,0)),0,IF(GP$1&lt;INDEX('Valo FX'!$R:$R,MATCH($A8,'Valo FX'!$A:$A,0)),INDEX(Base!$U:$U,MATCH($A8,Base!$A:$A,0)),IF(GP$1=INDEX('Valo FX'!$R:$R,MATCH($A8,'Valo FX'!$A:$A,0)),INDEX(Base!$V:$V,MATCH($A8,Base!$A:$A,0)),0)))</f>
        <v>12.508353</v>
      </c>
      <c r="GQ8" s="21">
        <f>IF(GQ$1&lt;INDEX('Valo FX'!$Q:$Q,MATCH($A8,'Valo FX'!$A:$A,0)),0,IF(GQ$1&lt;INDEX('Valo FX'!$R:$R,MATCH($A8,'Valo FX'!$A:$A,0)),INDEX(Base!$U:$U,MATCH($A8,Base!$A:$A,0)),IF(GQ$1=INDEX('Valo FX'!$R:$R,MATCH($A8,'Valo FX'!$A:$A,0)),INDEX(Base!$V:$V,MATCH($A8,Base!$A:$A,0)),0)))</f>
        <v>12.508353</v>
      </c>
      <c r="GR8" s="21">
        <f>IF(GR$1&lt;INDEX('Valo FX'!$Q:$Q,MATCH($A8,'Valo FX'!$A:$A,0)),0,IF(GR$1&lt;INDEX('Valo FX'!$R:$R,MATCH($A8,'Valo FX'!$A:$A,0)),INDEX(Base!$U:$U,MATCH($A8,Base!$A:$A,0)),IF(GR$1=INDEX('Valo FX'!$R:$R,MATCH($A8,'Valo FX'!$A:$A,0)),INDEX(Base!$V:$V,MATCH($A8,Base!$A:$A,0)),0)))</f>
        <v>12.508353</v>
      </c>
      <c r="GS8" s="21">
        <f>IF(GS$1&lt;INDEX('Valo FX'!$Q:$Q,MATCH($A8,'Valo FX'!$A:$A,0)),0,IF(GS$1&lt;INDEX('Valo FX'!$R:$R,MATCH($A8,'Valo FX'!$A:$A,0)),INDEX(Base!$U:$U,MATCH($A8,Base!$A:$A,0)),IF(GS$1=INDEX('Valo FX'!$R:$R,MATCH($A8,'Valo FX'!$A:$A,0)),INDEX(Base!$V:$V,MATCH($A8,Base!$A:$A,0)),0)))</f>
        <v>12.508353</v>
      </c>
      <c r="GT8" s="21">
        <f>IF(GT$1&lt;INDEX('Valo FX'!$Q:$Q,MATCH($A8,'Valo FX'!$A:$A,0)),0,IF(GT$1&lt;INDEX('Valo FX'!$R:$R,MATCH($A8,'Valo FX'!$A:$A,0)),INDEX(Base!$U:$U,MATCH($A8,Base!$A:$A,0)),IF(GT$1=INDEX('Valo FX'!$R:$R,MATCH($A8,'Valo FX'!$A:$A,0)),INDEX(Base!$V:$V,MATCH($A8,Base!$A:$A,0)),0)))</f>
        <v>12.508353</v>
      </c>
      <c r="GU8" s="21">
        <f>IF(GU$1&lt;INDEX('Valo FX'!$Q:$Q,MATCH($A8,'Valo FX'!$A:$A,0)),0,IF(GU$1&lt;INDEX('Valo FX'!$R:$R,MATCH($A8,'Valo FX'!$A:$A,0)),INDEX(Base!$U:$U,MATCH($A8,Base!$A:$A,0)),IF(GU$1=INDEX('Valo FX'!$R:$R,MATCH($A8,'Valo FX'!$A:$A,0)),INDEX(Base!$V:$V,MATCH($A8,Base!$A:$A,0)),0)))</f>
        <v>12.508353</v>
      </c>
      <c r="GV8" s="21">
        <f>IF(GV$1&lt;INDEX('Valo FX'!$Q:$Q,MATCH($A8,'Valo FX'!$A:$A,0)),0,IF(GV$1&lt;INDEX('Valo FX'!$R:$R,MATCH($A8,'Valo FX'!$A:$A,0)),INDEX(Base!$U:$U,MATCH($A8,Base!$A:$A,0)),IF(GV$1=INDEX('Valo FX'!$R:$R,MATCH($A8,'Valo FX'!$A:$A,0)),INDEX(Base!$V:$V,MATCH($A8,Base!$A:$A,0)),0)))</f>
        <v>12.508353</v>
      </c>
      <c r="GW8" s="21">
        <f>IF(GW$1&lt;INDEX('Valo FX'!$Q:$Q,MATCH($A8,'Valo FX'!$A:$A,0)),0,IF(GW$1&lt;INDEX('Valo FX'!$R:$R,MATCH($A8,'Valo FX'!$A:$A,0)),INDEX(Base!$U:$U,MATCH($A8,Base!$A:$A,0)),IF(GW$1=INDEX('Valo FX'!$R:$R,MATCH($A8,'Valo FX'!$A:$A,0)),INDEX(Base!$V:$V,MATCH($A8,Base!$A:$A,0)),0)))</f>
        <v>12.508353</v>
      </c>
      <c r="GX8" s="21">
        <f>IF(GX$1&lt;INDEX('Valo FX'!$Q:$Q,MATCH($A8,'Valo FX'!$A:$A,0)),0,IF(GX$1&lt;INDEX('Valo FX'!$R:$R,MATCH($A8,'Valo FX'!$A:$A,0)),INDEX(Base!$U:$U,MATCH($A8,Base!$A:$A,0)),IF(GX$1=INDEX('Valo FX'!$R:$R,MATCH($A8,'Valo FX'!$A:$A,0)),INDEX(Base!$V:$V,MATCH($A8,Base!$A:$A,0)),0)))</f>
        <v>12.508353</v>
      </c>
      <c r="GY8" s="21">
        <f>IF(GY$1&lt;INDEX('Valo FX'!$Q:$Q,MATCH($A8,'Valo FX'!$A:$A,0)),0,IF(GY$1&lt;INDEX('Valo FX'!$R:$R,MATCH($A8,'Valo FX'!$A:$A,0)),INDEX(Base!$U:$U,MATCH($A8,Base!$A:$A,0)),IF(GY$1=INDEX('Valo FX'!$R:$R,MATCH($A8,'Valo FX'!$A:$A,0)),INDEX(Base!$V:$V,MATCH($A8,Base!$A:$A,0)),0)))</f>
        <v>12.508353</v>
      </c>
      <c r="GZ8" s="21">
        <f>IF(GZ$1&lt;INDEX('Valo FX'!$Q:$Q,MATCH($A8,'Valo FX'!$A:$A,0)),0,IF(GZ$1&lt;INDEX('Valo FX'!$R:$R,MATCH($A8,'Valo FX'!$A:$A,0)),INDEX(Base!$U:$U,MATCH($A8,Base!$A:$A,0)),IF(GZ$1=INDEX('Valo FX'!$R:$R,MATCH($A8,'Valo FX'!$A:$A,0)),INDEX(Base!$V:$V,MATCH($A8,Base!$A:$A,0)),0)))</f>
        <v>12.508353</v>
      </c>
      <c r="HA8" s="21">
        <f>IF(HA$1&lt;INDEX('Valo FX'!$Q:$Q,MATCH($A8,'Valo FX'!$A:$A,0)),0,IF(HA$1&lt;INDEX('Valo FX'!$R:$R,MATCH($A8,'Valo FX'!$A:$A,0)),INDEX(Base!$U:$U,MATCH($A8,Base!$A:$A,0)),IF(HA$1=INDEX('Valo FX'!$R:$R,MATCH($A8,'Valo FX'!$A:$A,0)),INDEX(Base!$V:$V,MATCH($A8,Base!$A:$A,0)),0)))</f>
        <v>12.508353</v>
      </c>
      <c r="HB8" s="21">
        <f>IF(HB$1&lt;INDEX('Valo FX'!$Q:$Q,MATCH($A8,'Valo FX'!$A:$A,0)),0,IF(HB$1&lt;INDEX('Valo FX'!$R:$R,MATCH($A8,'Valo FX'!$A:$A,0)),INDEX(Base!$U:$U,MATCH($A8,Base!$A:$A,0)),IF(HB$1=INDEX('Valo FX'!$R:$R,MATCH($A8,'Valo FX'!$A:$A,0)),INDEX(Base!$V:$V,MATCH($A8,Base!$A:$A,0)),0)))</f>
        <v>12.508353</v>
      </c>
      <c r="HC8" s="21">
        <f>IF(HC$1&lt;INDEX('Valo FX'!$Q:$Q,MATCH($A8,'Valo FX'!$A:$A,0)),0,IF(HC$1&lt;INDEX('Valo FX'!$R:$R,MATCH($A8,'Valo FX'!$A:$A,0)),INDEX(Base!$U:$U,MATCH($A8,Base!$A:$A,0)),IF(HC$1=INDEX('Valo FX'!$R:$R,MATCH($A8,'Valo FX'!$A:$A,0)),INDEX(Base!$V:$V,MATCH($A8,Base!$A:$A,0)),0)))</f>
        <v>12.508353</v>
      </c>
      <c r="HD8" s="21">
        <f>IF(HD$1&lt;INDEX('Valo FX'!$Q:$Q,MATCH($A8,'Valo FX'!$A:$A,0)),0,IF(HD$1&lt;INDEX('Valo FX'!$R:$R,MATCH($A8,'Valo FX'!$A:$A,0)),INDEX(Base!$U:$U,MATCH($A8,Base!$A:$A,0)),IF(HD$1=INDEX('Valo FX'!$R:$R,MATCH($A8,'Valo FX'!$A:$A,0)),INDEX(Base!$V:$V,MATCH($A8,Base!$A:$A,0)),0)))</f>
        <v>12.508353</v>
      </c>
      <c r="HE8" s="21">
        <f>IF(HE$1&lt;INDEX('Valo FX'!$Q:$Q,MATCH($A8,'Valo FX'!$A:$A,0)),0,IF(HE$1&lt;INDEX('Valo FX'!$R:$R,MATCH($A8,'Valo FX'!$A:$A,0)),INDEX(Base!$U:$U,MATCH($A8,Base!$A:$A,0)),IF(HE$1=INDEX('Valo FX'!$R:$R,MATCH($A8,'Valo FX'!$A:$A,0)),INDEX(Base!$V:$V,MATCH($A8,Base!$A:$A,0)),0)))</f>
        <v>12.508353</v>
      </c>
      <c r="HF8" s="21">
        <f>IF(HF$1&lt;INDEX('Valo FX'!$Q:$Q,MATCH($A8,'Valo FX'!$A:$A,0)),0,IF(HF$1&lt;INDEX('Valo FX'!$R:$R,MATCH($A8,'Valo FX'!$A:$A,0)),INDEX(Base!$U:$U,MATCH($A8,Base!$A:$A,0)),IF(HF$1=INDEX('Valo FX'!$R:$R,MATCH($A8,'Valo FX'!$A:$A,0)),INDEX(Base!$V:$V,MATCH($A8,Base!$A:$A,0)),0)))</f>
        <v>12.508353</v>
      </c>
      <c r="HG8" s="21">
        <f>IF(HG$1&lt;INDEX('Valo FX'!$Q:$Q,MATCH($A8,'Valo FX'!$A:$A,0)),0,IF(HG$1&lt;INDEX('Valo FX'!$R:$R,MATCH($A8,'Valo FX'!$A:$A,0)),INDEX(Base!$U:$U,MATCH($A8,Base!$A:$A,0)),IF(HG$1=INDEX('Valo FX'!$R:$R,MATCH($A8,'Valo FX'!$A:$A,0)),INDEX(Base!$V:$V,MATCH($A8,Base!$A:$A,0)),0)))</f>
        <v>12.508353</v>
      </c>
      <c r="HH8" s="21">
        <f>IF(HH$1&lt;INDEX('Valo FX'!$Q:$Q,MATCH($A8,'Valo FX'!$A:$A,0)),0,IF(HH$1&lt;INDEX('Valo FX'!$R:$R,MATCH($A8,'Valo FX'!$A:$A,0)),INDEX(Base!$U:$U,MATCH($A8,Base!$A:$A,0)),IF(HH$1=INDEX('Valo FX'!$R:$R,MATCH($A8,'Valo FX'!$A:$A,0)),INDEX(Base!$V:$V,MATCH($A8,Base!$A:$A,0)),0)))</f>
        <v>12.508353</v>
      </c>
      <c r="HI8" s="21">
        <f>IF(HI$1&lt;INDEX('Valo FX'!$Q:$Q,MATCH($A8,'Valo FX'!$A:$A,0)),0,IF(HI$1&lt;INDEX('Valo FX'!$R:$R,MATCH($A8,'Valo FX'!$A:$A,0)),INDEX(Base!$U:$U,MATCH($A8,Base!$A:$A,0)),IF(HI$1=INDEX('Valo FX'!$R:$R,MATCH($A8,'Valo FX'!$A:$A,0)),INDEX(Base!$V:$V,MATCH($A8,Base!$A:$A,0)),0)))</f>
        <v>12.508353</v>
      </c>
      <c r="HJ8" s="21">
        <f>IF(HJ$1&lt;INDEX('Valo FX'!$Q:$Q,MATCH($A8,'Valo FX'!$A:$A,0)),0,IF(HJ$1&lt;INDEX('Valo FX'!$R:$R,MATCH($A8,'Valo FX'!$A:$A,0)),INDEX(Base!$U:$U,MATCH($A8,Base!$A:$A,0)),IF(HJ$1=INDEX('Valo FX'!$R:$R,MATCH($A8,'Valo FX'!$A:$A,0)),INDEX(Base!$V:$V,MATCH($A8,Base!$A:$A,0)),0)))</f>
        <v>12.508353</v>
      </c>
      <c r="HK8" s="21">
        <f>IF(HK$1&lt;INDEX('Valo FX'!$Q:$Q,MATCH($A8,'Valo FX'!$A:$A,0)),0,IF(HK$1&lt;INDEX('Valo FX'!$R:$R,MATCH($A8,'Valo FX'!$A:$A,0)),INDEX(Base!$U:$U,MATCH($A8,Base!$A:$A,0)),IF(HK$1=INDEX('Valo FX'!$R:$R,MATCH($A8,'Valo FX'!$A:$A,0)),INDEX(Base!$V:$V,MATCH($A8,Base!$A:$A,0)),0)))</f>
        <v>12.508353</v>
      </c>
      <c r="HL8" s="21">
        <f>IF(HL$1&lt;INDEX('Valo FX'!$Q:$Q,MATCH($A8,'Valo FX'!$A:$A,0)),0,IF(HL$1&lt;INDEX('Valo FX'!$R:$R,MATCH($A8,'Valo FX'!$A:$A,0)),INDEX(Base!$U:$U,MATCH($A8,Base!$A:$A,0)),IF(HL$1=INDEX('Valo FX'!$R:$R,MATCH($A8,'Valo FX'!$A:$A,0)),INDEX(Base!$V:$V,MATCH($A8,Base!$A:$A,0)),0)))</f>
        <v>12.508353</v>
      </c>
      <c r="HM8" s="21">
        <f>IF(HM$1&lt;INDEX('Valo FX'!$Q:$Q,MATCH($A8,'Valo FX'!$A:$A,0)),0,IF(HM$1&lt;INDEX('Valo FX'!$R:$R,MATCH($A8,'Valo FX'!$A:$A,0)),INDEX(Base!$U:$U,MATCH($A8,Base!$A:$A,0)),IF(HM$1=INDEX('Valo FX'!$R:$R,MATCH($A8,'Valo FX'!$A:$A,0)),INDEX(Base!$V:$V,MATCH($A8,Base!$A:$A,0)),0)))</f>
        <v>12.508353</v>
      </c>
      <c r="HN8" s="21">
        <f>IF(HN$1&lt;INDEX('Valo FX'!$Q:$Q,MATCH($A8,'Valo FX'!$A:$A,0)),0,IF(HN$1&lt;INDEX('Valo FX'!$R:$R,MATCH($A8,'Valo FX'!$A:$A,0)),INDEX(Base!$U:$U,MATCH($A8,Base!$A:$A,0)),IF(HN$1=INDEX('Valo FX'!$R:$R,MATCH($A8,'Valo FX'!$A:$A,0)),INDEX(Base!$V:$V,MATCH($A8,Base!$A:$A,0)),0)))</f>
        <v>12.508353</v>
      </c>
      <c r="HO8" s="21">
        <f>IF(HO$1&lt;INDEX('Valo FX'!$Q:$Q,MATCH($A8,'Valo FX'!$A:$A,0)),0,IF(HO$1&lt;INDEX('Valo FX'!$R:$R,MATCH($A8,'Valo FX'!$A:$A,0)),INDEX(Base!$U:$U,MATCH($A8,Base!$A:$A,0)),IF(HO$1=INDEX('Valo FX'!$R:$R,MATCH($A8,'Valo FX'!$A:$A,0)),INDEX(Base!$V:$V,MATCH($A8,Base!$A:$A,0)),0)))</f>
        <v>12.508353</v>
      </c>
      <c r="HP8" s="21">
        <f>IF(HP$1&lt;INDEX('Valo FX'!$Q:$Q,MATCH($A8,'Valo FX'!$A:$A,0)),0,IF(HP$1&lt;INDEX('Valo FX'!$R:$R,MATCH($A8,'Valo FX'!$A:$A,0)),INDEX(Base!$U:$U,MATCH($A8,Base!$A:$A,0)),IF(HP$1=INDEX('Valo FX'!$R:$R,MATCH($A8,'Valo FX'!$A:$A,0)),INDEX(Base!$V:$V,MATCH($A8,Base!$A:$A,0)),0)))</f>
        <v>12.508353</v>
      </c>
      <c r="HQ8" s="21">
        <f>IF(HQ$1&lt;INDEX('Valo FX'!$Q:$Q,MATCH($A8,'Valo FX'!$A:$A,0)),0,IF(HQ$1&lt;INDEX('Valo FX'!$R:$R,MATCH($A8,'Valo FX'!$A:$A,0)),INDEX(Base!$U:$U,MATCH($A8,Base!$A:$A,0)),IF(HQ$1=INDEX('Valo FX'!$R:$R,MATCH($A8,'Valo FX'!$A:$A,0)),INDEX(Base!$V:$V,MATCH($A8,Base!$A:$A,0)),0)))</f>
        <v>12.508353</v>
      </c>
      <c r="HR8" s="21">
        <f>IF(HR$1&lt;INDEX('Valo FX'!$Q:$Q,MATCH($A8,'Valo FX'!$A:$A,0)),0,IF(HR$1&lt;INDEX('Valo FX'!$R:$R,MATCH($A8,'Valo FX'!$A:$A,0)),INDEX(Base!$U:$U,MATCH($A8,Base!$A:$A,0)),IF(HR$1=INDEX('Valo FX'!$R:$R,MATCH($A8,'Valo FX'!$A:$A,0)),INDEX(Base!$V:$V,MATCH($A8,Base!$A:$A,0)),0)))</f>
        <v>12.508353</v>
      </c>
      <c r="HS8" s="21">
        <f>IF(HS$1&lt;INDEX('Valo FX'!$Q:$Q,MATCH($A8,'Valo FX'!$A:$A,0)),0,IF(HS$1&lt;INDEX('Valo FX'!$R:$R,MATCH($A8,'Valo FX'!$A:$A,0)),INDEX(Base!$U:$U,MATCH($A8,Base!$A:$A,0)),IF(HS$1=INDEX('Valo FX'!$R:$R,MATCH($A8,'Valo FX'!$A:$A,0)),INDEX(Base!$V:$V,MATCH($A8,Base!$A:$A,0)),0)))</f>
        <v>12.508353</v>
      </c>
      <c r="HT8" s="21">
        <f>IF(HT$1&lt;INDEX('Valo FX'!$Q:$Q,MATCH($A8,'Valo FX'!$A:$A,0)),0,IF(HT$1&lt;INDEX('Valo FX'!$R:$R,MATCH($A8,'Valo FX'!$A:$A,0)),INDEX(Base!$U:$U,MATCH($A8,Base!$A:$A,0)),IF(HT$1=INDEX('Valo FX'!$R:$R,MATCH($A8,'Valo FX'!$A:$A,0)),INDEX(Base!$V:$V,MATCH($A8,Base!$A:$A,0)),0)))</f>
        <v>12.508353</v>
      </c>
      <c r="HU8" s="21">
        <f>IF(HU$1&lt;INDEX('Valo FX'!$Q:$Q,MATCH($A8,'Valo FX'!$A:$A,0)),0,IF(HU$1&lt;INDEX('Valo FX'!$R:$R,MATCH($A8,'Valo FX'!$A:$A,0)),INDEX(Base!$U:$U,MATCH($A8,Base!$A:$A,0)),IF(HU$1=INDEX('Valo FX'!$R:$R,MATCH($A8,'Valo FX'!$A:$A,0)),INDEX(Base!$V:$V,MATCH($A8,Base!$A:$A,0)),0)))</f>
        <v>12.508353</v>
      </c>
      <c r="HV8" s="21">
        <f>IF(HV$1&lt;INDEX('Valo FX'!$Q:$Q,MATCH($A8,'Valo FX'!$A:$A,0)),0,IF(HV$1&lt;INDEX('Valo FX'!$R:$R,MATCH($A8,'Valo FX'!$A:$A,0)),INDEX(Base!$U:$U,MATCH($A8,Base!$A:$A,0)),IF(HV$1=INDEX('Valo FX'!$R:$R,MATCH($A8,'Valo FX'!$A:$A,0)),INDEX(Base!$V:$V,MATCH($A8,Base!$A:$A,0)),0)))</f>
        <v>12.508353</v>
      </c>
      <c r="HW8" s="21">
        <f>IF(HW$1&lt;INDEX('Valo FX'!$Q:$Q,MATCH($A8,'Valo FX'!$A:$A,0)),0,IF(HW$1&lt;INDEX('Valo FX'!$R:$R,MATCH($A8,'Valo FX'!$A:$A,0)),INDEX(Base!$U:$U,MATCH($A8,Base!$A:$A,0)),IF(HW$1=INDEX('Valo FX'!$R:$R,MATCH($A8,'Valo FX'!$A:$A,0)),INDEX(Base!$V:$V,MATCH($A8,Base!$A:$A,0)),0)))</f>
        <v>12.508353</v>
      </c>
      <c r="HX8" s="21">
        <f>IF(HX$1&lt;INDEX('Valo FX'!$Q:$Q,MATCH($A8,'Valo FX'!$A:$A,0)),0,IF(HX$1&lt;INDEX('Valo FX'!$R:$R,MATCH($A8,'Valo FX'!$A:$A,0)),INDEX(Base!$U:$U,MATCH($A8,Base!$A:$A,0)),IF(HX$1=INDEX('Valo FX'!$R:$R,MATCH($A8,'Valo FX'!$A:$A,0)),INDEX(Base!$V:$V,MATCH($A8,Base!$A:$A,0)),0)))</f>
        <v>12.508353</v>
      </c>
      <c r="HY8" s="21">
        <f>IF(HY$1&lt;INDEX('Valo FX'!$Q:$Q,MATCH($A8,'Valo FX'!$A:$A,0)),0,IF(HY$1&lt;INDEX('Valo FX'!$R:$R,MATCH($A8,'Valo FX'!$A:$A,0)),INDEX(Base!$U:$U,MATCH($A8,Base!$A:$A,0)),IF(HY$1=INDEX('Valo FX'!$R:$R,MATCH($A8,'Valo FX'!$A:$A,0)),INDEX(Base!$V:$V,MATCH($A8,Base!$A:$A,0)),0)))</f>
        <v>12.508353</v>
      </c>
      <c r="HZ8" s="21">
        <f>IF(HZ$1&lt;INDEX('Valo FX'!$Q:$Q,MATCH($A8,'Valo FX'!$A:$A,0)),0,IF(HZ$1&lt;INDEX('Valo FX'!$R:$R,MATCH($A8,'Valo FX'!$A:$A,0)),INDEX(Base!$U:$U,MATCH($A8,Base!$A:$A,0)),IF(HZ$1=INDEX('Valo FX'!$R:$R,MATCH($A8,'Valo FX'!$A:$A,0)),INDEX(Base!$V:$V,MATCH($A8,Base!$A:$A,0)),0)))</f>
        <v>12.508353</v>
      </c>
      <c r="IA8" s="21">
        <f>IF(IA$1&lt;INDEX('Valo FX'!$Q:$Q,MATCH($A8,'Valo FX'!$A:$A,0)),0,IF(IA$1&lt;INDEX('Valo FX'!$R:$R,MATCH($A8,'Valo FX'!$A:$A,0)),INDEX(Base!$U:$U,MATCH($A8,Base!$A:$A,0)),IF(IA$1=INDEX('Valo FX'!$R:$R,MATCH($A8,'Valo FX'!$A:$A,0)),INDEX(Base!$V:$V,MATCH($A8,Base!$A:$A,0)),0)))</f>
        <v>12.508353</v>
      </c>
      <c r="IB8" s="21">
        <f>IF(IB$1&lt;INDEX('Valo FX'!$Q:$Q,MATCH($A8,'Valo FX'!$A:$A,0)),0,IF(IB$1&lt;INDEX('Valo FX'!$R:$R,MATCH($A8,'Valo FX'!$A:$A,0)),INDEX(Base!$U:$U,MATCH($A8,Base!$A:$A,0)),IF(IB$1=INDEX('Valo FX'!$R:$R,MATCH($A8,'Valo FX'!$A:$A,0)),INDEX(Base!$V:$V,MATCH($A8,Base!$A:$A,0)),0)))</f>
        <v>12.508353</v>
      </c>
      <c r="IC8" s="21">
        <f>IF(IC$1&lt;INDEX('Valo FX'!$Q:$Q,MATCH($A8,'Valo FX'!$A:$A,0)),0,IF(IC$1&lt;INDEX('Valo FX'!$R:$R,MATCH($A8,'Valo FX'!$A:$A,0)),INDEX(Base!$U:$U,MATCH($A8,Base!$A:$A,0)),IF(IC$1=INDEX('Valo FX'!$R:$R,MATCH($A8,'Valo FX'!$A:$A,0)),INDEX(Base!$V:$V,MATCH($A8,Base!$A:$A,0)),0)))</f>
        <v>12.508353</v>
      </c>
      <c r="ID8" s="21">
        <f>IF(ID$1&lt;INDEX('Valo FX'!$Q:$Q,MATCH($A8,'Valo FX'!$A:$A,0)),0,IF(ID$1&lt;INDEX('Valo FX'!$R:$R,MATCH($A8,'Valo FX'!$A:$A,0)),INDEX(Base!$U:$U,MATCH($A8,Base!$A:$A,0)),IF(ID$1=INDEX('Valo FX'!$R:$R,MATCH($A8,'Valo FX'!$A:$A,0)),INDEX(Base!$V:$V,MATCH($A8,Base!$A:$A,0)),0)))</f>
        <v>12.508353</v>
      </c>
      <c r="IE8" s="21">
        <f>IF(IE$1&lt;INDEX('Valo FX'!$Q:$Q,MATCH($A8,'Valo FX'!$A:$A,0)),0,IF(IE$1&lt;INDEX('Valo FX'!$R:$R,MATCH($A8,'Valo FX'!$A:$A,0)),INDEX(Base!$U:$U,MATCH($A8,Base!$A:$A,0)),IF(IE$1=INDEX('Valo FX'!$R:$R,MATCH($A8,'Valo FX'!$A:$A,0)),INDEX(Base!$V:$V,MATCH($A8,Base!$A:$A,0)),0)))</f>
        <v>12.508353</v>
      </c>
      <c r="IF8" s="21">
        <f>IF(IF$1&lt;INDEX('Valo FX'!$Q:$Q,MATCH($A8,'Valo FX'!$A:$A,0)),0,IF(IF$1&lt;INDEX('Valo FX'!$R:$R,MATCH($A8,'Valo FX'!$A:$A,0)),INDEX(Base!$U:$U,MATCH($A8,Base!$A:$A,0)),IF(IF$1=INDEX('Valo FX'!$R:$R,MATCH($A8,'Valo FX'!$A:$A,0)),INDEX(Base!$V:$V,MATCH($A8,Base!$A:$A,0)),0)))</f>
        <v>12.508353</v>
      </c>
      <c r="IG8" s="21">
        <f>IF(IG$1&lt;INDEX('Valo FX'!$Q:$Q,MATCH($A8,'Valo FX'!$A:$A,0)),0,IF(IG$1&lt;INDEX('Valo FX'!$R:$R,MATCH($A8,'Valo FX'!$A:$A,0)),INDEX(Base!$U:$U,MATCH($A8,Base!$A:$A,0)),IF(IG$1=INDEX('Valo FX'!$R:$R,MATCH($A8,'Valo FX'!$A:$A,0)),INDEX(Base!$V:$V,MATCH($A8,Base!$A:$A,0)),0)))</f>
        <v>12.508353</v>
      </c>
      <c r="IH8" s="21">
        <f>IF(IH$1&lt;INDEX('Valo FX'!$Q:$Q,MATCH($A8,'Valo FX'!$A:$A,0)),0,IF(IH$1&lt;INDEX('Valo FX'!$R:$R,MATCH($A8,'Valo FX'!$A:$A,0)),INDEX(Base!$U:$U,MATCH($A8,Base!$A:$A,0)),IF(IH$1=INDEX('Valo FX'!$R:$R,MATCH($A8,'Valo FX'!$A:$A,0)),INDEX(Base!$V:$V,MATCH($A8,Base!$A:$A,0)),0)))</f>
        <v>12.508353</v>
      </c>
      <c r="II8" s="21">
        <f>IF(II$1&lt;INDEX('Valo FX'!$Q:$Q,MATCH($A8,'Valo FX'!$A:$A,0)),0,IF(II$1&lt;INDEX('Valo FX'!$R:$R,MATCH($A8,'Valo FX'!$A:$A,0)),INDEX(Base!$U:$U,MATCH($A8,Base!$A:$A,0)),IF(II$1=INDEX('Valo FX'!$R:$R,MATCH($A8,'Valo FX'!$A:$A,0)),INDEX(Base!$V:$V,MATCH($A8,Base!$A:$A,0)),0)))</f>
        <v>12.508353</v>
      </c>
      <c r="IJ8" s="21">
        <f>IF(IJ$1&lt;INDEX('Valo FX'!$Q:$Q,MATCH($A8,'Valo FX'!$A:$A,0)),0,IF(IJ$1&lt;INDEX('Valo FX'!$R:$R,MATCH($A8,'Valo FX'!$A:$A,0)),INDEX(Base!$U:$U,MATCH($A8,Base!$A:$A,0)),IF(IJ$1=INDEX('Valo FX'!$R:$R,MATCH($A8,'Valo FX'!$A:$A,0)),INDEX(Base!$V:$V,MATCH($A8,Base!$A:$A,0)),0)))</f>
        <v>12.508353</v>
      </c>
      <c r="IK8" s="21">
        <f>IF(IK$1&lt;INDEX('Valo FX'!$Q:$Q,MATCH($A8,'Valo FX'!$A:$A,0)),0,IF(IK$1&lt;INDEX('Valo FX'!$R:$R,MATCH($A8,'Valo FX'!$A:$A,0)),INDEX(Base!$U:$U,MATCH($A8,Base!$A:$A,0)),IF(IK$1=INDEX('Valo FX'!$R:$R,MATCH($A8,'Valo FX'!$A:$A,0)),INDEX(Base!$V:$V,MATCH($A8,Base!$A:$A,0)),0)))</f>
        <v>12.508353</v>
      </c>
      <c r="IL8" s="21">
        <f>IF(IL$1&lt;INDEX('Valo FX'!$Q:$Q,MATCH($A8,'Valo FX'!$A:$A,0)),0,IF(IL$1&lt;INDEX('Valo FX'!$R:$R,MATCH($A8,'Valo FX'!$A:$A,0)),INDEX(Base!$U:$U,MATCH($A8,Base!$A:$A,0)),IF(IL$1=INDEX('Valo FX'!$R:$R,MATCH($A8,'Valo FX'!$A:$A,0)),INDEX(Base!$V:$V,MATCH($A8,Base!$A:$A,0)),0)))</f>
        <v>12.508353</v>
      </c>
      <c r="IM8" s="21">
        <f>IF(IM$1&lt;INDEX('Valo FX'!$Q:$Q,MATCH($A8,'Valo FX'!$A:$A,0)),0,IF(IM$1&lt;INDEX('Valo FX'!$R:$R,MATCH($A8,'Valo FX'!$A:$A,0)),INDEX(Base!$U:$U,MATCH($A8,Base!$A:$A,0)),IF(IM$1=INDEX('Valo FX'!$R:$R,MATCH($A8,'Valo FX'!$A:$A,0)),INDEX(Base!$V:$V,MATCH($A8,Base!$A:$A,0)),0)))</f>
        <v>12.508353</v>
      </c>
      <c r="IN8" s="21">
        <f>IF(IN$1&lt;INDEX('Valo FX'!$Q:$Q,MATCH($A8,'Valo FX'!$A:$A,0)),0,IF(IN$1&lt;INDEX('Valo FX'!$R:$R,MATCH($A8,'Valo FX'!$A:$A,0)),INDEX(Base!$U:$U,MATCH($A8,Base!$A:$A,0)),IF(IN$1=INDEX('Valo FX'!$R:$R,MATCH($A8,'Valo FX'!$A:$A,0)),INDEX(Base!$V:$V,MATCH($A8,Base!$A:$A,0)),0)))</f>
        <v>12.508353</v>
      </c>
      <c r="IO8" s="21">
        <f>IF(IO$1&lt;INDEX('Valo FX'!$Q:$Q,MATCH($A8,'Valo FX'!$A:$A,0)),0,IF(IO$1&lt;INDEX('Valo FX'!$R:$R,MATCH($A8,'Valo FX'!$A:$A,0)),INDEX(Base!$U:$U,MATCH($A8,Base!$A:$A,0)),IF(IO$1=INDEX('Valo FX'!$R:$R,MATCH($A8,'Valo FX'!$A:$A,0)),INDEX(Base!$V:$V,MATCH($A8,Base!$A:$A,0)),0)))</f>
        <v>12.508353</v>
      </c>
      <c r="IP8" s="21">
        <f>IF(IP$1&lt;INDEX('Valo FX'!$Q:$Q,MATCH($A8,'Valo FX'!$A:$A,0)),0,IF(IP$1&lt;INDEX('Valo FX'!$R:$R,MATCH($A8,'Valo FX'!$A:$A,0)),INDEX(Base!$U:$U,MATCH($A8,Base!$A:$A,0)),IF(IP$1=INDEX('Valo FX'!$R:$R,MATCH($A8,'Valo FX'!$A:$A,0)),INDEX(Base!$V:$V,MATCH($A8,Base!$A:$A,0)),0)))</f>
        <v>12.508353</v>
      </c>
      <c r="IQ8" s="21">
        <f>IF(IQ$1&lt;INDEX('Valo FX'!$Q:$Q,MATCH($A8,'Valo FX'!$A:$A,0)),0,IF(IQ$1&lt;INDEX('Valo FX'!$R:$R,MATCH($A8,'Valo FX'!$A:$A,0)),INDEX(Base!$U:$U,MATCH($A8,Base!$A:$A,0)),IF(IQ$1=INDEX('Valo FX'!$R:$R,MATCH($A8,'Valo FX'!$A:$A,0)),INDEX(Base!$V:$V,MATCH($A8,Base!$A:$A,0)),0)))</f>
        <v>12.508353</v>
      </c>
      <c r="IR8" s="21">
        <f>IF(IR$1&lt;INDEX('Valo FX'!$Q:$Q,MATCH($A8,'Valo FX'!$A:$A,0)),0,IF(IR$1&lt;INDEX('Valo FX'!$R:$R,MATCH($A8,'Valo FX'!$A:$A,0)),INDEX(Base!$U:$U,MATCH($A8,Base!$A:$A,0)),IF(IR$1=INDEX('Valo FX'!$R:$R,MATCH($A8,'Valo FX'!$A:$A,0)),INDEX(Base!$V:$V,MATCH($A8,Base!$A:$A,0)),0)))</f>
        <v>12.508353</v>
      </c>
      <c r="IS8" s="21">
        <f>IF(IS$1&lt;INDEX('Valo FX'!$Q:$Q,MATCH($A8,'Valo FX'!$A:$A,0)),0,IF(IS$1&lt;INDEX('Valo FX'!$R:$R,MATCH($A8,'Valo FX'!$A:$A,0)),INDEX(Base!$U:$U,MATCH($A8,Base!$A:$A,0)),IF(IS$1=INDEX('Valo FX'!$R:$R,MATCH($A8,'Valo FX'!$A:$A,0)),INDEX(Base!$V:$V,MATCH($A8,Base!$A:$A,0)),0)))</f>
        <v>12.508353</v>
      </c>
      <c r="IT8" s="21">
        <f>IF(IT$1&lt;INDEX('Valo FX'!$Q:$Q,MATCH($A8,'Valo FX'!$A:$A,0)),0,IF(IT$1&lt;INDEX('Valo FX'!$R:$R,MATCH($A8,'Valo FX'!$A:$A,0)),INDEX(Base!$U:$U,MATCH($A8,Base!$A:$A,0)),IF(IT$1=INDEX('Valo FX'!$R:$R,MATCH($A8,'Valo FX'!$A:$A,0)),INDEX(Base!$V:$V,MATCH($A8,Base!$A:$A,0)),0)))</f>
        <v>12.508353</v>
      </c>
      <c r="IU8" s="21">
        <f>IF(IU$1&lt;INDEX('Valo FX'!$Q:$Q,MATCH($A8,'Valo FX'!$A:$A,0)),0,IF(IU$1&lt;INDEX('Valo FX'!$R:$R,MATCH($A8,'Valo FX'!$A:$A,0)),INDEX(Base!$U:$U,MATCH($A8,Base!$A:$A,0)),IF(IU$1=INDEX('Valo FX'!$R:$R,MATCH($A8,'Valo FX'!$A:$A,0)),INDEX(Base!$V:$V,MATCH($A8,Base!$A:$A,0)),0)))</f>
        <v>12.508353</v>
      </c>
      <c r="IV8" s="21">
        <f>IF(IV$1&lt;INDEX('Valo FX'!$Q:$Q,MATCH($A8,'Valo FX'!$A:$A,0)),0,IF(IV$1&lt;INDEX('Valo FX'!$R:$R,MATCH($A8,'Valo FX'!$A:$A,0)),INDEX(Base!$U:$U,MATCH($A8,Base!$A:$A,0)),IF(IV$1=INDEX('Valo FX'!$R:$R,MATCH($A8,'Valo FX'!$A:$A,0)),INDEX(Base!$V:$V,MATCH($A8,Base!$A:$A,0)),0)))</f>
        <v>12.508353</v>
      </c>
      <c r="IW8" s="21">
        <f>IF(IW$1&lt;INDEX('Valo FX'!$Q:$Q,MATCH($A8,'Valo FX'!$A:$A,0)),0,IF(IW$1&lt;INDEX('Valo FX'!$R:$R,MATCH($A8,'Valo FX'!$A:$A,0)),INDEX(Base!$U:$U,MATCH($A8,Base!$A:$A,0)),IF(IW$1=INDEX('Valo FX'!$R:$R,MATCH($A8,'Valo FX'!$A:$A,0)),INDEX(Base!$V:$V,MATCH($A8,Base!$A:$A,0)),0)))</f>
        <v>12.508353</v>
      </c>
      <c r="IX8" s="21">
        <f>IF(IX$1&lt;INDEX('Valo FX'!$Q:$Q,MATCH($A8,'Valo FX'!$A:$A,0)),0,IF(IX$1&lt;INDEX('Valo FX'!$R:$R,MATCH($A8,'Valo FX'!$A:$A,0)),INDEX(Base!$U:$U,MATCH($A8,Base!$A:$A,0)),IF(IX$1=INDEX('Valo FX'!$R:$R,MATCH($A8,'Valo FX'!$A:$A,0)),INDEX(Base!$V:$V,MATCH($A8,Base!$A:$A,0)),0)))</f>
        <v>12.508353</v>
      </c>
      <c r="IY8" s="21">
        <f>IF(IY$1&lt;INDEX('Valo FX'!$Q:$Q,MATCH($A8,'Valo FX'!$A:$A,0)),0,IF(IY$1&lt;INDEX('Valo FX'!$R:$R,MATCH($A8,'Valo FX'!$A:$A,0)),INDEX(Base!$U:$U,MATCH($A8,Base!$A:$A,0)),IF(IY$1=INDEX('Valo FX'!$R:$R,MATCH($A8,'Valo FX'!$A:$A,0)),INDEX(Base!$V:$V,MATCH($A8,Base!$A:$A,0)),0)))</f>
        <v>12.508353</v>
      </c>
      <c r="IZ8" s="21">
        <f>IF(IZ$1&lt;INDEX('Valo FX'!$Q:$Q,MATCH($A8,'Valo FX'!$A:$A,0)),0,IF(IZ$1&lt;INDEX('Valo FX'!$R:$R,MATCH($A8,'Valo FX'!$A:$A,0)),INDEX(Base!$U:$U,MATCH($A8,Base!$A:$A,0)),IF(IZ$1=INDEX('Valo FX'!$R:$R,MATCH($A8,'Valo FX'!$A:$A,0)),INDEX(Base!$V:$V,MATCH($A8,Base!$A:$A,0)),0)))</f>
        <v>12.508353</v>
      </c>
      <c r="JA8" s="21">
        <f>IF(JA$1&lt;INDEX('Valo FX'!$Q:$Q,MATCH($A8,'Valo FX'!$A:$A,0)),0,IF(JA$1&lt;INDEX('Valo FX'!$R:$R,MATCH($A8,'Valo FX'!$A:$A,0)),INDEX(Base!$U:$U,MATCH($A8,Base!$A:$A,0)),IF(JA$1=INDEX('Valo FX'!$R:$R,MATCH($A8,'Valo FX'!$A:$A,0)),INDEX(Base!$V:$V,MATCH($A8,Base!$A:$A,0)),0)))</f>
        <v>12.508353</v>
      </c>
      <c r="JB8" s="21">
        <f>IF(JB$1&lt;INDEX('Valo FX'!$Q:$Q,MATCH($A8,'Valo FX'!$A:$A,0)),0,IF(JB$1&lt;INDEX('Valo FX'!$R:$R,MATCH($A8,'Valo FX'!$A:$A,0)),INDEX(Base!$U:$U,MATCH($A8,Base!$A:$A,0)),IF(JB$1=INDEX('Valo FX'!$R:$R,MATCH($A8,'Valo FX'!$A:$A,0)),INDEX(Base!$V:$V,MATCH($A8,Base!$A:$A,0)),0)))</f>
        <v>12.508353</v>
      </c>
      <c r="JC8" s="21">
        <f>IF(JC$1&lt;INDEX('Valo FX'!$Q:$Q,MATCH($A8,'Valo FX'!$A:$A,0)),0,IF(JC$1&lt;INDEX('Valo FX'!$R:$R,MATCH($A8,'Valo FX'!$A:$A,0)),INDEX(Base!$U:$U,MATCH($A8,Base!$A:$A,0)),IF(JC$1=INDEX('Valo FX'!$R:$R,MATCH($A8,'Valo FX'!$A:$A,0)),INDEX(Base!$V:$V,MATCH($A8,Base!$A:$A,0)),0)))</f>
        <v>12.508353</v>
      </c>
      <c r="JD8" s="21">
        <f>IF(JD$1&lt;INDEX('Valo FX'!$Q:$Q,MATCH($A8,'Valo FX'!$A:$A,0)),0,IF(JD$1&lt;INDEX('Valo FX'!$R:$R,MATCH($A8,'Valo FX'!$A:$A,0)),INDEX(Base!$U:$U,MATCH($A8,Base!$A:$A,0)),IF(JD$1=INDEX('Valo FX'!$R:$R,MATCH($A8,'Valo FX'!$A:$A,0)),INDEX(Base!$V:$V,MATCH($A8,Base!$A:$A,0)),0)))</f>
        <v>12.508353</v>
      </c>
      <c r="JE8" s="21">
        <f>IF(JE$1&lt;INDEX('Valo FX'!$Q:$Q,MATCH($A8,'Valo FX'!$A:$A,0)),0,IF(JE$1&lt;INDEX('Valo FX'!$R:$R,MATCH($A8,'Valo FX'!$A:$A,0)),INDEX(Base!$U:$U,MATCH($A8,Base!$A:$A,0)),IF(JE$1=INDEX('Valo FX'!$R:$R,MATCH($A8,'Valo FX'!$A:$A,0)),INDEX(Base!$V:$V,MATCH($A8,Base!$A:$A,0)),0)))</f>
        <v>12.508353</v>
      </c>
      <c r="JF8" s="21">
        <f>IF(JF$1&lt;INDEX('Valo FX'!$Q:$Q,MATCH($A8,'Valo FX'!$A:$A,0)),0,IF(JF$1&lt;INDEX('Valo FX'!$R:$R,MATCH($A8,'Valo FX'!$A:$A,0)),INDEX(Base!$U:$U,MATCH($A8,Base!$A:$A,0)),IF(JF$1=INDEX('Valo FX'!$R:$R,MATCH($A8,'Valo FX'!$A:$A,0)),INDEX(Base!$V:$V,MATCH($A8,Base!$A:$A,0)),0)))</f>
        <v>12.508353</v>
      </c>
      <c r="JG8" s="21">
        <f>IF(JG$1&lt;INDEX('Valo FX'!$Q:$Q,MATCH($A8,'Valo FX'!$A:$A,0)),0,IF(JG$1&lt;INDEX('Valo FX'!$R:$R,MATCH($A8,'Valo FX'!$A:$A,0)),INDEX(Base!$U:$U,MATCH($A8,Base!$A:$A,0)),IF(JG$1=INDEX('Valo FX'!$R:$R,MATCH($A8,'Valo FX'!$A:$A,0)),INDEX(Base!$V:$V,MATCH($A8,Base!$A:$A,0)),0)))</f>
        <v>12.508353</v>
      </c>
      <c r="JH8" s="21">
        <f>IF(JH$1&lt;INDEX('Valo FX'!$Q:$Q,MATCH($A8,'Valo FX'!$A:$A,0)),0,IF(JH$1&lt;INDEX('Valo FX'!$R:$R,MATCH($A8,'Valo FX'!$A:$A,0)),INDEX(Base!$U:$U,MATCH($A8,Base!$A:$A,0)),IF(JH$1=INDEX('Valo FX'!$R:$R,MATCH($A8,'Valo FX'!$A:$A,0)),INDEX(Base!$V:$V,MATCH($A8,Base!$A:$A,0)),0)))</f>
        <v>12.508353</v>
      </c>
      <c r="JI8" s="21">
        <f>IF(JI$1&lt;INDEX('Valo FX'!$Q:$Q,MATCH($A8,'Valo FX'!$A:$A,0)),0,IF(JI$1&lt;INDEX('Valo FX'!$R:$R,MATCH($A8,'Valo FX'!$A:$A,0)),INDEX(Base!$U:$U,MATCH($A8,Base!$A:$A,0)),IF(JI$1=INDEX('Valo FX'!$R:$R,MATCH($A8,'Valo FX'!$A:$A,0)),INDEX(Base!$V:$V,MATCH($A8,Base!$A:$A,0)),0)))</f>
        <v>12.508353</v>
      </c>
      <c r="JJ8" s="21">
        <f>IF(JJ$1&lt;INDEX('Valo FX'!$Q:$Q,MATCH($A8,'Valo FX'!$A:$A,0)),0,IF(JJ$1&lt;INDEX('Valo FX'!$R:$R,MATCH($A8,'Valo FX'!$A:$A,0)),INDEX(Base!$U:$U,MATCH($A8,Base!$A:$A,0)),IF(JJ$1=INDEX('Valo FX'!$R:$R,MATCH($A8,'Valo FX'!$A:$A,0)),INDEX(Base!$V:$V,MATCH($A8,Base!$A:$A,0)),0)))</f>
        <v>12.508353</v>
      </c>
      <c r="JK8" s="21">
        <f>IF(JK$1&lt;INDEX('Valo FX'!$Q:$Q,MATCH($A8,'Valo FX'!$A:$A,0)),0,IF(JK$1&lt;INDEX('Valo FX'!$R:$R,MATCH($A8,'Valo FX'!$A:$A,0)),INDEX(Base!$U:$U,MATCH($A8,Base!$A:$A,0)),IF(JK$1=INDEX('Valo FX'!$R:$R,MATCH($A8,'Valo FX'!$A:$A,0)),INDEX(Base!$V:$V,MATCH($A8,Base!$A:$A,0)),0)))</f>
        <v>12.508353</v>
      </c>
      <c r="JL8" s="21">
        <f>IF(JL$1&lt;INDEX('Valo FX'!$Q:$Q,MATCH($A8,'Valo FX'!$A:$A,0)),0,IF(JL$1&lt;INDEX('Valo FX'!$R:$R,MATCH($A8,'Valo FX'!$A:$A,0)),INDEX(Base!$U:$U,MATCH($A8,Base!$A:$A,0)),IF(JL$1=INDEX('Valo FX'!$R:$R,MATCH($A8,'Valo FX'!$A:$A,0)),INDEX(Base!$V:$V,MATCH($A8,Base!$A:$A,0)),0)))</f>
        <v>12.508353</v>
      </c>
      <c r="JM8" s="21">
        <f>IF(JM$1&lt;INDEX('Valo FX'!$Q:$Q,MATCH($A8,'Valo FX'!$A:$A,0)),0,IF(JM$1&lt;INDEX('Valo FX'!$R:$R,MATCH($A8,'Valo FX'!$A:$A,0)),INDEX(Base!$U:$U,MATCH($A8,Base!$A:$A,0)),IF(JM$1=INDEX('Valo FX'!$R:$R,MATCH($A8,'Valo FX'!$A:$A,0)),INDEX(Base!$V:$V,MATCH($A8,Base!$A:$A,0)),0)))</f>
        <v>12.508353</v>
      </c>
      <c r="JN8" s="21">
        <f>IF(JN$1&lt;INDEX('Valo FX'!$Q:$Q,MATCH($A8,'Valo FX'!$A:$A,0)),0,IF(JN$1&lt;INDEX('Valo FX'!$R:$R,MATCH($A8,'Valo FX'!$A:$A,0)),INDEX(Base!$U:$U,MATCH($A8,Base!$A:$A,0)),IF(JN$1=INDEX('Valo FX'!$R:$R,MATCH($A8,'Valo FX'!$A:$A,0)),INDEX(Base!$V:$V,MATCH($A8,Base!$A:$A,0)),0)))</f>
        <v>12.508353</v>
      </c>
      <c r="JO8" s="21">
        <f>IF(JO$1&lt;INDEX('Valo FX'!$Q:$Q,MATCH($A8,'Valo FX'!$A:$A,0)),0,IF(JO$1&lt;INDEX('Valo FX'!$R:$R,MATCH($A8,'Valo FX'!$A:$A,0)),INDEX(Base!$U:$U,MATCH($A8,Base!$A:$A,0)),IF(JO$1=INDEX('Valo FX'!$R:$R,MATCH($A8,'Valo FX'!$A:$A,0)),INDEX(Base!$V:$V,MATCH($A8,Base!$A:$A,0)),0)))</f>
        <v>12.508353</v>
      </c>
      <c r="JP8" s="21">
        <f>IF(JP$1&lt;INDEX('Valo FX'!$Q:$Q,MATCH($A8,'Valo FX'!$A:$A,0)),0,IF(JP$1&lt;INDEX('Valo FX'!$R:$R,MATCH($A8,'Valo FX'!$A:$A,0)),INDEX(Base!$U:$U,MATCH($A8,Base!$A:$A,0)),IF(JP$1=INDEX('Valo FX'!$R:$R,MATCH($A8,'Valo FX'!$A:$A,0)),INDEX(Base!$V:$V,MATCH($A8,Base!$A:$A,0)),0)))</f>
        <v>12.508353</v>
      </c>
      <c r="JQ8" s="21">
        <f>IF(JQ$1&lt;INDEX('Valo FX'!$Q:$Q,MATCH($A8,'Valo FX'!$A:$A,0)),0,IF(JQ$1&lt;INDEX('Valo FX'!$R:$R,MATCH($A8,'Valo FX'!$A:$A,0)),INDEX(Base!$U:$U,MATCH($A8,Base!$A:$A,0)),IF(JQ$1=INDEX('Valo FX'!$R:$R,MATCH($A8,'Valo FX'!$A:$A,0)),INDEX(Base!$V:$V,MATCH($A8,Base!$A:$A,0)),0)))</f>
        <v>12.508353</v>
      </c>
      <c r="JR8" s="21">
        <f>IF(JR$1&lt;INDEX('Valo FX'!$Q:$Q,MATCH($A8,'Valo FX'!$A:$A,0)),0,IF(JR$1&lt;INDEX('Valo FX'!$R:$R,MATCH($A8,'Valo FX'!$A:$A,0)),INDEX(Base!$U:$U,MATCH($A8,Base!$A:$A,0)),IF(JR$1=INDEX('Valo FX'!$R:$R,MATCH($A8,'Valo FX'!$A:$A,0)),INDEX(Base!$V:$V,MATCH($A8,Base!$A:$A,0)),0)))</f>
        <v>12.508353</v>
      </c>
      <c r="JS8" s="21">
        <f>IF(JS$1&lt;INDEX('Valo FX'!$Q:$Q,MATCH($A8,'Valo FX'!$A:$A,0)),0,IF(JS$1&lt;INDEX('Valo FX'!$R:$R,MATCH($A8,'Valo FX'!$A:$A,0)),INDEX(Base!$U:$U,MATCH($A8,Base!$A:$A,0)),IF(JS$1=INDEX('Valo FX'!$R:$R,MATCH($A8,'Valo FX'!$A:$A,0)),INDEX(Base!$V:$V,MATCH($A8,Base!$A:$A,0)),0)))</f>
        <v>12.508353</v>
      </c>
      <c r="JT8" s="21">
        <f>IF(JT$1&lt;INDEX('Valo FX'!$Q:$Q,MATCH($A8,'Valo FX'!$A:$A,0)),0,IF(JT$1&lt;INDEX('Valo FX'!$R:$R,MATCH($A8,'Valo FX'!$A:$A,0)),INDEX(Base!$U:$U,MATCH($A8,Base!$A:$A,0)),IF(JT$1=INDEX('Valo FX'!$R:$R,MATCH($A8,'Valo FX'!$A:$A,0)),INDEX(Base!$V:$V,MATCH($A8,Base!$A:$A,0)),0)))</f>
        <v>12.508353</v>
      </c>
      <c r="JU8" s="21">
        <f>IF(JU$1&lt;INDEX('Valo FX'!$Q:$Q,MATCH($A8,'Valo FX'!$A:$A,0)),0,IF(JU$1&lt;INDEX('Valo FX'!$R:$R,MATCH($A8,'Valo FX'!$A:$A,0)),INDEX(Base!$U:$U,MATCH($A8,Base!$A:$A,0)),IF(JU$1=INDEX('Valo FX'!$R:$R,MATCH($A8,'Valo FX'!$A:$A,0)),INDEX(Base!$V:$V,MATCH($A8,Base!$A:$A,0)),0)))</f>
        <v>12.508353</v>
      </c>
      <c r="JV8" s="21">
        <f>IF(JV$1&lt;INDEX('Valo FX'!$Q:$Q,MATCH($A8,'Valo FX'!$A:$A,0)),0,IF(JV$1&lt;INDEX('Valo FX'!$R:$R,MATCH($A8,'Valo FX'!$A:$A,0)),INDEX(Base!$U:$U,MATCH($A8,Base!$A:$A,0)),IF(JV$1=INDEX('Valo FX'!$R:$R,MATCH($A8,'Valo FX'!$A:$A,0)),INDEX(Base!$V:$V,MATCH($A8,Base!$A:$A,0)),0)))</f>
        <v>12.508353</v>
      </c>
      <c r="JW8" s="21">
        <f>IF(JW$1&lt;INDEX('Valo FX'!$Q:$Q,MATCH($A8,'Valo FX'!$A:$A,0)),0,IF(JW$1&lt;INDEX('Valo FX'!$R:$R,MATCH($A8,'Valo FX'!$A:$A,0)),INDEX(Base!$U:$U,MATCH($A8,Base!$A:$A,0)),IF(JW$1=INDEX('Valo FX'!$R:$R,MATCH($A8,'Valo FX'!$A:$A,0)),INDEX(Base!$V:$V,MATCH($A8,Base!$A:$A,0)),0)))</f>
        <v>12.508353</v>
      </c>
      <c r="JX8" s="21">
        <f>IF(JX$1&lt;INDEX('Valo FX'!$Q:$Q,MATCH($A8,'Valo FX'!$A:$A,0)),0,IF(JX$1&lt;INDEX('Valo FX'!$R:$R,MATCH($A8,'Valo FX'!$A:$A,0)),INDEX(Base!$U:$U,MATCH($A8,Base!$A:$A,0)),IF(JX$1=INDEX('Valo FX'!$R:$R,MATCH($A8,'Valo FX'!$A:$A,0)),INDEX(Base!$V:$V,MATCH($A8,Base!$A:$A,0)),0)))</f>
        <v>12.508353</v>
      </c>
      <c r="JY8" s="21">
        <f>IF(JY$1&lt;INDEX('Valo FX'!$Q:$Q,MATCH($A8,'Valo FX'!$A:$A,0)),0,IF(JY$1&lt;INDEX('Valo FX'!$R:$R,MATCH($A8,'Valo FX'!$A:$A,0)),INDEX(Base!$U:$U,MATCH($A8,Base!$A:$A,0)),IF(JY$1=INDEX('Valo FX'!$R:$R,MATCH($A8,'Valo FX'!$A:$A,0)),INDEX(Base!$V:$V,MATCH($A8,Base!$A:$A,0)),0)))</f>
        <v>12.508353</v>
      </c>
      <c r="JZ8" s="21">
        <f>IF(JZ$1&lt;INDEX('Valo FX'!$Q:$Q,MATCH($A8,'Valo FX'!$A:$A,0)),0,IF(JZ$1&lt;INDEX('Valo FX'!$R:$R,MATCH($A8,'Valo FX'!$A:$A,0)),INDEX(Base!$U:$U,MATCH($A8,Base!$A:$A,0)),IF(JZ$1=INDEX('Valo FX'!$R:$R,MATCH($A8,'Valo FX'!$A:$A,0)),INDEX(Base!$V:$V,MATCH($A8,Base!$A:$A,0)),0)))</f>
        <v>12.508353</v>
      </c>
      <c r="KA8" s="21">
        <f>IF(KA$1&lt;INDEX('Valo FX'!$Q:$Q,MATCH($A8,'Valo FX'!$A:$A,0)),0,IF(KA$1&lt;INDEX('Valo FX'!$R:$R,MATCH($A8,'Valo FX'!$A:$A,0)),INDEX(Base!$U:$U,MATCH($A8,Base!$A:$A,0)),IF(KA$1=INDEX('Valo FX'!$R:$R,MATCH($A8,'Valo FX'!$A:$A,0)),INDEX(Base!$V:$V,MATCH($A8,Base!$A:$A,0)),0)))</f>
        <v>12.508353</v>
      </c>
      <c r="KB8" s="21">
        <f>IF(KB$1&lt;INDEX('Valo FX'!$Q:$Q,MATCH($A8,'Valo FX'!$A:$A,0)),0,IF(KB$1&lt;INDEX('Valo FX'!$R:$R,MATCH($A8,'Valo FX'!$A:$A,0)),INDEX(Base!$U:$U,MATCH($A8,Base!$A:$A,0)),IF(KB$1=INDEX('Valo FX'!$R:$R,MATCH($A8,'Valo FX'!$A:$A,0)),INDEX(Base!$V:$V,MATCH($A8,Base!$A:$A,0)),0)))</f>
        <v>12.508353</v>
      </c>
      <c r="KC8" s="21">
        <f>IF(KC$1&lt;INDEX('Valo FX'!$Q:$Q,MATCH($A8,'Valo FX'!$A:$A,0)),0,IF(KC$1&lt;INDEX('Valo FX'!$R:$R,MATCH($A8,'Valo FX'!$A:$A,0)),INDEX(Base!$U:$U,MATCH($A8,Base!$A:$A,0)),IF(KC$1=INDEX('Valo FX'!$R:$R,MATCH($A8,'Valo FX'!$A:$A,0)),INDEX(Base!$V:$V,MATCH($A8,Base!$A:$A,0)),0)))</f>
        <v>12.508353</v>
      </c>
      <c r="KD8" s="21">
        <f>IF(KD$1&lt;INDEX('Valo FX'!$Q:$Q,MATCH($A8,'Valo FX'!$A:$A,0)),0,IF(KD$1&lt;INDEX('Valo FX'!$R:$R,MATCH($A8,'Valo FX'!$A:$A,0)),INDEX(Base!$U:$U,MATCH($A8,Base!$A:$A,0)),IF(KD$1=INDEX('Valo FX'!$R:$R,MATCH($A8,'Valo FX'!$A:$A,0)),INDEX(Base!$V:$V,MATCH($A8,Base!$A:$A,0)),0)))</f>
        <v>12.508353</v>
      </c>
      <c r="KE8" s="21">
        <f>IF(KE$1&lt;INDEX('Valo FX'!$Q:$Q,MATCH($A8,'Valo FX'!$A:$A,0)),0,IF(KE$1&lt;INDEX('Valo FX'!$R:$R,MATCH($A8,'Valo FX'!$A:$A,0)),INDEX(Base!$U:$U,MATCH($A8,Base!$A:$A,0)),IF(KE$1=INDEX('Valo FX'!$R:$R,MATCH($A8,'Valo FX'!$A:$A,0)),INDEX(Base!$V:$V,MATCH($A8,Base!$A:$A,0)),0)))</f>
        <v>12.508353</v>
      </c>
      <c r="KF8" s="21">
        <f>IF(KF$1&lt;INDEX('Valo FX'!$Q:$Q,MATCH($A8,'Valo FX'!$A:$A,0)),0,IF(KF$1&lt;INDEX('Valo FX'!$R:$R,MATCH($A8,'Valo FX'!$A:$A,0)),INDEX(Base!$U:$U,MATCH($A8,Base!$A:$A,0)),IF(KF$1=INDEX('Valo FX'!$R:$R,MATCH($A8,'Valo FX'!$A:$A,0)),INDEX(Base!$V:$V,MATCH($A8,Base!$A:$A,0)),0)))</f>
        <v>12.508353</v>
      </c>
      <c r="KG8" s="21">
        <f>IF(KG$1&lt;INDEX('Valo FX'!$Q:$Q,MATCH($A8,'Valo FX'!$A:$A,0)),0,IF(KG$1&lt;INDEX('Valo FX'!$R:$R,MATCH($A8,'Valo FX'!$A:$A,0)),INDEX(Base!$U:$U,MATCH($A8,Base!$A:$A,0)),IF(KG$1=INDEX('Valo FX'!$R:$R,MATCH($A8,'Valo FX'!$A:$A,0)),INDEX(Base!$V:$V,MATCH($A8,Base!$A:$A,0)),0)))</f>
        <v>12.508353</v>
      </c>
      <c r="KH8" s="21">
        <f>IF(KH$1&lt;INDEX('Valo FX'!$Q:$Q,MATCH($A8,'Valo FX'!$A:$A,0)),0,IF(KH$1&lt;INDEX('Valo FX'!$R:$R,MATCH($A8,'Valo FX'!$A:$A,0)),INDEX(Base!$U:$U,MATCH($A8,Base!$A:$A,0)),IF(KH$1=INDEX('Valo FX'!$R:$R,MATCH($A8,'Valo FX'!$A:$A,0)),INDEX(Base!$V:$V,MATCH($A8,Base!$A:$A,0)),0)))</f>
        <v>12.508353</v>
      </c>
      <c r="KI8" s="21">
        <f>IF(KI$1&lt;INDEX('Valo FX'!$Q:$Q,MATCH($A8,'Valo FX'!$A:$A,0)),0,IF(KI$1&lt;INDEX('Valo FX'!$R:$R,MATCH($A8,'Valo FX'!$A:$A,0)),INDEX(Base!$U:$U,MATCH($A8,Base!$A:$A,0)),IF(KI$1=INDEX('Valo FX'!$R:$R,MATCH($A8,'Valo FX'!$A:$A,0)),INDEX(Base!$V:$V,MATCH($A8,Base!$A:$A,0)),0)))</f>
        <v>12.508353</v>
      </c>
      <c r="KJ8" s="21">
        <f>IF(KJ$1&lt;INDEX('Valo FX'!$Q:$Q,MATCH($A8,'Valo FX'!$A:$A,0)),0,IF(KJ$1&lt;INDEX('Valo FX'!$R:$R,MATCH($A8,'Valo FX'!$A:$A,0)),INDEX(Base!$U:$U,MATCH($A8,Base!$A:$A,0)),IF(KJ$1=INDEX('Valo FX'!$R:$R,MATCH($A8,'Valo FX'!$A:$A,0)),INDEX(Base!$V:$V,MATCH($A8,Base!$A:$A,0)),0)))</f>
        <v>12.508353</v>
      </c>
      <c r="KK8" s="21">
        <f>IF(KK$1&lt;INDEX('Valo FX'!$Q:$Q,MATCH($A8,'Valo FX'!$A:$A,0)),0,IF(KK$1&lt;INDEX('Valo FX'!$R:$R,MATCH($A8,'Valo FX'!$A:$A,0)),INDEX(Base!$U:$U,MATCH($A8,Base!$A:$A,0)),IF(KK$1=INDEX('Valo FX'!$R:$R,MATCH($A8,'Valo FX'!$A:$A,0)),INDEX(Base!$V:$V,MATCH($A8,Base!$A:$A,0)),0)))</f>
        <v>12.508353</v>
      </c>
      <c r="KL8" s="21">
        <f>IF(KL$1&lt;INDEX('Valo FX'!$Q:$Q,MATCH($A8,'Valo FX'!$A:$A,0)),0,IF(KL$1&lt;INDEX('Valo FX'!$R:$R,MATCH($A8,'Valo FX'!$A:$A,0)),INDEX(Base!$U:$U,MATCH($A8,Base!$A:$A,0)),IF(KL$1=INDEX('Valo FX'!$R:$R,MATCH($A8,'Valo FX'!$A:$A,0)),INDEX(Base!$V:$V,MATCH($A8,Base!$A:$A,0)),0)))</f>
        <v>12.508353</v>
      </c>
      <c r="KM8" s="21">
        <f>IF(KM$1&lt;INDEX('Valo FX'!$Q:$Q,MATCH($A8,'Valo FX'!$A:$A,0)),0,IF(KM$1&lt;INDEX('Valo FX'!$R:$R,MATCH($A8,'Valo FX'!$A:$A,0)),INDEX(Base!$U:$U,MATCH($A8,Base!$A:$A,0)),IF(KM$1=INDEX('Valo FX'!$R:$R,MATCH($A8,'Valo FX'!$A:$A,0)),INDEX(Base!$V:$V,MATCH($A8,Base!$A:$A,0)),0)))</f>
        <v>12.508353</v>
      </c>
      <c r="KN8" s="21">
        <f>IF(KN$1&lt;INDEX('Valo FX'!$Q:$Q,MATCH($A8,'Valo FX'!$A:$A,0)),0,IF(KN$1&lt;INDEX('Valo FX'!$R:$R,MATCH($A8,'Valo FX'!$A:$A,0)),INDEX(Base!$U:$U,MATCH($A8,Base!$A:$A,0)),IF(KN$1=INDEX('Valo FX'!$R:$R,MATCH($A8,'Valo FX'!$A:$A,0)),INDEX(Base!$V:$V,MATCH($A8,Base!$A:$A,0)),0)))</f>
        <v>12.508353</v>
      </c>
      <c r="KO8" s="21">
        <f>IF(KO$1&lt;INDEX('Valo FX'!$Q:$Q,MATCH($A8,'Valo FX'!$A:$A,0)),0,IF(KO$1&lt;INDEX('Valo FX'!$R:$R,MATCH($A8,'Valo FX'!$A:$A,0)),INDEX(Base!$U:$U,MATCH($A8,Base!$A:$A,0)),IF(KO$1=INDEX('Valo FX'!$R:$R,MATCH($A8,'Valo FX'!$A:$A,0)),INDEX(Base!$V:$V,MATCH($A8,Base!$A:$A,0)),0)))</f>
        <v>12.508353</v>
      </c>
      <c r="KP8" s="21">
        <f>IF(KP$1&lt;INDEX('Valo FX'!$Q:$Q,MATCH($A8,'Valo FX'!$A:$A,0)),0,IF(KP$1&lt;INDEX('Valo FX'!$R:$R,MATCH($A8,'Valo FX'!$A:$A,0)),INDEX(Base!$U:$U,MATCH($A8,Base!$A:$A,0)),IF(KP$1=INDEX('Valo FX'!$R:$R,MATCH($A8,'Valo FX'!$A:$A,0)),INDEX(Base!$V:$V,MATCH($A8,Base!$A:$A,0)),0)))</f>
        <v>12.508353</v>
      </c>
      <c r="KQ8" s="21">
        <f>IF(KQ$1&lt;INDEX('Valo FX'!$Q:$Q,MATCH($A8,'Valo FX'!$A:$A,0)),0,IF(KQ$1&lt;INDEX('Valo FX'!$R:$R,MATCH($A8,'Valo FX'!$A:$A,0)),INDEX(Base!$U:$U,MATCH($A8,Base!$A:$A,0)),IF(KQ$1=INDEX('Valo FX'!$R:$R,MATCH($A8,'Valo FX'!$A:$A,0)),INDEX(Base!$V:$V,MATCH($A8,Base!$A:$A,0)),0)))</f>
        <v>12.436790999999999</v>
      </c>
      <c r="KR8" s="21">
        <f>IF(KR$1&lt;INDEX('Valo FX'!$Q:$Q,MATCH($A8,'Valo FX'!$A:$A,0)),0,IF(KR$1&lt;INDEX('Valo FX'!$R:$R,MATCH($A8,'Valo FX'!$A:$A,0)),INDEX(Base!$U:$U,MATCH($A8,Base!$A:$A,0)),IF(KR$1=INDEX('Valo FX'!$R:$R,MATCH($A8,'Valo FX'!$A:$A,0)),INDEX(Base!$V:$V,MATCH($A8,Base!$A:$A,0)),0)))</f>
        <v>0</v>
      </c>
      <c r="KS8" s="21">
        <f>IF(KS$1&lt;INDEX('Valo FX'!$Q:$Q,MATCH($A8,'Valo FX'!$A:$A,0)),0,IF(KS$1&lt;INDEX('Valo FX'!$R:$R,MATCH($A8,'Valo FX'!$A:$A,0)),INDEX(Base!$U:$U,MATCH($A8,Base!$A:$A,0)),IF(KS$1=INDEX('Valo FX'!$R:$R,MATCH($A8,'Valo FX'!$A:$A,0)),INDEX(Base!$V:$V,MATCH($A8,Base!$A:$A,0)),0)))</f>
        <v>0</v>
      </c>
      <c r="KT8" s="21">
        <f>IF(KT$1&lt;INDEX('Valo FX'!$Q:$Q,MATCH($A8,'Valo FX'!$A:$A,0)),0,IF(KT$1&lt;INDEX('Valo FX'!$R:$R,MATCH($A8,'Valo FX'!$A:$A,0)),INDEX(Base!$U:$U,MATCH($A8,Base!$A:$A,0)),IF(KT$1=INDEX('Valo FX'!$R:$R,MATCH($A8,'Valo FX'!$A:$A,0)),INDEX(Base!$V:$V,MATCH($A8,Base!$A:$A,0)),0)))</f>
        <v>0</v>
      </c>
      <c r="KU8" s="21">
        <f>IF(KU$1&lt;INDEX('Valo FX'!$Q:$Q,MATCH($A8,'Valo FX'!$A:$A,0)),0,IF(KU$1&lt;INDEX('Valo FX'!$R:$R,MATCH($A8,'Valo FX'!$A:$A,0)),INDEX(Base!$U:$U,MATCH($A8,Base!$A:$A,0)),IF(KU$1=INDEX('Valo FX'!$R:$R,MATCH($A8,'Valo FX'!$A:$A,0)),INDEX(Base!$V:$V,MATCH($A8,Base!$A:$A,0)),0)))</f>
        <v>0</v>
      </c>
      <c r="KV8" s="21">
        <f>IF(KV$1&lt;INDEX('Valo FX'!$Q:$Q,MATCH($A8,'Valo FX'!$A:$A,0)),0,IF(KV$1&lt;INDEX('Valo FX'!$R:$R,MATCH($A8,'Valo FX'!$A:$A,0)),INDEX(Base!$U:$U,MATCH($A8,Base!$A:$A,0)),IF(KV$1=INDEX('Valo FX'!$R:$R,MATCH($A8,'Valo FX'!$A:$A,0)),INDEX(Base!$V:$V,MATCH($A8,Base!$A:$A,0)),0)))</f>
        <v>0</v>
      </c>
      <c r="KW8" s="21">
        <f>IF(KW$1&lt;INDEX('Valo FX'!$Q:$Q,MATCH($A8,'Valo FX'!$A:$A,0)),0,IF(KW$1&lt;INDEX('Valo FX'!$R:$R,MATCH($A8,'Valo FX'!$A:$A,0)),INDEX(Base!$U:$U,MATCH($A8,Base!$A:$A,0)),IF(KW$1=INDEX('Valo FX'!$R:$R,MATCH($A8,'Valo FX'!$A:$A,0)),INDEX(Base!$V:$V,MATCH($A8,Base!$A:$A,0)),0)))</f>
        <v>0</v>
      </c>
      <c r="KX8" s="21">
        <f>IF(KX$1&lt;INDEX('Valo FX'!$Q:$Q,MATCH($A8,'Valo FX'!$A:$A,0)),0,IF(KX$1&lt;INDEX('Valo FX'!$R:$R,MATCH($A8,'Valo FX'!$A:$A,0)),INDEX(Base!$U:$U,MATCH($A8,Base!$A:$A,0)),IF(KX$1=INDEX('Valo FX'!$R:$R,MATCH($A8,'Valo FX'!$A:$A,0)),INDEX(Base!$V:$V,MATCH($A8,Base!$A:$A,0)),0)))</f>
        <v>0</v>
      </c>
      <c r="KY8" s="21">
        <f>IF(KY$1&lt;INDEX('Valo FX'!$Q:$Q,MATCH($A8,'Valo FX'!$A:$A,0)),0,IF(KY$1&lt;INDEX('Valo FX'!$R:$R,MATCH($A8,'Valo FX'!$A:$A,0)),INDEX(Base!$U:$U,MATCH($A8,Base!$A:$A,0)),IF(KY$1=INDEX('Valo FX'!$R:$R,MATCH($A8,'Valo FX'!$A:$A,0)),INDEX(Base!$V:$V,MATCH($A8,Base!$A:$A,0)),0)))</f>
        <v>0</v>
      </c>
      <c r="KZ8" s="21">
        <f>IF(KZ$1&lt;INDEX('Valo FX'!$Q:$Q,MATCH($A8,'Valo FX'!$A:$A,0)),0,IF(KZ$1&lt;INDEX('Valo FX'!$R:$R,MATCH($A8,'Valo FX'!$A:$A,0)),INDEX(Base!$U:$U,MATCH($A8,Base!$A:$A,0)),IF(KZ$1=INDEX('Valo FX'!$R:$R,MATCH($A8,'Valo FX'!$A:$A,0)),INDEX(Base!$V:$V,MATCH($A8,Base!$A:$A,0)),0)))</f>
        <v>0</v>
      </c>
      <c r="LA8" s="21">
        <f>IF(LA$1&lt;INDEX('Valo FX'!$Q:$Q,MATCH($A8,'Valo FX'!$A:$A,0)),0,IF(LA$1&lt;INDEX('Valo FX'!$R:$R,MATCH($A8,'Valo FX'!$A:$A,0)),INDEX(Base!$U:$U,MATCH($A8,Base!$A:$A,0)),IF(LA$1=INDEX('Valo FX'!$R:$R,MATCH($A8,'Valo FX'!$A:$A,0)),INDEX(Base!$V:$V,MATCH($A8,Base!$A:$A,0)),0)))</f>
        <v>0</v>
      </c>
      <c r="LB8" s="21">
        <f>IF(LB$1&lt;INDEX('Valo FX'!$Q:$Q,MATCH($A8,'Valo FX'!$A:$A,0)),0,IF(LB$1&lt;INDEX('Valo FX'!$R:$R,MATCH($A8,'Valo FX'!$A:$A,0)),INDEX(Base!$U:$U,MATCH($A8,Base!$A:$A,0)),IF(LB$1=INDEX('Valo FX'!$R:$R,MATCH($A8,'Valo FX'!$A:$A,0)),INDEX(Base!$V:$V,MATCH($A8,Base!$A:$A,0)),0)))</f>
        <v>0</v>
      </c>
      <c r="LC8" s="21">
        <f>IF(LC$1&lt;INDEX('Valo FX'!$Q:$Q,MATCH($A8,'Valo FX'!$A:$A,0)),0,IF(LC$1&lt;INDEX('Valo FX'!$R:$R,MATCH($A8,'Valo FX'!$A:$A,0)),INDEX(Base!$U:$U,MATCH($A8,Base!$A:$A,0)),IF(LC$1=INDEX('Valo FX'!$R:$R,MATCH($A8,'Valo FX'!$A:$A,0)),INDEX(Base!$V:$V,MATCH($A8,Base!$A:$A,0)),0)))</f>
        <v>0</v>
      </c>
      <c r="LD8" s="21">
        <f>IF(LD$1&lt;INDEX('Valo FX'!$Q:$Q,MATCH($A8,'Valo FX'!$A:$A,0)),0,IF(LD$1&lt;INDEX('Valo FX'!$R:$R,MATCH($A8,'Valo FX'!$A:$A,0)),INDEX(Base!$U:$U,MATCH($A8,Base!$A:$A,0)),IF(LD$1=INDEX('Valo FX'!$R:$R,MATCH($A8,'Valo FX'!$A:$A,0)),INDEX(Base!$V:$V,MATCH($A8,Base!$A:$A,0)),0)))</f>
        <v>0</v>
      </c>
      <c r="LE8" s="21">
        <f>IF(LE$1&lt;INDEX('Valo FX'!$Q:$Q,MATCH($A8,'Valo FX'!$A:$A,0)),0,IF(LE$1&lt;INDEX('Valo FX'!$R:$R,MATCH($A8,'Valo FX'!$A:$A,0)),INDEX(Base!$U:$U,MATCH($A8,Base!$A:$A,0)),IF(LE$1=INDEX('Valo FX'!$R:$R,MATCH($A8,'Valo FX'!$A:$A,0)),INDEX(Base!$V:$V,MATCH($A8,Base!$A:$A,0)),0)))</f>
        <v>0</v>
      </c>
      <c r="LF8" s="21">
        <f>IF(LF$1&lt;INDEX('Valo FX'!$Q:$Q,MATCH($A8,'Valo FX'!$A:$A,0)),0,IF(LF$1&lt;INDEX('Valo FX'!$R:$R,MATCH($A8,'Valo FX'!$A:$A,0)),INDEX(Base!$U:$U,MATCH($A8,Base!$A:$A,0)),IF(LF$1=INDEX('Valo FX'!$R:$R,MATCH($A8,'Valo FX'!$A:$A,0)),INDEX(Base!$V:$V,MATCH($A8,Base!$A:$A,0)),0)))</f>
        <v>0</v>
      </c>
      <c r="LG8" s="21">
        <f>IF(LG$1&lt;INDEX('Valo FX'!$Q:$Q,MATCH($A8,'Valo FX'!$A:$A,0)),0,IF(LG$1&lt;INDEX('Valo FX'!$R:$R,MATCH($A8,'Valo FX'!$A:$A,0)),INDEX(Base!$U:$U,MATCH($A8,Base!$A:$A,0)),IF(LG$1=INDEX('Valo FX'!$R:$R,MATCH($A8,'Valo FX'!$A:$A,0)),INDEX(Base!$V:$V,MATCH($A8,Base!$A:$A,0)),0)))</f>
        <v>0</v>
      </c>
      <c r="LH8" s="21">
        <f>IF(LH$1&lt;INDEX('Valo FX'!$Q:$Q,MATCH($A8,'Valo FX'!$A:$A,0)),0,IF(LH$1&lt;INDEX('Valo FX'!$R:$R,MATCH($A8,'Valo FX'!$A:$A,0)),INDEX(Base!$U:$U,MATCH($A8,Base!$A:$A,0)),IF(LH$1=INDEX('Valo FX'!$R:$R,MATCH($A8,'Valo FX'!$A:$A,0)),INDEX(Base!$V:$V,MATCH($A8,Base!$A:$A,0)),0)))</f>
        <v>0</v>
      </c>
      <c r="LI8" s="21">
        <f>IF(LI$1&lt;INDEX('Valo FX'!$Q:$Q,MATCH($A8,'Valo FX'!$A:$A,0)),0,IF(LI$1&lt;INDEX('Valo FX'!$R:$R,MATCH($A8,'Valo FX'!$A:$A,0)),INDEX(Base!$U:$U,MATCH($A8,Base!$A:$A,0)),IF(LI$1=INDEX('Valo FX'!$R:$R,MATCH($A8,'Valo FX'!$A:$A,0)),INDEX(Base!$V:$V,MATCH($A8,Base!$A:$A,0)),0)))</f>
        <v>0</v>
      </c>
      <c r="LJ8" s="21">
        <f>IF(LJ$1&lt;INDEX('Valo FX'!$Q:$Q,MATCH($A8,'Valo FX'!$A:$A,0)),0,IF(LJ$1&lt;INDEX('Valo FX'!$R:$R,MATCH($A8,'Valo FX'!$A:$A,0)),INDEX(Base!$U:$U,MATCH($A8,Base!$A:$A,0)),IF(LJ$1=INDEX('Valo FX'!$R:$R,MATCH($A8,'Valo FX'!$A:$A,0)),INDEX(Base!$V:$V,MATCH($A8,Base!$A:$A,0)),0)))</f>
        <v>0</v>
      </c>
      <c r="LK8" s="21">
        <f>IF(LK$1&lt;INDEX('Valo FX'!$Q:$Q,MATCH($A8,'Valo FX'!$A:$A,0)),0,IF(LK$1&lt;INDEX('Valo FX'!$R:$R,MATCH($A8,'Valo FX'!$A:$A,0)),INDEX(Base!$U:$U,MATCH($A8,Base!$A:$A,0)),IF(LK$1=INDEX('Valo FX'!$R:$R,MATCH($A8,'Valo FX'!$A:$A,0)),INDEX(Base!$V:$V,MATCH($A8,Base!$A:$A,0)),0)))</f>
        <v>0</v>
      </c>
      <c r="LL8" s="21">
        <f>IF(LL$1&lt;INDEX('Valo FX'!$Q:$Q,MATCH($A8,'Valo FX'!$A:$A,0)),0,IF(LL$1&lt;INDEX('Valo FX'!$R:$R,MATCH($A8,'Valo FX'!$A:$A,0)),INDEX(Base!$U:$U,MATCH($A8,Base!$A:$A,0)),IF(LL$1=INDEX('Valo FX'!$R:$R,MATCH($A8,'Valo FX'!$A:$A,0)),INDEX(Base!$V:$V,MATCH($A8,Base!$A:$A,0)),0)))</f>
        <v>0</v>
      </c>
      <c r="LM8" s="21">
        <f>IF(LM$1&lt;INDEX('Valo FX'!$Q:$Q,MATCH($A8,'Valo FX'!$A:$A,0)),0,IF(LM$1&lt;INDEX('Valo FX'!$R:$R,MATCH($A8,'Valo FX'!$A:$A,0)),INDEX(Base!$U:$U,MATCH($A8,Base!$A:$A,0)),IF(LM$1=INDEX('Valo FX'!$R:$R,MATCH($A8,'Valo FX'!$A:$A,0)),INDEX(Base!$V:$V,MATCH($A8,Base!$A:$A,0)),0)))</f>
        <v>0</v>
      </c>
      <c r="LN8" s="21">
        <f>IF(LN$1&lt;INDEX('Valo FX'!$Q:$Q,MATCH($A8,'Valo FX'!$A:$A,0)),0,IF(LN$1&lt;INDEX('Valo FX'!$R:$R,MATCH($A8,'Valo FX'!$A:$A,0)),INDEX(Base!$U:$U,MATCH($A8,Base!$A:$A,0)),IF(LN$1=INDEX('Valo FX'!$R:$R,MATCH($A8,'Valo FX'!$A:$A,0)),INDEX(Base!$V:$V,MATCH($A8,Base!$A:$A,0)),0)))</f>
        <v>0</v>
      </c>
      <c r="LO8" s="21">
        <f>IF(LO$1&lt;INDEX('Valo FX'!$Q:$Q,MATCH($A8,'Valo FX'!$A:$A,0)),0,IF(LO$1&lt;INDEX('Valo FX'!$R:$R,MATCH($A8,'Valo FX'!$A:$A,0)),INDEX(Base!$U:$U,MATCH($A8,Base!$A:$A,0)),IF(LO$1=INDEX('Valo FX'!$R:$R,MATCH($A8,'Valo FX'!$A:$A,0)),INDEX(Base!$V:$V,MATCH($A8,Base!$A:$A,0)),0)))</f>
        <v>0</v>
      </c>
      <c r="LP8" s="21">
        <f>IF(LP$1&lt;INDEX('Valo FX'!$Q:$Q,MATCH($A8,'Valo FX'!$A:$A,0)),0,IF(LP$1&lt;INDEX('Valo FX'!$R:$R,MATCH($A8,'Valo FX'!$A:$A,0)),INDEX(Base!$U:$U,MATCH($A8,Base!$A:$A,0)),IF(LP$1=INDEX('Valo FX'!$R:$R,MATCH($A8,'Valo FX'!$A:$A,0)),INDEX(Base!$V:$V,MATCH($A8,Base!$A:$A,0)),0)))</f>
        <v>0</v>
      </c>
      <c r="LQ8" s="21">
        <f>IF(LQ$1&lt;INDEX('Valo FX'!$Q:$Q,MATCH($A8,'Valo FX'!$A:$A,0)),0,IF(LQ$1&lt;INDEX('Valo FX'!$R:$R,MATCH($A8,'Valo FX'!$A:$A,0)),INDEX(Base!$U:$U,MATCH($A8,Base!$A:$A,0)),IF(LQ$1=INDEX('Valo FX'!$R:$R,MATCH($A8,'Valo FX'!$A:$A,0)),INDEX(Base!$V:$V,MATCH($A8,Base!$A:$A,0)),0)))</f>
        <v>0</v>
      </c>
      <c r="LR8" s="21">
        <f>IF(LR$1&lt;INDEX('Valo FX'!$Q:$Q,MATCH($A8,'Valo FX'!$A:$A,0)),0,IF(LR$1&lt;INDEX('Valo FX'!$R:$R,MATCH($A8,'Valo FX'!$A:$A,0)),INDEX(Base!$U:$U,MATCH($A8,Base!$A:$A,0)),IF(LR$1=INDEX('Valo FX'!$R:$R,MATCH($A8,'Valo FX'!$A:$A,0)),INDEX(Base!$V:$V,MATCH($A8,Base!$A:$A,0)),0)))</f>
        <v>0</v>
      </c>
      <c r="LS8" s="21">
        <f>IF(LS$1&lt;INDEX('Valo FX'!$Q:$Q,MATCH($A8,'Valo FX'!$A:$A,0)),0,IF(LS$1&lt;INDEX('Valo FX'!$R:$R,MATCH($A8,'Valo FX'!$A:$A,0)),INDEX(Base!$U:$U,MATCH($A8,Base!$A:$A,0)),IF(LS$1=INDEX('Valo FX'!$R:$R,MATCH($A8,'Valo FX'!$A:$A,0)),INDEX(Base!$V:$V,MATCH($A8,Base!$A:$A,0)),0)))</f>
        <v>0</v>
      </c>
      <c r="LT8" s="21">
        <f>IF(LT$1&lt;INDEX('Valo FX'!$Q:$Q,MATCH($A8,'Valo FX'!$A:$A,0)),0,IF(LT$1&lt;INDEX('Valo FX'!$R:$R,MATCH($A8,'Valo FX'!$A:$A,0)),INDEX(Base!$U:$U,MATCH($A8,Base!$A:$A,0)),IF(LT$1=INDEX('Valo FX'!$R:$R,MATCH($A8,'Valo FX'!$A:$A,0)),INDEX(Base!$V:$V,MATCH($A8,Base!$A:$A,0)),0)))</f>
        <v>0</v>
      </c>
      <c r="LU8" s="21">
        <f>IF(LU$1&lt;INDEX('Valo FX'!$Q:$Q,MATCH($A8,'Valo FX'!$A:$A,0)),0,IF(LU$1&lt;INDEX('Valo FX'!$R:$R,MATCH($A8,'Valo FX'!$A:$A,0)),INDEX(Base!$U:$U,MATCH($A8,Base!$A:$A,0)),IF(LU$1=INDEX('Valo FX'!$R:$R,MATCH($A8,'Valo FX'!$A:$A,0)),INDEX(Base!$V:$V,MATCH($A8,Base!$A:$A,0)),0)))</f>
        <v>0</v>
      </c>
      <c r="LV8" s="21">
        <f>IF(LV$1&lt;INDEX('Valo FX'!$Q:$Q,MATCH($A8,'Valo FX'!$A:$A,0)),0,IF(LV$1&lt;INDEX('Valo FX'!$R:$R,MATCH($A8,'Valo FX'!$A:$A,0)),INDEX(Base!$U:$U,MATCH($A8,Base!$A:$A,0)),IF(LV$1=INDEX('Valo FX'!$R:$R,MATCH($A8,'Valo FX'!$A:$A,0)),INDEX(Base!$V:$V,MATCH($A8,Base!$A:$A,0)),0)))</f>
        <v>0</v>
      </c>
      <c r="LW8" s="21">
        <f>IF(LW$1&lt;INDEX('Valo FX'!$Q:$Q,MATCH($A8,'Valo FX'!$A:$A,0)),0,IF(LW$1&lt;INDEX('Valo FX'!$R:$R,MATCH($A8,'Valo FX'!$A:$A,0)),INDEX(Base!$U:$U,MATCH($A8,Base!$A:$A,0)),IF(LW$1=INDEX('Valo FX'!$R:$R,MATCH($A8,'Valo FX'!$A:$A,0)),INDEX(Base!$V:$V,MATCH($A8,Base!$A:$A,0)),0)))</f>
        <v>0</v>
      </c>
      <c r="LX8" s="21">
        <f>IF(LX$1&lt;INDEX('Valo FX'!$Q:$Q,MATCH($A8,'Valo FX'!$A:$A,0)),0,IF(LX$1&lt;INDEX('Valo FX'!$R:$R,MATCH($A8,'Valo FX'!$A:$A,0)),INDEX(Base!$U:$U,MATCH($A8,Base!$A:$A,0)),IF(LX$1=INDEX('Valo FX'!$R:$R,MATCH($A8,'Valo FX'!$A:$A,0)),INDEX(Base!$V:$V,MATCH($A8,Base!$A:$A,0)),0)))</f>
        <v>0</v>
      </c>
      <c r="LY8" s="21">
        <f>IF(LY$1&lt;INDEX('Valo FX'!$Q:$Q,MATCH($A8,'Valo FX'!$A:$A,0)),0,IF(LY$1&lt;INDEX('Valo FX'!$R:$R,MATCH($A8,'Valo FX'!$A:$A,0)),INDEX(Base!$U:$U,MATCH($A8,Base!$A:$A,0)),IF(LY$1=INDEX('Valo FX'!$R:$R,MATCH($A8,'Valo FX'!$A:$A,0)),INDEX(Base!$V:$V,MATCH($A8,Base!$A:$A,0)),0)))</f>
        <v>0</v>
      </c>
      <c r="LZ8" s="21">
        <f>IF(LZ$1&lt;INDEX('Valo FX'!$Q:$Q,MATCH($A8,'Valo FX'!$A:$A,0)),0,IF(LZ$1&lt;INDEX('Valo FX'!$R:$R,MATCH($A8,'Valo FX'!$A:$A,0)),INDEX(Base!$U:$U,MATCH($A8,Base!$A:$A,0)),IF(LZ$1=INDEX('Valo FX'!$R:$R,MATCH($A8,'Valo FX'!$A:$A,0)),INDEX(Base!$V:$V,MATCH($A8,Base!$A:$A,0)),0)))</f>
        <v>0</v>
      </c>
      <c r="MA8" s="21">
        <f>IF(MA$1&lt;INDEX('Valo FX'!$Q:$Q,MATCH($A8,'Valo FX'!$A:$A,0)),0,IF(MA$1&lt;INDEX('Valo FX'!$R:$R,MATCH($A8,'Valo FX'!$A:$A,0)),INDEX(Base!$U:$U,MATCH($A8,Base!$A:$A,0)),IF(MA$1=INDEX('Valo FX'!$R:$R,MATCH($A8,'Valo FX'!$A:$A,0)),INDEX(Base!$V:$V,MATCH($A8,Base!$A:$A,0)),0)))</f>
        <v>0</v>
      </c>
      <c r="MB8" s="21">
        <f>IF(MB$1&lt;INDEX('Valo FX'!$Q:$Q,MATCH($A8,'Valo FX'!$A:$A,0)),0,IF(MB$1&lt;INDEX('Valo FX'!$R:$R,MATCH($A8,'Valo FX'!$A:$A,0)),INDEX(Base!$U:$U,MATCH($A8,Base!$A:$A,0)),IF(MB$1=INDEX('Valo FX'!$R:$R,MATCH($A8,'Valo FX'!$A:$A,0)),INDEX(Base!$V:$V,MATCH($A8,Base!$A:$A,0)),0)))</f>
        <v>0</v>
      </c>
      <c r="MC8" s="21">
        <f>IF(MC$1&lt;INDEX('Valo FX'!$Q:$Q,MATCH($A8,'Valo FX'!$A:$A,0)),0,IF(MC$1&lt;INDEX('Valo FX'!$R:$R,MATCH($A8,'Valo FX'!$A:$A,0)),INDEX(Base!$U:$U,MATCH($A8,Base!$A:$A,0)),IF(MC$1=INDEX('Valo FX'!$R:$R,MATCH($A8,'Valo FX'!$A:$A,0)),INDEX(Base!$V:$V,MATCH($A8,Base!$A:$A,0)),0)))</f>
        <v>0</v>
      </c>
      <c r="MD8" s="21">
        <f>IF(MD$1&lt;INDEX('Valo FX'!$Q:$Q,MATCH($A8,'Valo FX'!$A:$A,0)),0,IF(MD$1&lt;INDEX('Valo FX'!$R:$R,MATCH($A8,'Valo FX'!$A:$A,0)),INDEX(Base!$U:$U,MATCH($A8,Base!$A:$A,0)),IF(MD$1=INDEX('Valo FX'!$R:$R,MATCH($A8,'Valo FX'!$A:$A,0)),INDEX(Base!$V:$V,MATCH($A8,Base!$A:$A,0)),0)))</f>
        <v>0</v>
      </c>
      <c r="ME8" s="21">
        <f>IF(ME$1&lt;INDEX('Valo FX'!$Q:$Q,MATCH($A8,'Valo FX'!$A:$A,0)),0,IF(ME$1&lt;INDEX('Valo FX'!$R:$R,MATCH($A8,'Valo FX'!$A:$A,0)),INDEX(Base!$U:$U,MATCH($A8,Base!$A:$A,0)),IF(ME$1=INDEX('Valo FX'!$R:$R,MATCH($A8,'Valo FX'!$A:$A,0)),INDEX(Base!$V:$V,MATCH($A8,Base!$A:$A,0)),0)))</f>
        <v>0</v>
      </c>
      <c r="MF8" s="21">
        <f>IF(MF$1&lt;INDEX('Valo FX'!$Q:$Q,MATCH($A8,'Valo FX'!$A:$A,0)),0,IF(MF$1&lt;INDEX('Valo FX'!$R:$R,MATCH($A8,'Valo FX'!$A:$A,0)),INDEX(Base!$U:$U,MATCH($A8,Base!$A:$A,0)),IF(MF$1=INDEX('Valo FX'!$R:$R,MATCH($A8,'Valo FX'!$A:$A,0)),INDEX(Base!$V:$V,MATCH($A8,Base!$A:$A,0)),0)))</f>
        <v>0</v>
      </c>
      <c r="MG8" s="21">
        <f>IF(MG$1&lt;INDEX('Valo FX'!$Q:$Q,MATCH($A8,'Valo FX'!$A:$A,0)),0,IF(MG$1&lt;INDEX('Valo FX'!$R:$R,MATCH($A8,'Valo FX'!$A:$A,0)),INDEX(Base!$U:$U,MATCH($A8,Base!$A:$A,0)),IF(MG$1=INDEX('Valo FX'!$R:$R,MATCH($A8,'Valo FX'!$A:$A,0)),INDEX(Base!$V:$V,MATCH($A8,Base!$A:$A,0)),0)))</f>
        <v>0</v>
      </c>
      <c r="MH8" s="21">
        <f>IF(MH$1&lt;INDEX('Valo FX'!$Q:$Q,MATCH($A8,'Valo FX'!$A:$A,0)),0,IF(MH$1&lt;INDEX('Valo FX'!$R:$R,MATCH($A8,'Valo FX'!$A:$A,0)),INDEX(Base!$U:$U,MATCH($A8,Base!$A:$A,0)),IF(MH$1=INDEX('Valo FX'!$R:$R,MATCH($A8,'Valo FX'!$A:$A,0)),INDEX(Base!$V:$V,MATCH($A8,Base!$A:$A,0)),0)))</f>
        <v>0</v>
      </c>
      <c r="MI8" s="21">
        <f>IF(MI$1&lt;INDEX('Valo FX'!$Q:$Q,MATCH($A8,'Valo FX'!$A:$A,0)),0,IF(MI$1&lt;INDEX('Valo FX'!$R:$R,MATCH($A8,'Valo FX'!$A:$A,0)),INDEX(Base!$U:$U,MATCH($A8,Base!$A:$A,0)),IF(MI$1=INDEX('Valo FX'!$R:$R,MATCH($A8,'Valo FX'!$A:$A,0)),INDEX(Base!$V:$V,MATCH($A8,Base!$A:$A,0)),0)))</f>
        <v>0</v>
      </c>
      <c r="MJ8" s="21">
        <f>IF(MJ$1&lt;INDEX('Valo FX'!$Q:$Q,MATCH($A8,'Valo FX'!$A:$A,0)),0,IF(MJ$1&lt;INDEX('Valo FX'!$R:$R,MATCH($A8,'Valo FX'!$A:$A,0)),INDEX(Base!$U:$U,MATCH($A8,Base!$A:$A,0)),IF(MJ$1=INDEX('Valo FX'!$R:$R,MATCH($A8,'Valo FX'!$A:$A,0)),INDEX(Base!$V:$V,MATCH($A8,Base!$A:$A,0)),0)))</f>
        <v>0</v>
      </c>
      <c r="MK8" s="21">
        <f>IF(MK$1&lt;INDEX('Valo FX'!$Q:$Q,MATCH($A8,'Valo FX'!$A:$A,0)),0,IF(MK$1&lt;INDEX('Valo FX'!$R:$R,MATCH($A8,'Valo FX'!$A:$A,0)),INDEX(Base!$U:$U,MATCH($A8,Base!$A:$A,0)),IF(MK$1=INDEX('Valo FX'!$R:$R,MATCH($A8,'Valo FX'!$A:$A,0)),INDEX(Base!$V:$V,MATCH($A8,Base!$A:$A,0)),0)))</f>
        <v>0</v>
      </c>
      <c r="ML8" s="21">
        <f>IF(ML$1&lt;INDEX('Valo FX'!$Q:$Q,MATCH($A8,'Valo FX'!$A:$A,0)),0,IF(ML$1&lt;INDEX('Valo FX'!$R:$R,MATCH($A8,'Valo FX'!$A:$A,0)),INDEX(Base!$U:$U,MATCH($A8,Base!$A:$A,0)),IF(ML$1=INDEX('Valo FX'!$R:$R,MATCH($A8,'Valo FX'!$A:$A,0)),INDEX(Base!$V:$V,MATCH($A8,Base!$A:$A,0)),0)))</f>
        <v>0</v>
      </c>
      <c r="MM8" s="21">
        <f>IF(MM$1&lt;INDEX('Valo FX'!$Q:$Q,MATCH($A8,'Valo FX'!$A:$A,0)),0,IF(MM$1&lt;INDEX('Valo FX'!$R:$R,MATCH($A8,'Valo FX'!$A:$A,0)),INDEX(Base!$U:$U,MATCH($A8,Base!$A:$A,0)),IF(MM$1=INDEX('Valo FX'!$R:$R,MATCH($A8,'Valo FX'!$A:$A,0)),INDEX(Base!$V:$V,MATCH($A8,Base!$A:$A,0)),0)))</f>
        <v>0</v>
      </c>
      <c r="MN8" s="21">
        <f>IF(MN$1&lt;INDEX('Valo FX'!$Q:$Q,MATCH($A8,'Valo FX'!$A:$A,0)),0,IF(MN$1&lt;INDEX('Valo FX'!$R:$R,MATCH($A8,'Valo FX'!$A:$A,0)),INDEX(Base!$U:$U,MATCH($A8,Base!$A:$A,0)),IF(MN$1=INDEX('Valo FX'!$R:$R,MATCH($A8,'Valo FX'!$A:$A,0)),INDEX(Base!$V:$V,MATCH($A8,Base!$A:$A,0)),0)))</f>
        <v>0</v>
      </c>
      <c r="MO8" s="21">
        <f>IF(MO$1&lt;INDEX('Valo FX'!$Q:$Q,MATCH($A8,'Valo FX'!$A:$A,0)),0,IF(MO$1&lt;INDEX('Valo FX'!$R:$R,MATCH($A8,'Valo FX'!$A:$A,0)),INDEX(Base!$U:$U,MATCH($A8,Base!$A:$A,0)),IF(MO$1=INDEX('Valo FX'!$R:$R,MATCH($A8,'Valo FX'!$A:$A,0)),INDEX(Base!$V:$V,MATCH($A8,Base!$A:$A,0)),0)))</f>
        <v>0</v>
      </c>
      <c r="MP8" s="21">
        <f>IF(MP$1&lt;INDEX('Valo FX'!$Q:$Q,MATCH($A8,'Valo FX'!$A:$A,0)),0,IF(MP$1&lt;INDEX('Valo FX'!$R:$R,MATCH($A8,'Valo FX'!$A:$A,0)),INDEX(Base!$U:$U,MATCH($A8,Base!$A:$A,0)),IF(MP$1=INDEX('Valo FX'!$R:$R,MATCH($A8,'Valo FX'!$A:$A,0)),INDEX(Base!$V:$V,MATCH($A8,Base!$A:$A,0)),0)))</f>
        <v>0</v>
      </c>
      <c r="MQ8" s="21">
        <f>IF(MQ$1&lt;INDEX('Valo FX'!$Q:$Q,MATCH($A8,'Valo FX'!$A:$A,0)),0,IF(MQ$1&lt;INDEX('Valo FX'!$R:$R,MATCH($A8,'Valo FX'!$A:$A,0)),INDEX(Base!$U:$U,MATCH($A8,Base!$A:$A,0)),IF(MQ$1=INDEX('Valo FX'!$R:$R,MATCH($A8,'Valo FX'!$A:$A,0)),INDEX(Base!$V:$V,MATCH($A8,Base!$A:$A,0)),0)))</f>
        <v>0</v>
      </c>
      <c r="MR8" s="21">
        <f>IF(MR$1&lt;INDEX('Valo FX'!$Q:$Q,MATCH($A8,'Valo FX'!$A:$A,0)),0,IF(MR$1&lt;INDEX('Valo FX'!$R:$R,MATCH($A8,'Valo FX'!$A:$A,0)),INDEX(Base!$U:$U,MATCH($A8,Base!$A:$A,0)),IF(MR$1=INDEX('Valo FX'!$R:$R,MATCH($A8,'Valo FX'!$A:$A,0)),INDEX(Base!$V:$V,MATCH($A8,Base!$A:$A,0)),0)))</f>
        <v>0</v>
      </c>
      <c r="MS8" s="21">
        <f>IF(MS$1&lt;INDEX('Valo FX'!$Q:$Q,MATCH($A8,'Valo FX'!$A:$A,0)),0,IF(MS$1&lt;INDEX('Valo FX'!$R:$R,MATCH($A8,'Valo FX'!$A:$A,0)),INDEX(Base!$U:$U,MATCH($A8,Base!$A:$A,0)),IF(MS$1=INDEX('Valo FX'!$R:$R,MATCH($A8,'Valo FX'!$A:$A,0)),INDEX(Base!$V:$V,MATCH($A8,Base!$A:$A,0)),0)))</f>
        <v>0</v>
      </c>
      <c r="MT8" s="21">
        <f>IF(MT$1&lt;INDEX('Valo FX'!$Q:$Q,MATCH($A8,'Valo FX'!$A:$A,0)),0,IF(MT$1&lt;INDEX('Valo FX'!$R:$R,MATCH($A8,'Valo FX'!$A:$A,0)),INDEX(Base!$U:$U,MATCH($A8,Base!$A:$A,0)),IF(MT$1=INDEX('Valo FX'!$R:$R,MATCH($A8,'Valo FX'!$A:$A,0)),INDEX(Base!$V:$V,MATCH($A8,Base!$A:$A,0)),0)))</f>
        <v>0</v>
      </c>
      <c r="MU8" s="21">
        <f>IF(MU$1&lt;INDEX('Valo FX'!$Q:$Q,MATCH($A8,'Valo FX'!$A:$A,0)),0,IF(MU$1&lt;INDEX('Valo FX'!$R:$R,MATCH($A8,'Valo FX'!$A:$A,0)),INDEX(Base!$U:$U,MATCH($A8,Base!$A:$A,0)),IF(MU$1=INDEX('Valo FX'!$R:$R,MATCH($A8,'Valo FX'!$A:$A,0)),INDEX(Base!$V:$V,MATCH($A8,Base!$A:$A,0)),0)))</f>
        <v>0</v>
      </c>
      <c r="MV8" s="21">
        <f>IF(MV$1&lt;INDEX('Valo FX'!$Q:$Q,MATCH($A8,'Valo FX'!$A:$A,0)),0,IF(MV$1&lt;INDEX('Valo FX'!$R:$R,MATCH($A8,'Valo FX'!$A:$A,0)),INDEX(Base!$U:$U,MATCH($A8,Base!$A:$A,0)),IF(MV$1=INDEX('Valo FX'!$R:$R,MATCH($A8,'Valo FX'!$A:$A,0)),INDEX(Base!$V:$V,MATCH($A8,Base!$A:$A,0)),0)))</f>
        <v>0</v>
      </c>
      <c r="MW8" s="21">
        <f>IF(MW$1&lt;INDEX('Valo FX'!$Q:$Q,MATCH($A8,'Valo FX'!$A:$A,0)),0,IF(MW$1&lt;INDEX('Valo FX'!$R:$R,MATCH($A8,'Valo FX'!$A:$A,0)),INDEX(Base!$U:$U,MATCH($A8,Base!$A:$A,0)),IF(MW$1=INDEX('Valo FX'!$R:$R,MATCH($A8,'Valo FX'!$A:$A,0)),INDEX(Base!$V:$V,MATCH($A8,Base!$A:$A,0)),0)))</f>
        <v>0</v>
      </c>
      <c r="MX8" s="21">
        <f>IF(MX$1&lt;INDEX('Valo FX'!$Q:$Q,MATCH($A8,'Valo FX'!$A:$A,0)),0,IF(MX$1&lt;INDEX('Valo FX'!$R:$R,MATCH($A8,'Valo FX'!$A:$A,0)),INDEX(Base!$U:$U,MATCH($A8,Base!$A:$A,0)),IF(MX$1=INDEX('Valo FX'!$R:$R,MATCH($A8,'Valo FX'!$A:$A,0)),INDEX(Base!$V:$V,MATCH($A8,Base!$A:$A,0)),0)))</f>
        <v>0</v>
      </c>
      <c r="MY8" s="21">
        <f>IF(MY$1&lt;INDEX('Valo FX'!$Q:$Q,MATCH($A8,'Valo FX'!$A:$A,0)),0,IF(MY$1&lt;INDEX('Valo FX'!$R:$R,MATCH($A8,'Valo FX'!$A:$A,0)),INDEX(Base!$U:$U,MATCH($A8,Base!$A:$A,0)),IF(MY$1=INDEX('Valo FX'!$R:$R,MATCH($A8,'Valo FX'!$A:$A,0)),INDEX(Base!$V:$V,MATCH($A8,Base!$A:$A,0)),0)))</f>
        <v>0</v>
      </c>
    </row>
    <row r="9" spans="1:363" x14ac:dyDescent="0.2">
      <c r="A9" s="7">
        <f>+'Valo FX'!A10</f>
        <v>7</v>
      </c>
      <c r="B9" s="58">
        <f>-'Valo FX'!T10</f>
        <v>-1695.5741351396553</v>
      </c>
      <c r="C9" s="21">
        <f>IF(C$1&lt;INDEX('Valo FX'!$Q:$Q,MATCH($A9,'Valo FX'!$A:$A,0)),0,IF(C$1&lt;INDEX('Valo FX'!$R:$R,MATCH($A9,'Valo FX'!$A:$A,0)),INDEX(Base!$U:$U,MATCH($A9,Base!$A:$A,0)),IF(C$1=INDEX('Valo FX'!$R:$R,MATCH($A9,'Valo FX'!$A:$A,0)),INDEX(Base!$V:$V,MATCH($A9,Base!$A:$A,0)),0)))</f>
        <v>0</v>
      </c>
      <c r="D9" s="21">
        <f>IF(D$1&lt;INDEX('Valo FX'!$Q:$Q,MATCH($A9,'Valo FX'!$A:$A,0)),0,IF(D$1&lt;INDEX('Valo FX'!$R:$R,MATCH($A9,'Valo FX'!$A:$A,0)),INDEX(Base!$U:$U,MATCH($A9,Base!$A:$A,0)),IF(D$1=INDEX('Valo FX'!$R:$R,MATCH($A9,'Valo FX'!$A:$A,0)),INDEX(Base!$V:$V,MATCH($A9,Base!$A:$A,0)),0)))</f>
        <v>0</v>
      </c>
      <c r="E9" s="21">
        <f>IF(E$1&lt;INDEX('Valo FX'!$Q:$Q,MATCH($A9,'Valo FX'!$A:$A,0)),0,IF(E$1&lt;INDEX('Valo FX'!$R:$R,MATCH($A9,'Valo FX'!$A:$A,0)),INDEX(Base!$U:$U,MATCH($A9,Base!$A:$A,0)),IF(E$1=INDEX('Valo FX'!$R:$R,MATCH($A9,'Valo FX'!$A:$A,0)),INDEX(Base!$V:$V,MATCH($A9,Base!$A:$A,0)),0)))</f>
        <v>0</v>
      </c>
      <c r="F9" s="21">
        <f>IF(F$1&lt;INDEX('Valo FX'!$Q:$Q,MATCH($A9,'Valo FX'!$A:$A,0)),0,IF(F$1&lt;INDEX('Valo FX'!$R:$R,MATCH($A9,'Valo FX'!$A:$A,0)),INDEX(Base!$U:$U,MATCH($A9,Base!$A:$A,0)),IF(F$1=INDEX('Valo FX'!$R:$R,MATCH($A9,'Valo FX'!$A:$A,0)),INDEX(Base!$V:$V,MATCH($A9,Base!$A:$A,0)),0)))</f>
        <v>0</v>
      </c>
      <c r="G9" s="21">
        <f>IF(G$1&lt;INDEX('Valo FX'!$Q:$Q,MATCH($A9,'Valo FX'!$A:$A,0)),0,IF(G$1&lt;INDEX('Valo FX'!$R:$R,MATCH($A9,'Valo FX'!$A:$A,0)),INDEX(Base!$U:$U,MATCH($A9,Base!$A:$A,0)),IF(G$1=INDEX('Valo FX'!$R:$R,MATCH($A9,'Valo FX'!$A:$A,0)),INDEX(Base!$V:$V,MATCH($A9,Base!$A:$A,0)),0)))</f>
        <v>0</v>
      </c>
      <c r="H9" s="21">
        <f>IF(H$1&lt;INDEX('Valo FX'!$Q:$Q,MATCH($A9,'Valo FX'!$A:$A,0)),0,IF(H$1&lt;INDEX('Valo FX'!$R:$R,MATCH($A9,'Valo FX'!$A:$A,0)),INDEX(Base!$U:$U,MATCH($A9,Base!$A:$A,0)),IF(H$1=INDEX('Valo FX'!$R:$R,MATCH($A9,'Valo FX'!$A:$A,0)),INDEX(Base!$V:$V,MATCH($A9,Base!$A:$A,0)),0)))</f>
        <v>0</v>
      </c>
      <c r="I9" s="21">
        <f>IF(I$1&lt;INDEX('Valo FX'!$Q:$Q,MATCH($A9,'Valo FX'!$A:$A,0)),0,IF(I$1&lt;INDEX('Valo FX'!$R:$R,MATCH($A9,'Valo FX'!$A:$A,0)),INDEX(Base!$U:$U,MATCH($A9,Base!$A:$A,0)),IF(I$1=INDEX('Valo FX'!$R:$R,MATCH($A9,'Valo FX'!$A:$A,0)),INDEX(Base!$V:$V,MATCH($A9,Base!$A:$A,0)),0)))</f>
        <v>11.548933999999999</v>
      </c>
      <c r="J9" s="21">
        <f>IF(J$1&lt;INDEX('Valo FX'!$Q:$Q,MATCH($A9,'Valo FX'!$A:$A,0)),0,IF(J$1&lt;INDEX('Valo FX'!$R:$R,MATCH($A9,'Valo FX'!$A:$A,0)),INDEX(Base!$U:$U,MATCH($A9,Base!$A:$A,0)),IF(J$1=INDEX('Valo FX'!$R:$R,MATCH($A9,'Valo FX'!$A:$A,0)),INDEX(Base!$V:$V,MATCH($A9,Base!$A:$A,0)),0)))</f>
        <v>11.548933999999999</v>
      </c>
      <c r="K9" s="21">
        <f>IF(K$1&lt;INDEX('Valo FX'!$Q:$Q,MATCH($A9,'Valo FX'!$A:$A,0)),0,IF(K$1&lt;INDEX('Valo FX'!$R:$R,MATCH($A9,'Valo FX'!$A:$A,0)),INDEX(Base!$U:$U,MATCH($A9,Base!$A:$A,0)),IF(K$1=INDEX('Valo FX'!$R:$R,MATCH($A9,'Valo FX'!$A:$A,0)),INDEX(Base!$V:$V,MATCH($A9,Base!$A:$A,0)),0)))</f>
        <v>11.548933999999999</v>
      </c>
      <c r="L9" s="21">
        <f>IF(L$1&lt;INDEX('Valo FX'!$Q:$Q,MATCH($A9,'Valo FX'!$A:$A,0)),0,IF(L$1&lt;INDEX('Valo FX'!$R:$R,MATCH($A9,'Valo FX'!$A:$A,0)),INDEX(Base!$U:$U,MATCH($A9,Base!$A:$A,0)),IF(L$1=INDEX('Valo FX'!$R:$R,MATCH($A9,'Valo FX'!$A:$A,0)),INDEX(Base!$V:$V,MATCH($A9,Base!$A:$A,0)),0)))</f>
        <v>11.548933999999999</v>
      </c>
      <c r="M9" s="21">
        <f>IF(M$1&lt;INDEX('Valo FX'!$Q:$Q,MATCH($A9,'Valo FX'!$A:$A,0)),0,IF(M$1&lt;INDEX('Valo FX'!$R:$R,MATCH($A9,'Valo FX'!$A:$A,0)),INDEX(Base!$U:$U,MATCH($A9,Base!$A:$A,0)),IF(M$1=INDEX('Valo FX'!$R:$R,MATCH($A9,'Valo FX'!$A:$A,0)),INDEX(Base!$V:$V,MATCH($A9,Base!$A:$A,0)),0)))</f>
        <v>11.548933999999999</v>
      </c>
      <c r="N9" s="21">
        <f>IF(N$1&lt;INDEX('Valo FX'!$Q:$Q,MATCH($A9,'Valo FX'!$A:$A,0)),0,IF(N$1&lt;INDEX('Valo FX'!$R:$R,MATCH($A9,'Valo FX'!$A:$A,0)),INDEX(Base!$U:$U,MATCH($A9,Base!$A:$A,0)),IF(N$1=INDEX('Valo FX'!$R:$R,MATCH($A9,'Valo FX'!$A:$A,0)),INDEX(Base!$V:$V,MATCH($A9,Base!$A:$A,0)),0)))</f>
        <v>11.548933999999999</v>
      </c>
      <c r="O9" s="21">
        <f>IF(O$1&lt;INDEX('Valo FX'!$Q:$Q,MATCH($A9,'Valo FX'!$A:$A,0)),0,IF(O$1&lt;INDEX('Valo FX'!$R:$R,MATCH($A9,'Valo FX'!$A:$A,0)),INDEX(Base!$U:$U,MATCH($A9,Base!$A:$A,0)),IF(O$1=INDEX('Valo FX'!$R:$R,MATCH($A9,'Valo FX'!$A:$A,0)),INDEX(Base!$V:$V,MATCH($A9,Base!$A:$A,0)),0)))</f>
        <v>11.548933999999999</v>
      </c>
      <c r="P9" s="21">
        <f>IF(P$1&lt;INDEX('Valo FX'!$Q:$Q,MATCH($A9,'Valo FX'!$A:$A,0)),0,IF(P$1&lt;INDEX('Valo FX'!$R:$R,MATCH($A9,'Valo FX'!$A:$A,0)),INDEX(Base!$U:$U,MATCH($A9,Base!$A:$A,0)),IF(P$1=INDEX('Valo FX'!$R:$R,MATCH($A9,'Valo FX'!$A:$A,0)),INDEX(Base!$V:$V,MATCH($A9,Base!$A:$A,0)),0)))</f>
        <v>11.548933999999999</v>
      </c>
      <c r="Q9" s="21">
        <f>IF(Q$1&lt;INDEX('Valo FX'!$Q:$Q,MATCH($A9,'Valo FX'!$A:$A,0)),0,IF(Q$1&lt;INDEX('Valo FX'!$R:$R,MATCH($A9,'Valo FX'!$A:$A,0)),INDEX(Base!$U:$U,MATCH($A9,Base!$A:$A,0)),IF(Q$1=INDEX('Valo FX'!$R:$R,MATCH($A9,'Valo FX'!$A:$A,0)),INDEX(Base!$V:$V,MATCH($A9,Base!$A:$A,0)),0)))</f>
        <v>11.548933999999999</v>
      </c>
      <c r="R9" s="21">
        <f>IF(R$1&lt;INDEX('Valo FX'!$Q:$Q,MATCH($A9,'Valo FX'!$A:$A,0)),0,IF(R$1&lt;INDEX('Valo FX'!$R:$R,MATCH($A9,'Valo FX'!$A:$A,0)),INDEX(Base!$U:$U,MATCH($A9,Base!$A:$A,0)),IF(R$1=INDEX('Valo FX'!$R:$R,MATCH($A9,'Valo FX'!$A:$A,0)),INDEX(Base!$V:$V,MATCH($A9,Base!$A:$A,0)),0)))</f>
        <v>11.548933999999999</v>
      </c>
      <c r="S9" s="21">
        <f>IF(S$1&lt;INDEX('Valo FX'!$Q:$Q,MATCH($A9,'Valo FX'!$A:$A,0)),0,IF(S$1&lt;INDEX('Valo FX'!$R:$R,MATCH($A9,'Valo FX'!$A:$A,0)),INDEX(Base!$U:$U,MATCH($A9,Base!$A:$A,0)),IF(S$1=INDEX('Valo FX'!$R:$R,MATCH($A9,'Valo FX'!$A:$A,0)),INDEX(Base!$V:$V,MATCH($A9,Base!$A:$A,0)),0)))</f>
        <v>11.548933999999999</v>
      </c>
      <c r="T9" s="21">
        <f>IF(T$1&lt;INDEX('Valo FX'!$Q:$Q,MATCH($A9,'Valo FX'!$A:$A,0)),0,IF(T$1&lt;INDEX('Valo FX'!$R:$R,MATCH($A9,'Valo FX'!$A:$A,0)),INDEX(Base!$U:$U,MATCH($A9,Base!$A:$A,0)),IF(T$1=INDEX('Valo FX'!$R:$R,MATCH($A9,'Valo FX'!$A:$A,0)),INDEX(Base!$V:$V,MATCH($A9,Base!$A:$A,0)),0)))</f>
        <v>11.548933999999999</v>
      </c>
      <c r="U9" s="21">
        <f>IF(U$1&lt;INDEX('Valo FX'!$Q:$Q,MATCH($A9,'Valo FX'!$A:$A,0)),0,IF(U$1&lt;INDEX('Valo FX'!$R:$R,MATCH($A9,'Valo FX'!$A:$A,0)),INDEX(Base!$U:$U,MATCH($A9,Base!$A:$A,0)),IF(U$1=INDEX('Valo FX'!$R:$R,MATCH($A9,'Valo FX'!$A:$A,0)),INDEX(Base!$V:$V,MATCH($A9,Base!$A:$A,0)),0)))</f>
        <v>11.548933999999999</v>
      </c>
      <c r="V9" s="21">
        <f>IF(V$1&lt;INDEX('Valo FX'!$Q:$Q,MATCH($A9,'Valo FX'!$A:$A,0)),0,IF(V$1&lt;INDEX('Valo FX'!$R:$R,MATCH($A9,'Valo FX'!$A:$A,0)),INDEX(Base!$U:$U,MATCH($A9,Base!$A:$A,0)),IF(V$1=INDEX('Valo FX'!$R:$R,MATCH($A9,'Valo FX'!$A:$A,0)),INDEX(Base!$V:$V,MATCH($A9,Base!$A:$A,0)),0)))</f>
        <v>11.548933999999999</v>
      </c>
      <c r="W9" s="21">
        <f>IF(W$1&lt;INDEX('Valo FX'!$Q:$Q,MATCH($A9,'Valo FX'!$A:$A,0)),0,IF(W$1&lt;INDEX('Valo FX'!$R:$R,MATCH($A9,'Valo FX'!$A:$A,0)),INDEX(Base!$U:$U,MATCH($A9,Base!$A:$A,0)),IF(W$1=INDEX('Valo FX'!$R:$R,MATCH($A9,'Valo FX'!$A:$A,0)),INDEX(Base!$V:$V,MATCH($A9,Base!$A:$A,0)),0)))</f>
        <v>11.548933999999999</v>
      </c>
      <c r="X9" s="21">
        <f>IF(X$1&lt;INDEX('Valo FX'!$Q:$Q,MATCH($A9,'Valo FX'!$A:$A,0)),0,IF(X$1&lt;INDEX('Valo FX'!$R:$R,MATCH($A9,'Valo FX'!$A:$A,0)),INDEX(Base!$U:$U,MATCH($A9,Base!$A:$A,0)),IF(X$1=INDEX('Valo FX'!$R:$R,MATCH($A9,'Valo FX'!$A:$A,0)),INDEX(Base!$V:$V,MATCH($A9,Base!$A:$A,0)),0)))</f>
        <v>11.548933999999999</v>
      </c>
      <c r="Y9" s="21">
        <f>IF(Y$1&lt;INDEX('Valo FX'!$Q:$Q,MATCH($A9,'Valo FX'!$A:$A,0)),0,IF(Y$1&lt;INDEX('Valo FX'!$R:$R,MATCH($A9,'Valo FX'!$A:$A,0)),INDEX(Base!$U:$U,MATCH($A9,Base!$A:$A,0)),IF(Y$1=INDEX('Valo FX'!$R:$R,MATCH($A9,'Valo FX'!$A:$A,0)),INDEX(Base!$V:$V,MATCH($A9,Base!$A:$A,0)),0)))</f>
        <v>11.548933999999999</v>
      </c>
      <c r="Z9" s="21">
        <f>IF(Z$1&lt;INDEX('Valo FX'!$Q:$Q,MATCH($A9,'Valo FX'!$A:$A,0)),0,IF(Z$1&lt;INDEX('Valo FX'!$R:$R,MATCH($A9,'Valo FX'!$A:$A,0)),INDEX(Base!$U:$U,MATCH($A9,Base!$A:$A,0)),IF(Z$1=INDEX('Valo FX'!$R:$R,MATCH($A9,'Valo FX'!$A:$A,0)),INDEX(Base!$V:$V,MATCH($A9,Base!$A:$A,0)),0)))</f>
        <v>11.548933999999999</v>
      </c>
      <c r="AA9" s="21">
        <f>IF(AA$1&lt;INDEX('Valo FX'!$Q:$Q,MATCH($A9,'Valo FX'!$A:$A,0)),0,IF(AA$1&lt;INDEX('Valo FX'!$R:$R,MATCH($A9,'Valo FX'!$A:$A,0)),INDEX(Base!$U:$U,MATCH($A9,Base!$A:$A,0)),IF(AA$1=INDEX('Valo FX'!$R:$R,MATCH($A9,'Valo FX'!$A:$A,0)),INDEX(Base!$V:$V,MATCH($A9,Base!$A:$A,0)),0)))</f>
        <v>11.548933999999999</v>
      </c>
      <c r="AB9" s="21">
        <f>IF(AB$1&lt;INDEX('Valo FX'!$Q:$Q,MATCH($A9,'Valo FX'!$A:$A,0)),0,IF(AB$1&lt;INDEX('Valo FX'!$R:$R,MATCH($A9,'Valo FX'!$A:$A,0)),INDEX(Base!$U:$U,MATCH($A9,Base!$A:$A,0)),IF(AB$1=INDEX('Valo FX'!$R:$R,MATCH($A9,'Valo FX'!$A:$A,0)),INDEX(Base!$V:$V,MATCH($A9,Base!$A:$A,0)),0)))</f>
        <v>11.548933999999999</v>
      </c>
      <c r="AC9" s="21">
        <f>IF(AC$1&lt;INDEX('Valo FX'!$Q:$Q,MATCH($A9,'Valo FX'!$A:$A,0)),0,IF(AC$1&lt;INDEX('Valo FX'!$R:$R,MATCH($A9,'Valo FX'!$A:$A,0)),INDEX(Base!$U:$U,MATCH($A9,Base!$A:$A,0)),IF(AC$1=INDEX('Valo FX'!$R:$R,MATCH($A9,'Valo FX'!$A:$A,0)),INDEX(Base!$V:$V,MATCH($A9,Base!$A:$A,0)),0)))</f>
        <v>11.548933999999999</v>
      </c>
      <c r="AD9" s="21">
        <f>IF(AD$1&lt;INDEX('Valo FX'!$Q:$Q,MATCH($A9,'Valo FX'!$A:$A,0)),0,IF(AD$1&lt;INDEX('Valo FX'!$R:$R,MATCH($A9,'Valo FX'!$A:$A,0)),INDEX(Base!$U:$U,MATCH($A9,Base!$A:$A,0)),IF(AD$1=INDEX('Valo FX'!$R:$R,MATCH($A9,'Valo FX'!$A:$A,0)),INDEX(Base!$V:$V,MATCH($A9,Base!$A:$A,0)),0)))</f>
        <v>11.548933999999999</v>
      </c>
      <c r="AE9" s="21">
        <f>IF(AE$1&lt;INDEX('Valo FX'!$Q:$Q,MATCH($A9,'Valo FX'!$A:$A,0)),0,IF(AE$1&lt;INDEX('Valo FX'!$R:$R,MATCH($A9,'Valo FX'!$A:$A,0)),INDEX(Base!$U:$U,MATCH($A9,Base!$A:$A,0)),IF(AE$1=INDEX('Valo FX'!$R:$R,MATCH($A9,'Valo FX'!$A:$A,0)),INDEX(Base!$V:$V,MATCH($A9,Base!$A:$A,0)),0)))</f>
        <v>11.548933999999999</v>
      </c>
      <c r="AF9" s="21">
        <f>IF(AF$1&lt;INDEX('Valo FX'!$Q:$Q,MATCH($A9,'Valo FX'!$A:$A,0)),0,IF(AF$1&lt;INDEX('Valo FX'!$R:$R,MATCH($A9,'Valo FX'!$A:$A,0)),INDEX(Base!$U:$U,MATCH($A9,Base!$A:$A,0)),IF(AF$1=INDEX('Valo FX'!$R:$R,MATCH($A9,'Valo FX'!$A:$A,0)),INDEX(Base!$V:$V,MATCH($A9,Base!$A:$A,0)),0)))</f>
        <v>11.548933999999999</v>
      </c>
      <c r="AG9" s="21">
        <f>IF(AG$1&lt;INDEX('Valo FX'!$Q:$Q,MATCH($A9,'Valo FX'!$A:$A,0)),0,IF(AG$1&lt;INDEX('Valo FX'!$R:$R,MATCH($A9,'Valo FX'!$A:$A,0)),INDEX(Base!$U:$U,MATCH($A9,Base!$A:$A,0)),IF(AG$1=INDEX('Valo FX'!$R:$R,MATCH($A9,'Valo FX'!$A:$A,0)),INDEX(Base!$V:$V,MATCH($A9,Base!$A:$A,0)),0)))</f>
        <v>11.548933999999999</v>
      </c>
      <c r="AH9" s="21">
        <f>IF(AH$1&lt;INDEX('Valo FX'!$Q:$Q,MATCH($A9,'Valo FX'!$A:$A,0)),0,IF(AH$1&lt;INDEX('Valo FX'!$R:$R,MATCH($A9,'Valo FX'!$A:$A,0)),INDEX(Base!$U:$U,MATCH($A9,Base!$A:$A,0)),IF(AH$1=INDEX('Valo FX'!$R:$R,MATCH($A9,'Valo FX'!$A:$A,0)),INDEX(Base!$V:$V,MATCH($A9,Base!$A:$A,0)),0)))</f>
        <v>11.548933999999999</v>
      </c>
      <c r="AI9" s="21">
        <f>IF(AI$1&lt;INDEX('Valo FX'!$Q:$Q,MATCH($A9,'Valo FX'!$A:$A,0)),0,IF(AI$1&lt;INDEX('Valo FX'!$R:$R,MATCH($A9,'Valo FX'!$A:$A,0)),INDEX(Base!$U:$U,MATCH($A9,Base!$A:$A,0)),IF(AI$1=INDEX('Valo FX'!$R:$R,MATCH($A9,'Valo FX'!$A:$A,0)),INDEX(Base!$V:$V,MATCH($A9,Base!$A:$A,0)),0)))</f>
        <v>11.548933999999999</v>
      </c>
      <c r="AJ9" s="21">
        <f>IF(AJ$1&lt;INDEX('Valo FX'!$Q:$Q,MATCH($A9,'Valo FX'!$A:$A,0)),0,IF(AJ$1&lt;INDEX('Valo FX'!$R:$R,MATCH($A9,'Valo FX'!$A:$A,0)),INDEX(Base!$U:$U,MATCH($A9,Base!$A:$A,0)),IF(AJ$1=INDEX('Valo FX'!$R:$R,MATCH($A9,'Valo FX'!$A:$A,0)),INDEX(Base!$V:$V,MATCH($A9,Base!$A:$A,0)),0)))</f>
        <v>11.548933999999999</v>
      </c>
      <c r="AK9" s="21">
        <f>IF(AK$1&lt;INDEX('Valo FX'!$Q:$Q,MATCH($A9,'Valo FX'!$A:$A,0)),0,IF(AK$1&lt;INDEX('Valo FX'!$R:$R,MATCH($A9,'Valo FX'!$A:$A,0)),INDEX(Base!$U:$U,MATCH($A9,Base!$A:$A,0)),IF(AK$1=INDEX('Valo FX'!$R:$R,MATCH($A9,'Valo FX'!$A:$A,0)),INDEX(Base!$V:$V,MATCH($A9,Base!$A:$A,0)),0)))</f>
        <v>11.548933999999999</v>
      </c>
      <c r="AL9" s="21">
        <f>IF(AL$1&lt;INDEX('Valo FX'!$Q:$Q,MATCH($A9,'Valo FX'!$A:$A,0)),0,IF(AL$1&lt;INDEX('Valo FX'!$R:$R,MATCH($A9,'Valo FX'!$A:$A,0)),INDEX(Base!$U:$U,MATCH($A9,Base!$A:$A,0)),IF(AL$1=INDEX('Valo FX'!$R:$R,MATCH($A9,'Valo FX'!$A:$A,0)),INDEX(Base!$V:$V,MATCH($A9,Base!$A:$A,0)),0)))</f>
        <v>11.548933999999999</v>
      </c>
      <c r="AM9" s="21">
        <f>IF(AM$1&lt;INDEX('Valo FX'!$Q:$Q,MATCH($A9,'Valo FX'!$A:$A,0)),0,IF(AM$1&lt;INDEX('Valo FX'!$R:$R,MATCH($A9,'Valo FX'!$A:$A,0)),INDEX(Base!$U:$U,MATCH($A9,Base!$A:$A,0)),IF(AM$1=INDEX('Valo FX'!$R:$R,MATCH($A9,'Valo FX'!$A:$A,0)),INDEX(Base!$V:$V,MATCH($A9,Base!$A:$A,0)),0)))</f>
        <v>11.548933999999999</v>
      </c>
      <c r="AN9" s="21">
        <f>IF(AN$1&lt;INDEX('Valo FX'!$Q:$Q,MATCH($A9,'Valo FX'!$A:$A,0)),0,IF(AN$1&lt;INDEX('Valo FX'!$R:$R,MATCH($A9,'Valo FX'!$A:$A,0)),INDEX(Base!$U:$U,MATCH($A9,Base!$A:$A,0)),IF(AN$1=INDEX('Valo FX'!$R:$R,MATCH($A9,'Valo FX'!$A:$A,0)),INDEX(Base!$V:$V,MATCH($A9,Base!$A:$A,0)),0)))</f>
        <v>11.548933999999999</v>
      </c>
      <c r="AO9" s="21">
        <f>IF(AO$1&lt;INDEX('Valo FX'!$Q:$Q,MATCH($A9,'Valo FX'!$A:$A,0)),0,IF(AO$1&lt;INDEX('Valo FX'!$R:$R,MATCH($A9,'Valo FX'!$A:$A,0)),INDEX(Base!$U:$U,MATCH($A9,Base!$A:$A,0)),IF(AO$1=INDEX('Valo FX'!$R:$R,MATCH($A9,'Valo FX'!$A:$A,0)),INDEX(Base!$V:$V,MATCH($A9,Base!$A:$A,0)),0)))</f>
        <v>11.548933999999999</v>
      </c>
      <c r="AP9" s="21">
        <f>IF(AP$1&lt;INDEX('Valo FX'!$Q:$Q,MATCH($A9,'Valo FX'!$A:$A,0)),0,IF(AP$1&lt;INDEX('Valo FX'!$R:$R,MATCH($A9,'Valo FX'!$A:$A,0)),INDEX(Base!$U:$U,MATCH($A9,Base!$A:$A,0)),IF(AP$1=INDEX('Valo FX'!$R:$R,MATCH($A9,'Valo FX'!$A:$A,0)),INDEX(Base!$V:$V,MATCH($A9,Base!$A:$A,0)),0)))</f>
        <v>11.548933999999999</v>
      </c>
      <c r="AQ9" s="21">
        <f>IF(AQ$1&lt;INDEX('Valo FX'!$Q:$Q,MATCH($A9,'Valo FX'!$A:$A,0)),0,IF(AQ$1&lt;INDEX('Valo FX'!$R:$R,MATCH($A9,'Valo FX'!$A:$A,0)),INDEX(Base!$U:$U,MATCH($A9,Base!$A:$A,0)),IF(AQ$1=INDEX('Valo FX'!$R:$R,MATCH($A9,'Valo FX'!$A:$A,0)),INDEX(Base!$V:$V,MATCH($A9,Base!$A:$A,0)),0)))</f>
        <v>11.548933999999999</v>
      </c>
      <c r="AR9" s="21">
        <f>IF(AR$1&lt;INDEX('Valo FX'!$Q:$Q,MATCH($A9,'Valo FX'!$A:$A,0)),0,IF(AR$1&lt;INDEX('Valo FX'!$R:$R,MATCH($A9,'Valo FX'!$A:$A,0)),INDEX(Base!$U:$U,MATCH($A9,Base!$A:$A,0)),IF(AR$1=INDEX('Valo FX'!$R:$R,MATCH($A9,'Valo FX'!$A:$A,0)),INDEX(Base!$V:$V,MATCH($A9,Base!$A:$A,0)),0)))</f>
        <v>11.548933999999999</v>
      </c>
      <c r="AS9" s="21">
        <f>IF(AS$1&lt;INDEX('Valo FX'!$Q:$Q,MATCH($A9,'Valo FX'!$A:$A,0)),0,IF(AS$1&lt;INDEX('Valo FX'!$R:$R,MATCH($A9,'Valo FX'!$A:$A,0)),INDEX(Base!$U:$U,MATCH($A9,Base!$A:$A,0)),IF(AS$1=INDEX('Valo FX'!$R:$R,MATCH($A9,'Valo FX'!$A:$A,0)),INDEX(Base!$V:$V,MATCH($A9,Base!$A:$A,0)),0)))</f>
        <v>11.548933999999999</v>
      </c>
      <c r="AT9" s="21">
        <f>IF(AT$1&lt;INDEX('Valo FX'!$Q:$Q,MATCH($A9,'Valo FX'!$A:$A,0)),0,IF(AT$1&lt;INDEX('Valo FX'!$R:$R,MATCH($A9,'Valo FX'!$A:$A,0)),INDEX(Base!$U:$U,MATCH($A9,Base!$A:$A,0)),IF(AT$1=INDEX('Valo FX'!$R:$R,MATCH($A9,'Valo FX'!$A:$A,0)),INDEX(Base!$V:$V,MATCH($A9,Base!$A:$A,0)),0)))</f>
        <v>11.548933999999999</v>
      </c>
      <c r="AU9" s="21">
        <f>IF(AU$1&lt;INDEX('Valo FX'!$Q:$Q,MATCH($A9,'Valo FX'!$A:$A,0)),0,IF(AU$1&lt;INDEX('Valo FX'!$R:$R,MATCH($A9,'Valo FX'!$A:$A,0)),INDEX(Base!$U:$U,MATCH($A9,Base!$A:$A,0)),IF(AU$1=INDEX('Valo FX'!$R:$R,MATCH($A9,'Valo FX'!$A:$A,0)),INDEX(Base!$V:$V,MATCH($A9,Base!$A:$A,0)),0)))</f>
        <v>11.548933999999999</v>
      </c>
      <c r="AV9" s="21">
        <f>IF(AV$1&lt;INDEX('Valo FX'!$Q:$Q,MATCH($A9,'Valo FX'!$A:$A,0)),0,IF(AV$1&lt;INDEX('Valo FX'!$R:$R,MATCH($A9,'Valo FX'!$A:$A,0)),INDEX(Base!$U:$U,MATCH($A9,Base!$A:$A,0)),IF(AV$1=INDEX('Valo FX'!$R:$R,MATCH($A9,'Valo FX'!$A:$A,0)),INDEX(Base!$V:$V,MATCH($A9,Base!$A:$A,0)),0)))</f>
        <v>11.548933999999999</v>
      </c>
      <c r="AW9" s="21">
        <f>IF(AW$1&lt;INDEX('Valo FX'!$Q:$Q,MATCH($A9,'Valo FX'!$A:$A,0)),0,IF(AW$1&lt;INDEX('Valo FX'!$R:$R,MATCH($A9,'Valo FX'!$A:$A,0)),INDEX(Base!$U:$U,MATCH($A9,Base!$A:$A,0)),IF(AW$1=INDEX('Valo FX'!$R:$R,MATCH($A9,'Valo FX'!$A:$A,0)),INDEX(Base!$V:$V,MATCH($A9,Base!$A:$A,0)),0)))</f>
        <v>11.548933999999999</v>
      </c>
      <c r="AX9" s="21">
        <f>IF(AX$1&lt;INDEX('Valo FX'!$Q:$Q,MATCH($A9,'Valo FX'!$A:$A,0)),0,IF(AX$1&lt;INDEX('Valo FX'!$R:$R,MATCH($A9,'Valo FX'!$A:$A,0)),INDEX(Base!$U:$U,MATCH($A9,Base!$A:$A,0)),IF(AX$1=INDEX('Valo FX'!$R:$R,MATCH($A9,'Valo FX'!$A:$A,0)),INDEX(Base!$V:$V,MATCH($A9,Base!$A:$A,0)),0)))</f>
        <v>11.548933999999999</v>
      </c>
      <c r="AY9" s="21">
        <f>IF(AY$1&lt;INDEX('Valo FX'!$Q:$Q,MATCH($A9,'Valo FX'!$A:$A,0)),0,IF(AY$1&lt;INDEX('Valo FX'!$R:$R,MATCH($A9,'Valo FX'!$A:$A,0)),INDEX(Base!$U:$U,MATCH($A9,Base!$A:$A,0)),IF(AY$1=INDEX('Valo FX'!$R:$R,MATCH($A9,'Valo FX'!$A:$A,0)),INDEX(Base!$V:$V,MATCH($A9,Base!$A:$A,0)),0)))</f>
        <v>11.548933999999999</v>
      </c>
      <c r="AZ9" s="21">
        <f>IF(AZ$1&lt;INDEX('Valo FX'!$Q:$Q,MATCH($A9,'Valo FX'!$A:$A,0)),0,IF(AZ$1&lt;INDEX('Valo FX'!$R:$R,MATCH($A9,'Valo FX'!$A:$A,0)),INDEX(Base!$U:$U,MATCH($A9,Base!$A:$A,0)),IF(AZ$1=INDEX('Valo FX'!$R:$R,MATCH($A9,'Valo FX'!$A:$A,0)),INDEX(Base!$V:$V,MATCH($A9,Base!$A:$A,0)),0)))</f>
        <v>11.548933999999999</v>
      </c>
      <c r="BA9" s="21">
        <f>IF(BA$1&lt;INDEX('Valo FX'!$Q:$Q,MATCH($A9,'Valo FX'!$A:$A,0)),0,IF(BA$1&lt;INDEX('Valo FX'!$R:$R,MATCH($A9,'Valo FX'!$A:$A,0)),INDEX(Base!$U:$U,MATCH($A9,Base!$A:$A,0)),IF(BA$1=INDEX('Valo FX'!$R:$R,MATCH($A9,'Valo FX'!$A:$A,0)),INDEX(Base!$V:$V,MATCH($A9,Base!$A:$A,0)),0)))</f>
        <v>11.548933999999999</v>
      </c>
      <c r="BB9" s="21">
        <f>IF(BB$1&lt;INDEX('Valo FX'!$Q:$Q,MATCH($A9,'Valo FX'!$A:$A,0)),0,IF(BB$1&lt;INDEX('Valo FX'!$R:$R,MATCH($A9,'Valo FX'!$A:$A,0)),INDEX(Base!$U:$U,MATCH($A9,Base!$A:$A,0)),IF(BB$1=INDEX('Valo FX'!$R:$R,MATCH($A9,'Valo FX'!$A:$A,0)),INDEX(Base!$V:$V,MATCH($A9,Base!$A:$A,0)),0)))</f>
        <v>11.548933999999999</v>
      </c>
      <c r="BC9" s="21">
        <f>IF(BC$1&lt;INDEX('Valo FX'!$Q:$Q,MATCH($A9,'Valo FX'!$A:$A,0)),0,IF(BC$1&lt;INDEX('Valo FX'!$R:$R,MATCH($A9,'Valo FX'!$A:$A,0)),INDEX(Base!$U:$U,MATCH($A9,Base!$A:$A,0)),IF(BC$1=INDEX('Valo FX'!$R:$R,MATCH($A9,'Valo FX'!$A:$A,0)),INDEX(Base!$V:$V,MATCH($A9,Base!$A:$A,0)),0)))</f>
        <v>11.548933999999999</v>
      </c>
      <c r="BD9" s="21">
        <f>IF(BD$1&lt;INDEX('Valo FX'!$Q:$Q,MATCH($A9,'Valo FX'!$A:$A,0)),0,IF(BD$1&lt;INDEX('Valo FX'!$R:$R,MATCH($A9,'Valo FX'!$A:$A,0)),INDEX(Base!$U:$U,MATCH($A9,Base!$A:$A,0)),IF(BD$1=INDEX('Valo FX'!$R:$R,MATCH($A9,'Valo FX'!$A:$A,0)),INDEX(Base!$V:$V,MATCH($A9,Base!$A:$A,0)),0)))</f>
        <v>11.548933999999999</v>
      </c>
      <c r="BE9" s="21">
        <f>IF(BE$1&lt;INDEX('Valo FX'!$Q:$Q,MATCH($A9,'Valo FX'!$A:$A,0)),0,IF(BE$1&lt;INDEX('Valo FX'!$R:$R,MATCH($A9,'Valo FX'!$A:$A,0)),INDEX(Base!$U:$U,MATCH($A9,Base!$A:$A,0)),IF(BE$1=INDEX('Valo FX'!$R:$R,MATCH($A9,'Valo FX'!$A:$A,0)),INDEX(Base!$V:$V,MATCH($A9,Base!$A:$A,0)),0)))</f>
        <v>11.548933999999999</v>
      </c>
      <c r="BF9" s="21">
        <f>IF(BF$1&lt;INDEX('Valo FX'!$Q:$Q,MATCH($A9,'Valo FX'!$A:$A,0)),0,IF(BF$1&lt;INDEX('Valo FX'!$R:$R,MATCH($A9,'Valo FX'!$A:$A,0)),INDEX(Base!$U:$U,MATCH($A9,Base!$A:$A,0)),IF(BF$1=INDEX('Valo FX'!$R:$R,MATCH($A9,'Valo FX'!$A:$A,0)),INDEX(Base!$V:$V,MATCH($A9,Base!$A:$A,0)),0)))</f>
        <v>11.548933999999999</v>
      </c>
      <c r="BG9" s="21">
        <f>IF(BG$1&lt;INDEX('Valo FX'!$Q:$Q,MATCH($A9,'Valo FX'!$A:$A,0)),0,IF(BG$1&lt;INDEX('Valo FX'!$R:$R,MATCH($A9,'Valo FX'!$A:$A,0)),INDEX(Base!$U:$U,MATCH($A9,Base!$A:$A,0)),IF(BG$1=INDEX('Valo FX'!$R:$R,MATCH($A9,'Valo FX'!$A:$A,0)),INDEX(Base!$V:$V,MATCH($A9,Base!$A:$A,0)),0)))</f>
        <v>11.548933999999999</v>
      </c>
      <c r="BH9" s="21">
        <f>IF(BH$1&lt;INDEX('Valo FX'!$Q:$Q,MATCH($A9,'Valo FX'!$A:$A,0)),0,IF(BH$1&lt;INDEX('Valo FX'!$R:$R,MATCH($A9,'Valo FX'!$A:$A,0)),INDEX(Base!$U:$U,MATCH($A9,Base!$A:$A,0)),IF(BH$1=INDEX('Valo FX'!$R:$R,MATCH($A9,'Valo FX'!$A:$A,0)),INDEX(Base!$V:$V,MATCH($A9,Base!$A:$A,0)),0)))</f>
        <v>11.548933999999999</v>
      </c>
      <c r="BI9" s="21">
        <f>IF(BI$1&lt;INDEX('Valo FX'!$Q:$Q,MATCH($A9,'Valo FX'!$A:$A,0)),0,IF(BI$1&lt;INDEX('Valo FX'!$R:$R,MATCH($A9,'Valo FX'!$A:$A,0)),INDEX(Base!$U:$U,MATCH($A9,Base!$A:$A,0)),IF(BI$1=INDEX('Valo FX'!$R:$R,MATCH($A9,'Valo FX'!$A:$A,0)),INDEX(Base!$V:$V,MATCH($A9,Base!$A:$A,0)),0)))</f>
        <v>11.548933999999999</v>
      </c>
      <c r="BJ9" s="21">
        <f>IF(BJ$1&lt;INDEX('Valo FX'!$Q:$Q,MATCH($A9,'Valo FX'!$A:$A,0)),0,IF(BJ$1&lt;INDEX('Valo FX'!$R:$R,MATCH($A9,'Valo FX'!$A:$A,0)),INDEX(Base!$U:$U,MATCH($A9,Base!$A:$A,0)),IF(BJ$1=INDEX('Valo FX'!$R:$R,MATCH($A9,'Valo FX'!$A:$A,0)),INDEX(Base!$V:$V,MATCH($A9,Base!$A:$A,0)),0)))</f>
        <v>11.548933999999999</v>
      </c>
      <c r="BK9" s="21">
        <f>IF(BK$1&lt;INDEX('Valo FX'!$Q:$Q,MATCH($A9,'Valo FX'!$A:$A,0)),0,IF(BK$1&lt;INDEX('Valo FX'!$R:$R,MATCH($A9,'Valo FX'!$A:$A,0)),INDEX(Base!$U:$U,MATCH($A9,Base!$A:$A,0)),IF(BK$1=INDEX('Valo FX'!$R:$R,MATCH($A9,'Valo FX'!$A:$A,0)),INDEX(Base!$V:$V,MATCH($A9,Base!$A:$A,0)),0)))</f>
        <v>11.548933999999999</v>
      </c>
      <c r="BL9" s="21">
        <f>IF(BL$1&lt;INDEX('Valo FX'!$Q:$Q,MATCH($A9,'Valo FX'!$A:$A,0)),0,IF(BL$1&lt;INDEX('Valo FX'!$R:$R,MATCH($A9,'Valo FX'!$A:$A,0)),INDEX(Base!$U:$U,MATCH($A9,Base!$A:$A,0)),IF(BL$1=INDEX('Valo FX'!$R:$R,MATCH($A9,'Valo FX'!$A:$A,0)),INDEX(Base!$V:$V,MATCH($A9,Base!$A:$A,0)),0)))</f>
        <v>11.548933999999999</v>
      </c>
      <c r="BM9" s="21">
        <f>IF(BM$1&lt;INDEX('Valo FX'!$Q:$Q,MATCH($A9,'Valo FX'!$A:$A,0)),0,IF(BM$1&lt;INDEX('Valo FX'!$R:$R,MATCH($A9,'Valo FX'!$A:$A,0)),INDEX(Base!$U:$U,MATCH($A9,Base!$A:$A,0)),IF(BM$1=INDEX('Valo FX'!$R:$R,MATCH($A9,'Valo FX'!$A:$A,0)),INDEX(Base!$V:$V,MATCH($A9,Base!$A:$A,0)),0)))</f>
        <v>11.548933999999999</v>
      </c>
      <c r="BN9" s="21">
        <f>IF(BN$1&lt;INDEX('Valo FX'!$Q:$Q,MATCH($A9,'Valo FX'!$A:$A,0)),0,IF(BN$1&lt;INDEX('Valo FX'!$R:$R,MATCH($A9,'Valo FX'!$A:$A,0)),INDEX(Base!$U:$U,MATCH($A9,Base!$A:$A,0)),IF(BN$1=INDEX('Valo FX'!$R:$R,MATCH($A9,'Valo FX'!$A:$A,0)),INDEX(Base!$V:$V,MATCH($A9,Base!$A:$A,0)),0)))</f>
        <v>11.548933999999999</v>
      </c>
      <c r="BO9" s="21">
        <f>IF(BO$1&lt;INDEX('Valo FX'!$Q:$Q,MATCH($A9,'Valo FX'!$A:$A,0)),0,IF(BO$1&lt;INDEX('Valo FX'!$R:$R,MATCH($A9,'Valo FX'!$A:$A,0)),INDEX(Base!$U:$U,MATCH($A9,Base!$A:$A,0)),IF(BO$1=INDEX('Valo FX'!$R:$R,MATCH($A9,'Valo FX'!$A:$A,0)),INDEX(Base!$V:$V,MATCH($A9,Base!$A:$A,0)),0)))</f>
        <v>11.548933999999999</v>
      </c>
      <c r="BP9" s="21">
        <f>IF(BP$1&lt;INDEX('Valo FX'!$Q:$Q,MATCH($A9,'Valo FX'!$A:$A,0)),0,IF(BP$1&lt;INDEX('Valo FX'!$R:$R,MATCH($A9,'Valo FX'!$A:$A,0)),INDEX(Base!$U:$U,MATCH($A9,Base!$A:$A,0)),IF(BP$1=INDEX('Valo FX'!$R:$R,MATCH($A9,'Valo FX'!$A:$A,0)),INDEX(Base!$V:$V,MATCH($A9,Base!$A:$A,0)),0)))</f>
        <v>11.548933999999999</v>
      </c>
      <c r="BQ9" s="21">
        <f>IF(BQ$1&lt;INDEX('Valo FX'!$Q:$Q,MATCH($A9,'Valo FX'!$A:$A,0)),0,IF(BQ$1&lt;INDEX('Valo FX'!$R:$R,MATCH($A9,'Valo FX'!$A:$A,0)),INDEX(Base!$U:$U,MATCH($A9,Base!$A:$A,0)),IF(BQ$1=INDEX('Valo FX'!$R:$R,MATCH($A9,'Valo FX'!$A:$A,0)),INDEX(Base!$V:$V,MATCH($A9,Base!$A:$A,0)),0)))</f>
        <v>11.548933999999999</v>
      </c>
      <c r="BR9" s="21">
        <f>IF(BR$1&lt;INDEX('Valo FX'!$Q:$Q,MATCH($A9,'Valo FX'!$A:$A,0)),0,IF(BR$1&lt;INDEX('Valo FX'!$R:$R,MATCH($A9,'Valo FX'!$A:$A,0)),INDEX(Base!$U:$U,MATCH($A9,Base!$A:$A,0)),IF(BR$1=INDEX('Valo FX'!$R:$R,MATCH($A9,'Valo FX'!$A:$A,0)),INDEX(Base!$V:$V,MATCH($A9,Base!$A:$A,0)),0)))</f>
        <v>11.548933999999999</v>
      </c>
      <c r="BS9" s="21">
        <f>IF(BS$1&lt;INDEX('Valo FX'!$Q:$Q,MATCH($A9,'Valo FX'!$A:$A,0)),0,IF(BS$1&lt;INDEX('Valo FX'!$R:$R,MATCH($A9,'Valo FX'!$A:$A,0)),INDEX(Base!$U:$U,MATCH($A9,Base!$A:$A,0)),IF(BS$1=INDEX('Valo FX'!$R:$R,MATCH($A9,'Valo FX'!$A:$A,0)),INDEX(Base!$V:$V,MATCH($A9,Base!$A:$A,0)),0)))</f>
        <v>11.548933999999999</v>
      </c>
      <c r="BT9" s="21">
        <f>IF(BT$1&lt;INDEX('Valo FX'!$Q:$Q,MATCH($A9,'Valo FX'!$A:$A,0)),0,IF(BT$1&lt;INDEX('Valo FX'!$R:$R,MATCH($A9,'Valo FX'!$A:$A,0)),INDEX(Base!$U:$U,MATCH($A9,Base!$A:$A,0)),IF(BT$1=INDEX('Valo FX'!$R:$R,MATCH($A9,'Valo FX'!$A:$A,0)),INDEX(Base!$V:$V,MATCH($A9,Base!$A:$A,0)),0)))</f>
        <v>11.548933999999999</v>
      </c>
      <c r="BU9" s="21">
        <f>IF(BU$1&lt;INDEX('Valo FX'!$Q:$Q,MATCH($A9,'Valo FX'!$A:$A,0)),0,IF(BU$1&lt;INDEX('Valo FX'!$R:$R,MATCH($A9,'Valo FX'!$A:$A,0)),INDEX(Base!$U:$U,MATCH($A9,Base!$A:$A,0)),IF(BU$1=INDEX('Valo FX'!$R:$R,MATCH($A9,'Valo FX'!$A:$A,0)),INDEX(Base!$V:$V,MATCH($A9,Base!$A:$A,0)),0)))</f>
        <v>11.548933999999999</v>
      </c>
      <c r="BV9" s="21">
        <f>IF(BV$1&lt;INDEX('Valo FX'!$Q:$Q,MATCH($A9,'Valo FX'!$A:$A,0)),0,IF(BV$1&lt;INDEX('Valo FX'!$R:$R,MATCH($A9,'Valo FX'!$A:$A,0)),INDEX(Base!$U:$U,MATCH($A9,Base!$A:$A,0)),IF(BV$1=INDEX('Valo FX'!$R:$R,MATCH($A9,'Valo FX'!$A:$A,0)),INDEX(Base!$V:$V,MATCH($A9,Base!$A:$A,0)),0)))</f>
        <v>11.548933999999999</v>
      </c>
      <c r="BW9" s="21">
        <f>IF(BW$1&lt;INDEX('Valo FX'!$Q:$Q,MATCH($A9,'Valo FX'!$A:$A,0)),0,IF(BW$1&lt;INDEX('Valo FX'!$R:$R,MATCH($A9,'Valo FX'!$A:$A,0)),INDEX(Base!$U:$U,MATCH($A9,Base!$A:$A,0)),IF(BW$1=INDEX('Valo FX'!$R:$R,MATCH($A9,'Valo FX'!$A:$A,0)),INDEX(Base!$V:$V,MATCH($A9,Base!$A:$A,0)),0)))</f>
        <v>11.548933999999999</v>
      </c>
      <c r="BX9" s="21">
        <f>IF(BX$1&lt;INDEX('Valo FX'!$Q:$Q,MATCH($A9,'Valo FX'!$A:$A,0)),0,IF(BX$1&lt;INDEX('Valo FX'!$R:$R,MATCH($A9,'Valo FX'!$A:$A,0)),INDEX(Base!$U:$U,MATCH($A9,Base!$A:$A,0)),IF(BX$1=INDEX('Valo FX'!$R:$R,MATCH($A9,'Valo FX'!$A:$A,0)),INDEX(Base!$V:$V,MATCH($A9,Base!$A:$A,0)),0)))</f>
        <v>11.548933999999999</v>
      </c>
      <c r="BY9" s="21">
        <f>IF(BY$1&lt;INDEX('Valo FX'!$Q:$Q,MATCH($A9,'Valo FX'!$A:$A,0)),0,IF(BY$1&lt;INDEX('Valo FX'!$R:$R,MATCH($A9,'Valo FX'!$A:$A,0)),INDEX(Base!$U:$U,MATCH($A9,Base!$A:$A,0)),IF(BY$1=INDEX('Valo FX'!$R:$R,MATCH($A9,'Valo FX'!$A:$A,0)),INDEX(Base!$V:$V,MATCH($A9,Base!$A:$A,0)),0)))</f>
        <v>11.548933999999999</v>
      </c>
      <c r="BZ9" s="21">
        <f>IF(BZ$1&lt;INDEX('Valo FX'!$Q:$Q,MATCH($A9,'Valo FX'!$A:$A,0)),0,IF(BZ$1&lt;INDEX('Valo FX'!$R:$R,MATCH($A9,'Valo FX'!$A:$A,0)),INDEX(Base!$U:$U,MATCH($A9,Base!$A:$A,0)),IF(BZ$1=INDEX('Valo FX'!$R:$R,MATCH($A9,'Valo FX'!$A:$A,0)),INDEX(Base!$V:$V,MATCH($A9,Base!$A:$A,0)),0)))</f>
        <v>11.548933999999999</v>
      </c>
      <c r="CA9" s="21">
        <f>IF(CA$1&lt;INDEX('Valo FX'!$Q:$Q,MATCH($A9,'Valo FX'!$A:$A,0)),0,IF(CA$1&lt;INDEX('Valo FX'!$R:$R,MATCH($A9,'Valo FX'!$A:$A,0)),INDEX(Base!$U:$U,MATCH($A9,Base!$A:$A,0)),IF(CA$1=INDEX('Valo FX'!$R:$R,MATCH($A9,'Valo FX'!$A:$A,0)),INDEX(Base!$V:$V,MATCH($A9,Base!$A:$A,0)),0)))</f>
        <v>11.548933999999999</v>
      </c>
      <c r="CB9" s="21">
        <f>IF(CB$1&lt;INDEX('Valo FX'!$Q:$Q,MATCH($A9,'Valo FX'!$A:$A,0)),0,IF(CB$1&lt;INDEX('Valo FX'!$R:$R,MATCH($A9,'Valo FX'!$A:$A,0)),INDEX(Base!$U:$U,MATCH($A9,Base!$A:$A,0)),IF(CB$1=INDEX('Valo FX'!$R:$R,MATCH($A9,'Valo FX'!$A:$A,0)),INDEX(Base!$V:$V,MATCH($A9,Base!$A:$A,0)),0)))</f>
        <v>11.548933999999999</v>
      </c>
      <c r="CC9" s="21">
        <f>IF(CC$1&lt;INDEX('Valo FX'!$Q:$Q,MATCH($A9,'Valo FX'!$A:$A,0)),0,IF(CC$1&lt;INDEX('Valo FX'!$R:$R,MATCH($A9,'Valo FX'!$A:$A,0)),INDEX(Base!$U:$U,MATCH($A9,Base!$A:$A,0)),IF(CC$1=INDEX('Valo FX'!$R:$R,MATCH($A9,'Valo FX'!$A:$A,0)),INDEX(Base!$V:$V,MATCH($A9,Base!$A:$A,0)),0)))</f>
        <v>11.548933999999999</v>
      </c>
      <c r="CD9" s="21">
        <f>IF(CD$1&lt;INDEX('Valo FX'!$Q:$Q,MATCH($A9,'Valo FX'!$A:$A,0)),0,IF(CD$1&lt;INDEX('Valo FX'!$R:$R,MATCH($A9,'Valo FX'!$A:$A,0)),INDEX(Base!$U:$U,MATCH($A9,Base!$A:$A,0)),IF(CD$1=INDEX('Valo FX'!$R:$R,MATCH($A9,'Valo FX'!$A:$A,0)),INDEX(Base!$V:$V,MATCH($A9,Base!$A:$A,0)),0)))</f>
        <v>11.548933999999999</v>
      </c>
      <c r="CE9" s="21">
        <f>IF(CE$1&lt;INDEX('Valo FX'!$Q:$Q,MATCH($A9,'Valo FX'!$A:$A,0)),0,IF(CE$1&lt;INDEX('Valo FX'!$R:$R,MATCH($A9,'Valo FX'!$A:$A,0)),INDEX(Base!$U:$U,MATCH($A9,Base!$A:$A,0)),IF(CE$1=INDEX('Valo FX'!$R:$R,MATCH($A9,'Valo FX'!$A:$A,0)),INDEX(Base!$V:$V,MATCH($A9,Base!$A:$A,0)),0)))</f>
        <v>11.548933999999999</v>
      </c>
      <c r="CF9" s="21">
        <f>IF(CF$1&lt;INDEX('Valo FX'!$Q:$Q,MATCH($A9,'Valo FX'!$A:$A,0)),0,IF(CF$1&lt;INDEX('Valo FX'!$R:$R,MATCH($A9,'Valo FX'!$A:$A,0)),INDEX(Base!$U:$U,MATCH($A9,Base!$A:$A,0)),IF(CF$1=INDEX('Valo FX'!$R:$R,MATCH($A9,'Valo FX'!$A:$A,0)),INDEX(Base!$V:$V,MATCH($A9,Base!$A:$A,0)),0)))</f>
        <v>11.548933999999999</v>
      </c>
      <c r="CG9" s="21">
        <f>IF(CG$1&lt;INDEX('Valo FX'!$Q:$Q,MATCH($A9,'Valo FX'!$A:$A,0)),0,IF(CG$1&lt;INDEX('Valo FX'!$R:$R,MATCH($A9,'Valo FX'!$A:$A,0)),INDEX(Base!$U:$U,MATCH($A9,Base!$A:$A,0)),IF(CG$1=INDEX('Valo FX'!$R:$R,MATCH($A9,'Valo FX'!$A:$A,0)),INDEX(Base!$V:$V,MATCH($A9,Base!$A:$A,0)),0)))</f>
        <v>11.548933999999999</v>
      </c>
      <c r="CH9" s="21">
        <f>IF(CH$1&lt;INDEX('Valo FX'!$Q:$Q,MATCH($A9,'Valo FX'!$A:$A,0)),0,IF(CH$1&lt;INDEX('Valo FX'!$R:$R,MATCH($A9,'Valo FX'!$A:$A,0)),INDEX(Base!$U:$U,MATCH($A9,Base!$A:$A,0)),IF(CH$1=INDEX('Valo FX'!$R:$R,MATCH($A9,'Valo FX'!$A:$A,0)),INDEX(Base!$V:$V,MATCH($A9,Base!$A:$A,0)),0)))</f>
        <v>11.548933999999999</v>
      </c>
      <c r="CI9" s="21">
        <f>IF(CI$1&lt;INDEX('Valo FX'!$Q:$Q,MATCH($A9,'Valo FX'!$A:$A,0)),0,IF(CI$1&lt;INDEX('Valo FX'!$R:$R,MATCH($A9,'Valo FX'!$A:$A,0)),INDEX(Base!$U:$U,MATCH($A9,Base!$A:$A,0)),IF(CI$1=INDEX('Valo FX'!$R:$R,MATCH($A9,'Valo FX'!$A:$A,0)),INDEX(Base!$V:$V,MATCH($A9,Base!$A:$A,0)),0)))</f>
        <v>11.548933999999999</v>
      </c>
      <c r="CJ9" s="21">
        <f>IF(CJ$1&lt;INDEX('Valo FX'!$Q:$Q,MATCH($A9,'Valo FX'!$A:$A,0)),0,IF(CJ$1&lt;INDEX('Valo FX'!$R:$R,MATCH($A9,'Valo FX'!$A:$A,0)),INDEX(Base!$U:$U,MATCH($A9,Base!$A:$A,0)),IF(CJ$1=INDEX('Valo FX'!$R:$R,MATCH($A9,'Valo FX'!$A:$A,0)),INDEX(Base!$V:$V,MATCH($A9,Base!$A:$A,0)),0)))</f>
        <v>11.548933999999999</v>
      </c>
      <c r="CK9" s="21">
        <f>IF(CK$1&lt;INDEX('Valo FX'!$Q:$Q,MATCH($A9,'Valo FX'!$A:$A,0)),0,IF(CK$1&lt;INDEX('Valo FX'!$R:$R,MATCH($A9,'Valo FX'!$A:$A,0)),INDEX(Base!$U:$U,MATCH($A9,Base!$A:$A,0)),IF(CK$1=INDEX('Valo FX'!$R:$R,MATCH($A9,'Valo FX'!$A:$A,0)),INDEX(Base!$V:$V,MATCH($A9,Base!$A:$A,0)),0)))</f>
        <v>11.548933999999999</v>
      </c>
      <c r="CL9" s="21">
        <f>IF(CL$1&lt;INDEX('Valo FX'!$Q:$Q,MATCH($A9,'Valo FX'!$A:$A,0)),0,IF(CL$1&lt;INDEX('Valo FX'!$R:$R,MATCH($A9,'Valo FX'!$A:$A,0)),INDEX(Base!$U:$U,MATCH($A9,Base!$A:$A,0)),IF(CL$1=INDEX('Valo FX'!$R:$R,MATCH($A9,'Valo FX'!$A:$A,0)),INDEX(Base!$V:$V,MATCH($A9,Base!$A:$A,0)),0)))</f>
        <v>11.548933999999999</v>
      </c>
      <c r="CM9" s="21">
        <f>IF(CM$1&lt;INDEX('Valo FX'!$Q:$Q,MATCH($A9,'Valo FX'!$A:$A,0)),0,IF(CM$1&lt;INDEX('Valo FX'!$R:$R,MATCH($A9,'Valo FX'!$A:$A,0)),INDEX(Base!$U:$U,MATCH($A9,Base!$A:$A,0)),IF(CM$1=INDEX('Valo FX'!$R:$R,MATCH($A9,'Valo FX'!$A:$A,0)),INDEX(Base!$V:$V,MATCH($A9,Base!$A:$A,0)),0)))</f>
        <v>11.548933999999999</v>
      </c>
      <c r="CN9" s="21">
        <f>IF(CN$1&lt;INDEX('Valo FX'!$Q:$Q,MATCH($A9,'Valo FX'!$A:$A,0)),0,IF(CN$1&lt;INDEX('Valo FX'!$R:$R,MATCH($A9,'Valo FX'!$A:$A,0)),INDEX(Base!$U:$U,MATCH($A9,Base!$A:$A,0)),IF(CN$1=INDEX('Valo FX'!$R:$R,MATCH($A9,'Valo FX'!$A:$A,0)),INDEX(Base!$V:$V,MATCH($A9,Base!$A:$A,0)),0)))</f>
        <v>11.548933999999999</v>
      </c>
      <c r="CO9" s="21">
        <f>IF(CO$1&lt;INDEX('Valo FX'!$Q:$Q,MATCH($A9,'Valo FX'!$A:$A,0)),0,IF(CO$1&lt;INDEX('Valo FX'!$R:$R,MATCH($A9,'Valo FX'!$A:$A,0)),INDEX(Base!$U:$U,MATCH($A9,Base!$A:$A,0)),IF(CO$1=INDEX('Valo FX'!$R:$R,MATCH($A9,'Valo FX'!$A:$A,0)),INDEX(Base!$V:$V,MATCH($A9,Base!$A:$A,0)),0)))</f>
        <v>11.548933999999999</v>
      </c>
      <c r="CP9" s="21">
        <f>IF(CP$1&lt;INDEX('Valo FX'!$Q:$Q,MATCH($A9,'Valo FX'!$A:$A,0)),0,IF(CP$1&lt;INDEX('Valo FX'!$R:$R,MATCH($A9,'Valo FX'!$A:$A,0)),INDEX(Base!$U:$U,MATCH($A9,Base!$A:$A,0)),IF(CP$1=INDEX('Valo FX'!$R:$R,MATCH($A9,'Valo FX'!$A:$A,0)),INDEX(Base!$V:$V,MATCH($A9,Base!$A:$A,0)),0)))</f>
        <v>11.548933999999999</v>
      </c>
      <c r="CQ9" s="21">
        <f>IF(CQ$1&lt;INDEX('Valo FX'!$Q:$Q,MATCH($A9,'Valo FX'!$A:$A,0)),0,IF(CQ$1&lt;INDEX('Valo FX'!$R:$R,MATCH($A9,'Valo FX'!$A:$A,0)),INDEX(Base!$U:$U,MATCH($A9,Base!$A:$A,0)),IF(CQ$1=INDEX('Valo FX'!$R:$R,MATCH($A9,'Valo FX'!$A:$A,0)),INDEX(Base!$V:$V,MATCH($A9,Base!$A:$A,0)),0)))</f>
        <v>11.548933999999999</v>
      </c>
      <c r="CR9" s="21">
        <f>IF(CR$1&lt;INDEX('Valo FX'!$Q:$Q,MATCH($A9,'Valo FX'!$A:$A,0)),0,IF(CR$1&lt;INDEX('Valo FX'!$R:$R,MATCH($A9,'Valo FX'!$A:$A,0)),INDEX(Base!$U:$U,MATCH($A9,Base!$A:$A,0)),IF(CR$1=INDEX('Valo FX'!$R:$R,MATCH($A9,'Valo FX'!$A:$A,0)),INDEX(Base!$V:$V,MATCH($A9,Base!$A:$A,0)),0)))</f>
        <v>11.548933999999999</v>
      </c>
      <c r="CS9" s="21">
        <f>IF(CS$1&lt;INDEX('Valo FX'!$Q:$Q,MATCH($A9,'Valo FX'!$A:$A,0)),0,IF(CS$1&lt;INDEX('Valo FX'!$R:$R,MATCH($A9,'Valo FX'!$A:$A,0)),INDEX(Base!$U:$U,MATCH($A9,Base!$A:$A,0)),IF(CS$1=INDEX('Valo FX'!$R:$R,MATCH($A9,'Valo FX'!$A:$A,0)),INDEX(Base!$V:$V,MATCH($A9,Base!$A:$A,0)),0)))</f>
        <v>11.548933999999999</v>
      </c>
      <c r="CT9" s="21">
        <f>IF(CT$1&lt;INDEX('Valo FX'!$Q:$Q,MATCH($A9,'Valo FX'!$A:$A,0)),0,IF(CT$1&lt;INDEX('Valo FX'!$R:$R,MATCH($A9,'Valo FX'!$A:$A,0)),INDEX(Base!$U:$U,MATCH($A9,Base!$A:$A,0)),IF(CT$1=INDEX('Valo FX'!$R:$R,MATCH($A9,'Valo FX'!$A:$A,0)),INDEX(Base!$V:$V,MATCH($A9,Base!$A:$A,0)),0)))</f>
        <v>11.548933999999999</v>
      </c>
      <c r="CU9" s="21">
        <f>IF(CU$1&lt;INDEX('Valo FX'!$Q:$Q,MATCH($A9,'Valo FX'!$A:$A,0)),0,IF(CU$1&lt;INDEX('Valo FX'!$R:$R,MATCH($A9,'Valo FX'!$A:$A,0)),INDEX(Base!$U:$U,MATCH($A9,Base!$A:$A,0)),IF(CU$1=INDEX('Valo FX'!$R:$R,MATCH($A9,'Valo FX'!$A:$A,0)),INDEX(Base!$V:$V,MATCH($A9,Base!$A:$A,0)),0)))</f>
        <v>11.548933999999999</v>
      </c>
      <c r="CV9" s="21">
        <f>IF(CV$1&lt;INDEX('Valo FX'!$Q:$Q,MATCH($A9,'Valo FX'!$A:$A,0)),0,IF(CV$1&lt;INDEX('Valo FX'!$R:$R,MATCH($A9,'Valo FX'!$A:$A,0)),INDEX(Base!$U:$U,MATCH($A9,Base!$A:$A,0)),IF(CV$1=INDEX('Valo FX'!$R:$R,MATCH($A9,'Valo FX'!$A:$A,0)),INDEX(Base!$V:$V,MATCH($A9,Base!$A:$A,0)),0)))</f>
        <v>11.548933999999999</v>
      </c>
      <c r="CW9" s="21">
        <f>IF(CW$1&lt;INDEX('Valo FX'!$Q:$Q,MATCH($A9,'Valo FX'!$A:$A,0)),0,IF(CW$1&lt;INDEX('Valo FX'!$R:$R,MATCH($A9,'Valo FX'!$A:$A,0)),INDEX(Base!$U:$U,MATCH($A9,Base!$A:$A,0)),IF(CW$1=INDEX('Valo FX'!$R:$R,MATCH($A9,'Valo FX'!$A:$A,0)),INDEX(Base!$V:$V,MATCH($A9,Base!$A:$A,0)),0)))</f>
        <v>11.548933999999999</v>
      </c>
      <c r="CX9" s="21">
        <f>IF(CX$1&lt;INDEX('Valo FX'!$Q:$Q,MATCH($A9,'Valo FX'!$A:$A,0)),0,IF(CX$1&lt;INDEX('Valo FX'!$R:$R,MATCH($A9,'Valo FX'!$A:$A,0)),INDEX(Base!$U:$U,MATCH($A9,Base!$A:$A,0)),IF(CX$1=INDEX('Valo FX'!$R:$R,MATCH($A9,'Valo FX'!$A:$A,0)),INDEX(Base!$V:$V,MATCH($A9,Base!$A:$A,0)),0)))</f>
        <v>11.548933999999999</v>
      </c>
      <c r="CY9" s="21">
        <f>IF(CY$1&lt;INDEX('Valo FX'!$Q:$Q,MATCH($A9,'Valo FX'!$A:$A,0)),0,IF(CY$1&lt;INDEX('Valo FX'!$R:$R,MATCH($A9,'Valo FX'!$A:$A,0)),INDEX(Base!$U:$U,MATCH($A9,Base!$A:$A,0)),IF(CY$1=INDEX('Valo FX'!$R:$R,MATCH($A9,'Valo FX'!$A:$A,0)),INDEX(Base!$V:$V,MATCH($A9,Base!$A:$A,0)),0)))</f>
        <v>11.548933999999999</v>
      </c>
      <c r="CZ9" s="21">
        <f>IF(CZ$1&lt;INDEX('Valo FX'!$Q:$Q,MATCH($A9,'Valo FX'!$A:$A,0)),0,IF(CZ$1&lt;INDEX('Valo FX'!$R:$R,MATCH($A9,'Valo FX'!$A:$A,0)),INDEX(Base!$U:$U,MATCH($A9,Base!$A:$A,0)),IF(CZ$1=INDEX('Valo FX'!$R:$R,MATCH($A9,'Valo FX'!$A:$A,0)),INDEX(Base!$V:$V,MATCH($A9,Base!$A:$A,0)),0)))</f>
        <v>11.548933999999999</v>
      </c>
      <c r="DA9" s="21">
        <f>IF(DA$1&lt;INDEX('Valo FX'!$Q:$Q,MATCH($A9,'Valo FX'!$A:$A,0)),0,IF(DA$1&lt;INDEX('Valo FX'!$R:$R,MATCH($A9,'Valo FX'!$A:$A,0)),INDEX(Base!$U:$U,MATCH($A9,Base!$A:$A,0)),IF(DA$1=INDEX('Valo FX'!$R:$R,MATCH($A9,'Valo FX'!$A:$A,0)),INDEX(Base!$V:$V,MATCH($A9,Base!$A:$A,0)),0)))</f>
        <v>11.548933999999999</v>
      </c>
      <c r="DB9" s="21">
        <f>IF(DB$1&lt;INDEX('Valo FX'!$Q:$Q,MATCH($A9,'Valo FX'!$A:$A,0)),0,IF(DB$1&lt;INDEX('Valo FX'!$R:$R,MATCH($A9,'Valo FX'!$A:$A,0)),INDEX(Base!$U:$U,MATCH($A9,Base!$A:$A,0)),IF(DB$1=INDEX('Valo FX'!$R:$R,MATCH($A9,'Valo FX'!$A:$A,0)),INDEX(Base!$V:$V,MATCH($A9,Base!$A:$A,0)),0)))</f>
        <v>11.548933999999999</v>
      </c>
      <c r="DC9" s="21">
        <f>IF(DC$1&lt;INDEX('Valo FX'!$Q:$Q,MATCH($A9,'Valo FX'!$A:$A,0)),0,IF(DC$1&lt;INDEX('Valo FX'!$R:$R,MATCH($A9,'Valo FX'!$A:$A,0)),INDEX(Base!$U:$U,MATCH($A9,Base!$A:$A,0)),IF(DC$1=INDEX('Valo FX'!$R:$R,MATCH($A9,'Valo FX'!$A:$A,0)),INDEX(Base!$V:$V,MATCH($A9,Base!$A:$A,0)),0)))</f>
        <v>11.548933999999999</v>
      </c>
      <c r="DD9" s="21">
        <f>IF(DD$1&lt;INDEX('Valo FX'!$Q:$Q,MATCH($A9,'Valo FX'!$A:$A,0)),0,IF(DD$1&lt;INDEX('Valo FX'!$R:$R,MATCH($A9,'Valo FX'!$A:$A,0)),INDEX(Base!$U:$U,MATCH($A9,Base!$A:$A,0)),IF(DD$1=INDEX('Valo FX'!$R:$R,MATCH($A9,'Valo FX'!$A:$A,0)),INDEX(Base!$V:$V,MATCH($A9,Base!$A:$A,0)),0)))</f>
        <v>11.548933999999999</v>
      </c>
      <c r="DE9" s="21">
        <f>IF(DE$1&lt;INDEX('Valo FX'!$Q:$Q,MATCH($A9,'Valo FX'!$A:$A,0)),0,IF(DE$1&lt;INDEX('Valo FX'!$R:$R,MATCH($A9,'Valo FX'!$A:$A,0)),INDEX(Base!$U:$U,MATCH($A9,Base!$A:$A,0)),IF(DE$1=INDEX('Valo FX'!$R:$R,MATCH($A9,'Valo FX'!$A:$A,0)),INDEX(Base!$V:$V,MATCH($A9,Base!$A:$A,0)),0)))</f>
        <v>11.548933999999999</v>
      </c>
      <c r="DF9" s="21">
        <f>IF(DF$1&lt;INDEX('Valo FX'!$Q:$Q,MATCH($A9,'Valo FX'!$A:$A,0)),0,IF(DF$1&lt;INDEX('Valo FX'!$R:$R,MATCH($A9,'Valo FX'!$A:$A,0)),INDEX(Base!$U:$U,MATCH($A9,Base!$A:$A,0)),IF(DF$1=INDEX('Valo FX'!$R:$R,MATCH($A9,'Valo FX'!$A:$A,0)),INDEX(Base!$V:$V,MATCH($A9,Base!$A:$A,0)),0)))</f>
        <v>11.548933999999999</v>
      </c>
      <c r="DG9" s="21">
        <f>IF(DG$1&lt;INDEX('Valo FX'!$Q:$Q,MATCH($A9,'Valo FX'!$A:$A,0)),0,IF(DG$1&lt;INDEX('Valo FX'!$R:$R,MATCH($A9,'Valo FX'!$A:$A,0)),INDEX(Base!$U:$U,MATCH($A9,Base!$A:$A,0)),IF(DG$1=INDEX('Valo FX'!$R:$R,MATCH($A9,'Valo FX'!$A:$A,0)),INDEX(Base!$V:$V,MATCH($A9,Base!$A:$A,0)),0)))</f>
        <v>11.548933999999999</v>
      </c>
      <c r="DH9" s="21">
        <f>IF(DH$1&lt;INDEX('Valo FX'!$Q:$Q,MATCH($A9,'Valo FX'!$A:$A,0)),0,IF(DH$1&lt;INDEX('Valo FX'!$R:$R,MATCH($A9,'Valo FX'!$A:$A,0)),INDEX(Base!$U:$U,MATCH($A9,Base!$A:$A,0)),IF(DH$1=INDEX('Valo FX'!$R:$R,MATCH($A9,'Valo FX'!$A:$A,0)),INDEX(Base!$V:$V,MATCH($A9,Base!$A:$A,0)),0)))</f>
        <v>11.548933999999999</v>
      </c>
      <c r="DI9" s="21">
        <f>IF(DI$1&lt;INDEX('Valo FX'!$Q:$Q,MATCH($A9,'Valo FX'!$A:$A,0)),0,IF(DI$1&lt;INDEX('Valo FX'!$R:$R,MATCH($A9,'Valo FX'!$A:$A,0)),INDEX(Base!$U:$U,MATCH($A9,Base!$A:$A,0)),IF(DI$1=INDEX('Valo FX'!$R:$R,MATCH($A9,'Valo FX'!$A:$A,0)),INDEX(Base!$V:$V,MATCH($A9,Base!$A:$A,0)),0)))</f>
        <v>11.548933999999999</v>
      </c>
      <c r="DJ9" s="21">
        <f>IF(DJ$1&lt;INDEX('Valo FX'!$Q:$Q,MATCH($A9,'Valo FX'!$A:$A,0)),0,IF(DJ$1&lt;INDEX('Valo FX'!$R:$R,MATCH($A9,'Valo FX'!$A:$A,0)),INDEX(Base!$U:$U,MATCH($A9,Base!$A:$A,0)),IF(DJ$1=INDEX('Valo FX'!$R:$R,MATCH($A9,'Valo FX'!$A:$A,0)),INDEX(Base!$V:$V,MATCH($A9,Base!$A:$A,0)),0)))</f>
        <v>11.548933999999999</v>
      </c>
      <c r="DK9" s="21">
        <f>IF(DK$1&lt;INDEX('Valo FX'!$Q:$Q,MATCH($A9,'Valo FX'!$A:$A,0)),0,IF(DK$1&lt;INDEX('Valo FX'!$R:$R,MATCH($A9,'Valo FX'!$A:$A,0)),INDEX(Base!$U:$U,MATCH($A9,Base!$A:$A,0)),IF(DK$1=INDEX('Valo FX'!$R:$R,MATCH($A9,'Valo FX'!$A:$A,0)),INDEX(Base!$V:$V,MATCH($A9,Base!$A:$A,0)),0)))</f>
        <v>11.548933999999999</v>
      </c>
      <c r="DL9" s="21">
        <f>IF(DL$1&lt;INDEX('Valo FX'!$Q:$Q,MATCH($A9,'Valo FX'!$A:$A,0)),0,IF(DL$1&lt;INDEX('Valo FX'!$R:$R,MATCH($A9,'Valo FX'!$A:$A,0)),INDEX(Base!$U:$U,MATCH($A9,Base!$A:$A,0)),IF(DL$1=INDEX('Valo FX'!$R:$R,MATCH($A9,'Valo FX'!$A:$A,0)),INDEX(Base!$V:$V,MATCH($A9,Base!$A:$A,0)),0)))</f>
        <v>11.548933999999999</v>
      </c>
      <c r="DM9" s="21">
        <f>IF(DM$1&lt;INDEX('Valo FX'!$Q:$Q,MATCH($A9,'Valo FX'!$A:$A,0)),0,IF(DM$1&lt;INDEX('Valo FX'!$R:$R,MATCH($A9,'Valo FX'!$A:$A,0)),INDEX(Base!$U:$U,MATCH($A9,Base!$A:$A,0)),IF(DM$1=INDEX('Valo FX'!$R:$R,MATCH($A9,'Valo FX'!$A:$A,0)),INDEX(Base!$V:$V,MATCH($A9,Base!$A:$A,0)),0)))</f>
        <v>11.548933999999999</v>
      </c>
      <c r="DN9" s="21">
        <f>IF(DN$1&lt;INDEX('Valo FX'!$Q:$Q,MATCH($A9,'Valo FX'!$A:$A,0)),0,IF(DN$1&lt;INDEX('Valo FX'!$R:$R,MATCH($A9,'Valo FX'!$A:$A,0)),INDEX(Base!$U:$U,MATCH($A9,Base!$A:$A,0)),IF(DN$1=INDEX('Valo FX'!$R:$R,MATCH($A9,'Valo FX'!$A:$A,0)),INDEX(Base!$V:$V,MATCH($A9,Base!$A:$A,0)),0)))</f>
        <v>11.548933999999999</v>
      </c>
      <c r="DO9" s="21">
        <f>IF(DO$1&lt;INDEX('Valo FX'!$Q:$Q,MATCH($A9,'Valo FX'!$A:$A,0)),0,IF(DO$1&lt;INDEX('Valo FX'!$R:$R,MATCH($A9,'Valo FX'!$A:$A,0)),INDEX(Base!$U:$U,MATCH($A9,Base!$A:$A,0)),IF(DO$1=INDEX('Valo FX'!$R:$R,MATCH($A9,'Valo FX'!$A:$A,0)),INDEX(Base!$V:$V,MATCH($A9,Base!$A:$A,0)),0)))</f>
        <v>11.548933999999999</v>
      </c>
      <c r="DP9" s="21">
        <f>IF(DP$1&lt;INDEX('Valo FX'!$Q:$Q,MATCH($A9,'Valo FX'!$A:$A,0)),0,IF(DP$1&lt;INDEX('Valo FX'!$R:$R,MATCH($A9,'Valo FX'!$A:$A,0)),INDEX(Base!$U:$U,MATCH($A9,Base!$A:$A,0)),IF(DP$1=INDEX('Valo FX'!$R:$R,MATCH($A9,'Valo FX'!$A:$A,0)),INDEX(Base!$V:$V,MATCH($A9,Base!$A:$A,0)),0)))</f>
        <v>11.548933999999999</v>
      </c>
      <c r="DQ9" s="21">
        <f>IF(DQ$1&lt;INDEX('Valo FX'!$Q:$Q,MATCH($A9,'Valo FX'!$A:$A,0)),0,IF(DQ$1&lt;INDEX('Valo FX'!$R:$R,MATCH($A9,'Valo FX'!$A:$A,0)),INDEX(Base!$U:$U,MATCH($A9,Base!$A:$A,0)),IF(DQ$1=INDEX('Valo FX'!$R:$R,MATCH($A9,'Valo FX'!$A:$A,0)),INDEX(Base!$V:$V,MATCH($A9,Base!$A:$A,0)),0)))</f>
        <v>11.548933999999999</v>
      </c>
      <c r="DR9" s="21">
        <f>IF(DR$1&lt;INDEX('Valo FX'!$Q:$Q,MATCH($A9,'Valo FX'!$A:$A,0)),0,IF(DR$1&lt;INDEX('Valo FX'!$R:$R,MATCH($A9,'Valo FX'!$A:$A,0)),INDEX(Base!$U:$U,MATCH($A9,Base!$A:$A,0)),IF(DR$1=INDEX('Valo FX'!$R:$R,MATCH($A9,'Valo FX'!$A:$A,0)),INDEX(Base!$V:$V,MATCH($A9,Base!$A:$A,0)),0)))</f>
        <v>11.548933999999999</v>
      </c>
      <c r="DS9" s="21">
        <f>IF(DS$1&lt;INDEX('Valo FX'!$Q:$Q,MATCH($A9,'Valo FX'!$A:$A,0)),0,IF(DS$1&lt;INDEX('Valo FX'!$R:$R,MATCH($A9,'Valo FX'!$A:$A,0)),INDEX(Base!$U:$U,MATCH($A9,Base!$A:$A,0)),IF(DS$1=INDEX('Valo FX'!$R:$R,MATCH($A9,'Valo FX'!$A:$A,0)),INDEX(Base!$V:$V,MATCH($A9,Base!$A:$A,0)),0)))</f>
        <v>11.548933999999999</v>
      </c>
      <c r="DT9" s="21">
        <f>IF(DT$1&lt;INDEX('Valo FX'!$Q:$Q,MATCH($A9,'Valo FX'!$A:$A,0)),0,IF(DT$1&lt;INDEX('Valo FX'!$R:$R,MATCH($A9,'Valo FX'!$A:$A,0)),INDEX(Base!$U:$U,MATCH($A9,Base!$A:$A,0)),IF(DT$1=INDEX('Valo FX'!$R:$R,MATCH($A9,'Valo FX'!$A:$A,0)),INDEX(Base!$V:$V,MATCH($A9,Base!$A:$A,0)),0)))</f>
        <v>11.548933999999999</v>
      </c>
      <c r="DU9" s="21">
        <f>IF(DU$1&lt;INDEX('Valo FX'!$Q:$Q,MATCH($A9,'Valo FX'!$A:$A,0)),0,IF(DU$1&lt;INDEX('Valo FX'!$R:$R,MATCH($A9,'Valo FX'!$A:$A,0)),INDEX(Base!$U:$U,MATCH($A9,Base!$A:$A,0)),IF(DU$1=INDEX('Valo FX'!$R:$R,MATCH($A9,'Valo FX'!$A:$A,0)),INDEX(Base!$V:$V,MATCH($A9,Base!$A:$A,0)),0)))</f>
        <v>11.548933999999999</v>
      </c>
      <c r="DV9" s="21">
        <f>IF(DV$1&lt;INDEX('Valo FX'!$Q:$Q,MATCH($A9,'Valo FX'!$A:$A,0)),0,IF(DV$1&lt;INDEX('Valo FX'!$R:$R,MATCH($A9,'Valo FX'!$A:$A,0)),INDEX(Base!$U:$U,MATCH($A9,Base!$A:$A,0)),IF(DV$1=INDEX('Valo FX'!$R:$R,MATCH($A9,'Valo FX'!$A:$A,0)),INDEX(Base!$V:$V,MATCH($A9,Base!$A:$A,0)),0)))</f>
        <v>11.548933999999999</v>
      </c>
      <c r="DW9" s="21">
        <f>IF(DW$1&lt;INDEX('Valo FX'!$Q:$Q,MATCH($A9,'Valo FX'!$A:$A,0)),0,IF(DW$1&lt;INDEX('Valo FX'!$R:$R,MATCH($A9,'Valo FX'!$A:$A,0)),INDEX(Base!$U:$U,MATCH($A9,Base!$A:$A,0)),IF(DW$1=INDEX('Valo FX'!$R:$R,MATCH($A9,'Valo FX'!$A:$A,0)),INDEX(Base!$V:$V,MATCH($A9,Base!$A:$A,0)),0)))</f>
        <v>11.548933999999999</v>
      </c>
      <c r="DX9" s="21">
        <f>IF(DX$1&lt;INDEX('Valo FX'!$Q:$Q,MATCH($A9,'Valo FX'!$A:$A,0)),0,IF(DX$1&lt;INDEX('Valo FX'!$R:$R,MATCH($A9,'Valo FX'!$A:$A,0)),INDEX(Base!$U:$U,MATCH($A9,Base!$A:$A,0)),IF(DX$1=INDEX('Valo FX'!$R:$R,MATCH($A9,'Valo FX'!$A:$A,0)),INDEX(Base!$V:$V,MATCH($A9,Base!$A:$A,0)),0)))</f>
        <v>11.548933999999999</v>
      </c>
      <c r="DY9" s="21">
        <f>IF(DY$1&lt;INDEX('Valo FX'!$Q:$Q,MATCH($A9,'Valo FX'!$A:$A,0)),0,IF(DY$1&lt;INDEX('Valo FX'!$R:$R,MATCH($A9,'Valo FX'!$A:$A,0)),INDEX(Base!$U:$U,MATCH($A9,Base!$A:$A,0)),IF(DY$1=INDEX('Valo FX'!$R:$R,MATCH($A9,'Valo FX'!$A:$A,0)),INDEX(Base!$V:$V,MATCH($A9,Base!$A:$A,0)),0)))</f>
        <v>11.548933999999999</v>
      </c>
      <c r="DZ9" s="21">
        <f>IF(DZ$1&lt;INDEX('Valo FX'!$Q:$Q,MATCH($A9,'Valo FX'!$A:$A,0)),0,IF(DZ$1&lt;INDEX('Valo FX'!$R:$R,MATCH($A9,'Valo FX'!$A:$A,0)),INDEX(Base!$U:$U,MATCH($A9,Base!$A:$A,0)),IF(DZ$1=INDEX('Valo FX'!$R:$R,MATCH($A9,'Valo FX'!$A:$A,0)),INDEX(Base!$V:$V,MATCH($A9,Base!$A:$A,0)),0)))</f>
        <v>11.548933999999999</v>
      </c>
      <c r="EA9" s="21">
        <f>IF(EA$1&lt;INDEX('Valo FX'!$Q:$Q,MATCH($A9,'Valo FX'!$A:$A,0)),0,IF(EA$1&lt;INDEX('Valo FX'!$R:$R,MATCH($A9,'Valo FX'!$A:$A,0)),INDEX(Base!$U:$U,MATCH($A9,Base!$A:$A,0)),IF(EA$1=INDEX('Valo FX'!$R:$R,MATCH($A9,'Valo FX'!$A:$A,0)),INDEX(Base!$V:$V,MATCH($A9,Base!$A:$A,0)),0)))</f>
        <v>11.548933999999999</v>
      </c>
      <c r="EB9" s="21">
        <f>IF(EB$1&lt;INDEX('Valo FX'!$Q:$Q,MATCH($A9,'Valo FX'!$A:$A,0)),0,IF(EB$1&lt;INDEX('Valo FX'!$R:$R,MATCH($A9,'Valo FX'!$A:$A,0)),INDEX(Base!$U:$U,MATCH($A9,Base!$A:$A,0)),IF(EB$1=INDEX('Valo FX'!$R:$R,MATCH($A9,'Valo FX'!$A:$A,0)),INDEX(Base!$V:$V,MATCH($A9,Base!$A:$A,0)),0)))</f>
        <v>11.548933999999999</v>
      </c>
      <c r="EC9" s="21">
        <f>IF(EC$1&lt;INDEX('Valo FX'!$Q:$Q,MATCH($A9,'Valo FX'!$A:$A,0)),0,IF(EC$1&lt;INDEX('Valo FX'!$R:$R,MATCH($A9,'Valo FX'!$A:$A,0)),INDEX(Base!$U:$U,MATCH($A9,Base!$A:$A,0)),IF(EC$1=INDEX('Valo FX'!$R:$R,MATCH($A9,'Valo FX'!$A:$A,0)),INDEX(Base!$V:$V,MATCH($A9,Base!$A:$A,0)),0)))</f>
        <v>11.548933999999999</v>
      </c>
      <c r="ED9" s="21">
        <f>IF(ED$1&lt;INDEX('Valo FX'!$Q:$Q,MATCH($A9,'Valo FX'!$A:$A,0)),0,IF(ED$1&lt;INDEX('Valo FX'!$R:$R,MATCH($A9,'Valo FX'!$A:$A,0)),INDEX(Base!$U:$U,MATCH($A9,Base!$A:$A,0)),IF(ED$1=INDEX('Valo FX'!$R:$R,MATCH($A9,'Valo FX'!$A:$A,0)),INDEX(Base!$V:$V,MATCH($A9,Base!$A:$A,0)),0)))</f>
        <v>11.548933999999999</v>
      </c>
      <c r="EE9" s="21">
        <f>IF(EE$1&lt;INDEX('Valo FX'!$Q:$Q,MATCH($A9,'Valo FX'!$A:$A,0)),0,IF(EE$1&lt;INDEX('Valo FX'!$R:$R,MATCH($A9,'Valo FX'!$A:$A,0)),INDEX(Base!$U:$U,MATCH($A9,Base!$A:$A,0)),IF(EE$1=INDEX('Valo FX'!$R:$R,MATCH($A9,'Valo FX'!$A:$A,0)),INDEX(Base!$V:$V,MATCH($A9,Base!$A:$A,0)),0)))</f>
        <v>11.548933999999999</v>
      </c>
      <c r="EF9" s="21">
        <f>IF(EF$1&lt;INDEX('Valo FX'!$Q:$Q,MATCH($A9,'Valo FX'!$A:$A,0)),0,IF(EF$1&lt;INDEX('Valo FX'!$R:$R,MATCH($A9,'Valo FX'!$A:$A,0)),INDEX(Base!$U:$U,MATCH($A9,Base!$A:$A,0)),IF(EF$1=INDEX('Valo FX'!$R:$R,MATCH($A9,'Valo FX'!$A:$A,0)),INDEX(Base!$V:$V,MATCH($A9,Base!$A:$A,0)),0)))</f>
        <v>11.548933999999999</v>
      </c>
      <c r="EG9" s="21">
        <f>IF(EG$1&lt;INDEX('Valo FX'!$Q:$Q,MATCH($A9,'Valo FX'!$A:$A,0)),0,IF(EG$1&lt;INDEX('Valo FX'!$R:$R,MATCH($A9,'Valo FX'!$A:$A,0)),INDEX(Base!$U:$U,MATCH($A9,Base!$A:$A,0)),IF(EG$1=INDEX('Valo FX'!$R:$R,MATCH($A9,'Valo FX'!$A:$A,0)),INDEX(Base!$V:$V,MATCH($A9,Base!$A:$A,0)),0)))</f>
        <v>11.548933999999999</v>
      </c>
      <c r="EH9" s="21">
        <f>IF(EH$1&lt;INDEX('Valo FX'!$Q:$Q,MATCH($A9,'Valo FX'!$A:$A,0)),0,IF(EH$1&lt;INDEX('Valo FX'!$R:$R,MATCH($A9,'Valo FX'!$A:$A,0)),INDEX(Base!$U:$U,MATCH($A9,Base!$A:$A,0)),IF(EH$1=INDEX('Valo FX'!$R:$R,MATCH($A9,'Valo FX'!$A:$A,0)),INDEX(Base!$V:$V,MATCH($A9,Base!$A:$A,0)),0)))</f>
        <v>11.548933999999999</v>
      </c>
      <c r="EI9" s="21">
        <f>IF(EI$1&lt;INDEX('Valo FX'!$Q:$Q,MATCH($A9,'Valo FX'!$A:$A,0)),0,IF(EI$1&lt;INDEX('Valo FX'!$R:$R,MATCH($A9,'Valo FX'!$A:$A,0)),INDEX(Base!$U:$U,MATCH($A9,Base!$A:$A,0)),IF(EI$1=INDEX('Valo FX'!$R:$R,MATCH($A9,'Valo FX'!$A:$A,0)),INDEX(Base!$V:$V,MATCH($A9,Base!$A:$A,0)),0)))</f>
        <v>11.548933999999999</v>
      </c>
      <c r="EJ9" s="21">
        <f>IF(EJ$1&lt;INDEX('Valo FX'!$Q:$Q,MATCH($A9,'Valo FX'!$A:$A,0)),0,IF(EJ$1&lt;INDEX('Valo FX'!$R:$R,MATCH($A9,'Valo FX'!$A:$A,0)),INDEX(Base!$U:$U,MATCH($A9,Base!$A:$A,0)),IF(EJ$1=INDEX('Valo FX'!$R:$R,MATCH($A9,'Valo FX'!$A:$A,0)),INDEX(Base!$V:$V,MATCH($A9,Base!$A:$A,0)),0)))</f>
        <v>11.548933999999999</v>
      </c>
      <c r="EK9" s="21">
        <f>IF(EK$1&lt;INDEX('Valo FX'!$Q:$Q,MATCH($A9,'Valo FX'!$A:$A,0)),0,IF(EK$1&lt;INDEX('Valo FX'!$R:$R,MATCH($A9,'Valo FX'!$A:$A,0)),INDEX(Base!$U:$U,MATCH($A9,Base!$A:$A,0)),IF(EK$1=INDEX('Valo FX'!$R:$R,MATCH($A9,'Valo FX'!$A:$A,0)),INDEX(Base!$V:$V,MATCH($A9,Base!$A:$A,0)),0)))</f>
        <v>11.548933999999999</v>
      </c>
      <c r="EL9" s="21">
        <f>IF(EL$1&lt;INDEX('Valo FX'!$Q:$Q,MATCH($A9,'Valo FX'!$A:$A,0)),0,IF(EL$1&lt;INDEX('Valo FX'!$R:$R,MATCH($A9,'Valo FX'!$A:$A,0)),INDEX(Base!$U:$U,MATCH($A9,Base!$A:$A,0)),IF(EL$1=INDEX('Valo FX'!$R:$R,MATCH($A9,'Valo FX'!$A:$A,0)),INDEX(Base!$V:$V,MATCH($A9,Base!$A:$A,0)),0)))</f>
        <v>11.548933999999999</v>
      </c>
      <c r="EM9" s="21">
        <f>IF(EM$1&lt;INDEX('Valo FX'!$Q:$Q,MATCH($A9,'Valo FX'!$A:$A,0)),0,IF(EM$1&lt;INDEX('Valo FX'!$R:$R,MATCH($A9,'Valo FX'!$A:$A,0)),INDEX(Base!$U:$U,MATCH($A9,Base!$A:$A,0)),IF(EM$1=INDEX('Valo FX'!$R:$R,MATCH($A9,'Valo FX'!$A:$A,0)),INDEX(Base!$V:$V,MATCH($A9,Base!$A:$A,0)),0)))</f>
        <v>11.548933999999999</v>
      </c>
      <c r="EN9" s="21">
        <f>IF(EN$1&lt;INDEX('Valo FX'!$Q:$Q,MATCH($A9,'Valo FX'!$A:$A,0)),0,IF(EN$1&lt;INDEX('Valo FX'!$R:$R,MATCH($A9,'Valo FX'!$A:$A,0)),INDEX(Base!$U:$U,MATCH($A9,Base!$A:$A,0)),IF(EN$1=INDEX('Valo FX'!$R:$R,MATCH($A9,'Valo FX'!$A:$A,0)),INDEX(Base!$V:$V,MATCH($A9,Base!$A:$A,0)),0)))</f>
        <v>11.548933999999999</v>
      </c>
      <c r="EO9" s="21">
        <f>IF(EO$1&lt;INDEX('Valo FX'!$Q:$Q,MATCH($A9,'Valo FX'!$A:$A,0)),0,IF(EO$1&lt;INDEX('Valo FX'!$R:$R,MATCH($A9,'Valo FX'!$A:$A,0)),INDEX(Base!$U:$U,MATCH($A9,Base!$A:$A,0)),IF(EO$1=INDEX('Valo FX'!$R:$R,MATCH($A9,'Valo FX'!$A:$A,0)),INDEX(Base!$V:$V,MATCH($A9,Base!$A:$A,0)),0)))</f>
        <v>11.548933999999999</v>
      </c>
      <c r="EP9" s="21">
        <f>IF(EP$1&lt;INDEX('Valo FX'!$Q:$Q,MATCH($A9,'Valo FX'!$A:$A,0)),0,IF(EP$1&lt;INDEX('Valo FX'!$R:$R,MATCH($A9,'Valo FX'!$A:$A,0)),INDEX(Base!$U:$U,MATCH($A9,Base!$A:$A,0)),IF(EP$1=INDEX('Valo FX'!$R:$R,MATCH($A9,'Valo FX'!$A:$A,0)),INDEX(Base!$V:$V,MATCH($A9,Base!$A:$A,0)),0)))</f>
        <v>11.548933999999999</v>
      </c>
      <c r="EQ9" s="21">
        <f>IF(EQ$1&lt;INDEX('Valo FX'!$Q:$Q,MATCH($A9,'Valo FX'!$A:$A,0)),0,IF(EQ$1&lt;INDEX('Valo FX'!$R:$R,MATCH($A9,'Valo FX'!$A:$A,0)),INDEX(Base!$U:$U,MATCH($A9,Base!$A:$A,0)),IF(EQ$1=INDEX('Valo FX'!$R:$R,MATCH($A9,'Valo FX'!$A:$A,0)),INDEX(Base!$V:$V,MATCH($A9,Base!$A:$A,0)),0)))</f>
        <v>11.548933999999999</v>
      </c>
      <c r="ER9" s="21">
        <f>IF(ER$1&lt;INDEX('Valo FX'!$Q:$Q,MATCH($A9,'Valo FX'!$A:$A,0)),0,IF(ER$1&lt;INDEX('Valo FX'!$R:$R,MATCH($A9,'Valo FX'!$A:$A,0)),INDEX(Base!$U:$U,MATCH($A9,Base!$A:$A,0)),IF(ER$1=INDEX('Valo FX'!$R:$R,MATCH($A9,'Valo FX'!$A:$A,0)),INDEX(Base!$V:$V,MATCH($A9,Base!$A:$A,0)),0)))</f>
        <v>11.548933999999999</v>
      </c>
      <c r="ES9" s="21">
        <f>IF(ES$1&lt;INDEX('Valo FX'!$Q:$Q,MATCH($A9,'Valo FX'!$A:$A,0)),0,IF(ES$1&lt;INDEX('Valo FX'!$R:$R,MATCH($A9,'Valo FX'!$A:$A,0)),INDEX(Base!$U:$U,MATCH($A9,Base!$A:$A,0)),IF(ES$1=INDEX('Valo FX'!$R:$R,MATCH($A9,'Valo FX'!$A:$A,0)),INDEX(Base!$V:$V,MATCH($A9,Base!$A:$A,0)),0)))</f>
        <v>11.548933999999999</v>
      </c>
      <c r="ET9" s="21">
        <f>IF(ET$1&lt;INDEX('Valo FX'!$Q:$Q,MATCH($A9,'Valo FX'!$A:$A,0)),0,IF(ET$1&lt;INDEX('Valo FX'!$R:$R,MATCH($A9,'Valo FX'!$A:$A,0)),INDEX(Base!$U:$U,MATCH($A9,Base!$A:$A,0)),IF(ET$1=INDEX('Valo FX'!$R:$R,MATCH($A9,'Valo FX'!$A:$A,0)),INDEX(Base!$V:$V,MATCH($A9,Base!$A:$A,0)),0)))</f>
        <v>11.548933999999999</v>
      </c>
      <c r="EU9" s="21">
        <f>IF(EU$1&lt;INDEX('Valo FX'!$Q:$Q,MATCH($A9,'Valo FX'!$A:$A,0)),0,IF(EU$1&lt;INDEX('Valo FX'!$R:$R,MATCH($A9,'Valo FX'!$A:$A,0)),INDEX(Base!$U:$U,MATCH($A9,Base!$A:$A,0)),IF(EU$1=INDEX('Valo FX'!$R:$R,MATCH($A9,'Valo FX'!$A:$A,0)),INDEX(Base!$V:$V,MATCH($A9,Base!$A:$A,0)),0)))</f>
        <v>11.548933999999999</v>
      </c>
      <c r="EV9" s="21">
        <f>IF(EV$1&lt;INDEX('Valo FX'!$Q:$Q,MATCH($A9,'Valo FX'!$A:$A,0)),0,IF(EV$1&lt;INDEX('Valo FX'!$R:$R,MATCH($A9,'Valo FX'!$A:$A,0)),INDEX(Base!$U:$U,MATCH($A9,Base!$A:$A,0)),IF(EV$1=INDEX('Valo FX'!$R:$R,MATCH($A9,'Valo FX'!$A:$A,0)),INDEX(Base!$V:$V,MATCH($A9,Base!$A:$A,0)),0)))</f>
        <v>11.548933999999999</v>
      </c>
      <c r="EW9" s="21">
        <f>IF(EW$1&lt;INDEX('Valo FX'!$Q:$Q,MATCH($A9,'Valo FX'!$A:$A,0)),0,IF(EW$1&lt;INDEX('Valo FX'!$R:$R,MATCH($A9,'Valo FX'!$A:$A,0)),INDEX(Base!$U:$U,MATCH($A9,Base!$A:$A,0)),IF(EW$1=INDEX('Valo FX'!$R:$R,MATCH($A9,'Valo FX'!$A:$A,0)),INDEX(Base!$V:$V,MATCH($A9,Base!$A:$A,0)),0)))</f>
        <v>11.548933999999999</v>
      </c>
      <c r="EX9" s="21">
        <f>IF(EX$1&lt;INDEX('Valo FX'!$Q:$Q,MATCH($A9,'Valo FX'!$A:$A,0)),0,IF(EX$1&lt;INDEX('Valo FX'!$R:$R,MATCH($A9,'Valo FX'!$A:$A,0)),INDEX(Base!$U:$U,MATCH($A9,Base!$A:$A,0)),IF(EX$1=INDEX('Valo FX'!$R:$R,MATCH($A9,'Valo FX'!$A:$A,0)),INDEX(Base!$V:$V,MATCH($A9,Base!$A:$A,0)),0)))</f>
        <v>11.548933999999999</v>
      </c>
      <c r="EY9" s="21">
        <f>IF(EY$1&lt;INDEX('Valo FX'!$Q:$Q,MATCH($A9,'Valo FX'!$A:$A,0)),0,IF(EY$1&lt;INDEX('Valo FX'!$R:$R,MATCH($A9,'Valo FX'!$A:$A,0)),INDEX(Base!$U:$U,MATCH($A9,Base!$A:$A,0)),IF(EY$1=INDEX('Valo FX'!$R:$R,MATCH($A9,'Valo FX'!$A:$A,0)),INDEX(Base!$V:$V,MATCH($A9,Base!$A:$A,0)),0)))</f>
        <v>11.548933999999999</v>
      </c>
      <c r="EZ9" s="21">
        <f>IF(EZ$1&lt;INDEX('Valo FX'!$Q:$Q,MATCH($A9,'Valo FX'!$A:$A,0)),0,IF(EZ$1&lt;INDEX('Valo FX'!$R:$R,MATCH($A9,'Valo FX'!$A:$A,0)),INDEX(Base!$U:$U,MATCH($A9,Base!$A:$A,0)),IF(EZ$1=INDEX('Valo FX'!$R:$R,MATCH($A9,'Valo FX'!$A:$A,0)),INDEX(Base!$V:$V,MATCH($A9,Base!$A:$A,0)),0)))</f>
        <v>11.548933999999999</v>
      </c>
      <c r="FA9" s="21">
        <f>IF(FA$1&lt;INDEX('Valo FX'!$Q:$Q,MATCH($A9,'Valo FX'!$A:$A,0)),0,IF(FA$1&lt;INDEX('Valo FX'!$R:$R,MATCH($A9,'Valo FX'!$A:$A,0)),INDEX(Base!$U:$U,MATCH($A9,Base!$A:$A,0)),IF(FA$1=INDEX('Valo FX'!$R:$R,MATCH($A9,'Valo FX'!$A:$A,0)),INDEX(Base!$V:$V,MATCH($A9,Base!$A:$A,0)),0)))</f>
        <v>11.548933999999999</v>
      </c>
      <c r="FB9" s="21">
        <f>IF(FB$1&lt;INDEX('Valo FX'!$Q:$Q,MATCH($A9,'Valo FX'!$A:$A,0)),0,IF(FB$1&lt;INDEX('Valo FX'!$R:$R,MATCH($A9,'Valo FX'!$A:$A,0)),INDEX(Base!$U:$U,MATCH($A9,Base!$A:$A,0)),IF(FB$1=INDEX('Valo FX'!$R:$R,MATCH($A9,'Valo FX'!$A:$A,0)),INDEX(Base!$V:$V,MATCH($A9,Base!$A:$A,0)),0)))</f>
        <v>11.548933999999999</v>
      </c>
      <c r="FC9" s="21">
        <f>IF(FC$1&lt;INDEX('Valo FX'!$Q:$Q,MATCH($A9,'Valo FX'!$A:$A,0)),0,IF(FC$1&lt;INDEX('Valo FX'!$R:$R,MATCH($A9,'Valo FX'!$A:$A,0)),INDEX(Base!$U:$U,MATCH($A9,Base!$A:$A,0)),IF(FC$1=INDEX('Valo FX'!$R:$R,MATCH($A9,'Valo FX'!$A:$A,0)),INDEX(Base!$V:$V,MATCH($A9,Base!$A:$A,0)),0)))</f>
        <v>11.548933999999999</v>
      </c>
      <c r="FD9" s="21">
        <f>IF(FD$1&lt;INDEX('Valo FX'!$Q:$Q,MATCH($A9,'Valo FX'!$A:$A,0)),0,IF(FD$1&lt;INDEX('Valo FX'!$R:$R,MATCH($A9,'Valo FX'!$A:$A,0)),INDEX(Base!$U:$U,MATCH($A9,Base!$A:$A,0)),IF(FD$1=INDEX('Valo FX'!$R:$R,MATCH($A9,'Valo FX'!$A:$A,0)),INDEX(Base!$V:$V,MATCH($A9,Base!$A:$A,0)),0)))</f>
        <v>11.548933999999999</v>
      </c>
      <c r="FE9" s="21">
        <f>IF(FE$1&lt;INDEX('Valo FX'!$Q:$Q,MATCH($A9,'Valo FX'!$A:$A,0)),0,IF(FE$1&lt;INDEX('Valo FX'!$R:$R,MATCH($A9,'Valo FX'!$A:$A,0)),INDEX(Base!$U:$U,MATCH($A9,Base!$A:$A,0)),IF(FE$1=INDEX('Valo FX'!$R:$R,MATCH($A9,'Valo FX'!$A:$A,0)),INDEX(Base!$V:$V,MATCH($A9,Base!$A:$A,0)),0)))</f>
        <v>11.548933999999999</v>
      </c>
      <c r="FF9" s="21">
        <f>IF(FF$1&lt;INDEX('Valo FX'!$Q:$Q,MATCH($A9,'Valo FX'!$A:$A,0)),0,IF(FF$1&lt;INDEX('Valo FX'!$R:$R,MATCH($A9,'Valo FX'!$A:$A,0)),INDEX(Base!$U:$U,MATCH($A9,Base!$A:$A,0)),IF(FF$1=INDEX('Valo FX'!$R:$R,MATCH($A9,'Valo FX'!$A:$A,0)),INDEX(Base!$V:$V,MATCH($A9,Base!$A:$A,0)),0)))</f>
        <v>11.548933999999999</v>
      </c>
      <c r="FG9" s="21">
        <f>IF(FG$1&lt;INDEX('Valo FX'!$Q:$Q,MATCH($A9,'Valo FX'!$A:$A,0)),0,IF(FG$1&lt;INDEX('Valo FX'!$R:$R,MATCH($A9,'Valo FX'!$A:$A,0)),INDEX(Base!$U:$U,MATCH($A9,Base!$A:$A,0)),IF(FG$1=INDEX('Valo FX'!$R:$R,MATCH($A9,'Valo FX'!$A:$A,0)),INDEX(Base!$V:$V,MATCH($A9,Base!$A:$A,0)),0)))</f>
        <v>11.548933999999999</v>
      </c>
      <c r="FH9" s="21">
        <f>IF(FH$1&lt;INDEX('Valo FX'!$Q:$Q,MATCH($A9,'Valo FX'!$A:$A,0)),0,IF(FH$1&lt;INDEX('Valo FX'!$R:$R,MATCH($A9,'Valo FX'!$A:$A,0)),INDEX(Base!$U:$U,MATCH($A9,Base!$A:$A,0)),IF(FH$1=INDEX('Valo FX'!$R:$R,MATCH($A9,'Valo FX'!$A:$A,0)),INDEX(Base!$V:$V,MATCH($A9,Base!$A:$A,0)),0)))</f>
        <v>11.548933999999999</v>
      </c>
      <c r="FI9" s="21">
        <f>IF(FI$1&lt;INDEX('Valo FX'!$Q:$Q,MATCH($A9,'Valo FX'!$A:$A,0)),0,IF(FI$1&lt;INDEX('Valo FX'!$R:$R,MATCH($A9,'Valo FX'!$A:$A,0)),INDEX(Base!$U:$U,MATCH($A9,Base!$A:$A,0)),IF(FI$1=INDEX('Valo FX'!$R:$R,MATCH($A9,'Valo FX'!$A:$A,0)),INDEX(Base!$V:$V,MATCH($A9,Base!$A:$A,0)),0)))</f>
        <v>11.548933999999999</v>
      </c>
      <c r="FJ9" s="21">
        <f>IF(FJ$1&lt;INDEX('Valo FX'!$Q:$Q,MATCH($A9,'Valo FX'!$A:$A,0)),0,IF(FJ$1&lt;INDEX('Valo FX'!$R:$R,MATCH($A9,'Valo FX'!$A:$A,0)),INDEX(Base!$U:$U,MATCH($A9,Base!$A:$A,0)),IF(FJ$1=INDEX('Valo FX'!$R:$R,MATCH($A9,'Valo FX'!$A:$A,0)),INDEX(Base!$V:$V,MATCH($A9,Base!$A:$A,0)),0)))</f>
        <v>11.548933999999999</v>
      </c>
      <c r="FK9" s="21">
        <f>IF(FK$1&lt;INDEX('Valo FX'!$Q:$Q,MATCH($A9,'Valo FX'!$A:$A,0)),0,IF(FK$1&lt;INDEX('Valo FX'!$R:$R,MATCH($A9,'Valo FX'!$A:$A,0)),INDEX(Base!$U:$U,MATCH($A9,Base!$A:$A,0)),IF(FK$1=INDEX('Valo FX'!$R:$R,MATCH($A9,'Valo FX'!$A:$A,0)),INDEX(Base!$V:$V,MATCH($A9,Base!$A:$A,0)),0)))</f>
        <v>11.548933999999999</v>
      </c>
      <c r="FL9" s="21">
        <f>IF(FL$1&lt;INDEX('Valo FX'!$Q:$Q,MATCH($A9,'Valo FX'!$A:$A,0)),0,IF(FL$1&lt;INDEX('Valo FX'!$R:$R,MATCH($A9,'Valo FX'!$A:$A,0)),INDEX(Base!$U:$U,MATCH($A9,Base!$A:$A,0)),IF(FL$1=INDEX('Valo FX'!$R:$R,MATCH($A9,'Valo FX'!$A:$A,0)),INDEX(Base!$V:$V,MATCH($A9,Base!$A:$A,0)),0)))</f>
        <v>11.548933999999999</v>
      </c>
      <c r="FM9" s="21">
        <f>IF(FM$1&lt;INDEX('Valo FX'!$Q:$Q,MATCH($A9,'Valo FX'!$A:$A,0)),0,IF(FM$1&lt;INDEX('Valo FX'!$R:$R,MATCH($A9,'Valo FX'!$A:$A,0)),INDEX(Base!$U:$U,MATCH($A9,Base!$A:$A,0)),IF(FM$1=INDEX('Valo FX'!$R:$R,MATCH($A9,'Valo FX'!$A:$A,0)),INDEX(Base!$V:$V,MATCH($A9,Base!$A:$A,0)),0)))</f>
        <v>11.548933999999999</v>
      </c>
      <c r="FN9" s="21">
        <f>IF(FN$1&lt;INDEX('Valo FX'!$Q:$Q,MATCH($A9,'Valo FX'!$A:$A,0)),0,IF(FN$1&lt;INDEX('Valo FX'!$R:$R,MATCH($A9,'Valo FX'!$A:$A,0)),INDEX(Base!$U:$U,MATCH($A9,Base!$A:$A,0)),IF(FN$1=INDEX('Valo FX'!$R:$R,MATCH($A9,'Valo FX'!$A:$A,0)),INDEX(Base!$V:$V,MATCH($A9,Base!$A:$A,0)),0)))</f>
        <v>11.548933999999999</v>
      </c>
      <c r="FO9" s="21">
        <f>IF(FO$1&lt;INDEX('Valo FX'!$Q:$Q,MATCH($A9,'Valo FX'!$A:$A,0)),0,IF(FO$1&lt;INDEX('Valo FX'!$R:$R,MATCH($A9,'Valo FX'!$A:$A,0)),INDEX(Base!$U:$U,MATCH($A9,Base!$A:$A,0)),IF(FO$1=INDEX('Valo FX'!$R:$R,MATCH($A9,'Valo FX'!$A:$A,0)),INDEX(Base!$V:$V,MATCH($A9,Base!$A:$A,0)),0)))</f>
        <v>11.548933999999999</v>
      </c>
      <c r="FP9" s="21">
        <f>IF(FP$1&lt;INDEX('Valo FX'!$Q:$Q,MATCH($A9,'Valo FX'!$A:$A,0)),0,IF(FP$1&lt;INDEX('Valo FX'!$R:$R,MATCH($A9,'Valo FX'!$A:$A,0)),INDEX(Base!$U:$U,MATCH($A9,Base!$A:$A,0)),IF(FP$1=INDEX('Valo FX'!$R:$R,MATCH($A9,'Valo FX'!$A:$A,0)),INDEX(Base!$V:$V,MATCH($A9,Base!$A:$A,0)),0)))</f>
        <v>11.548933999999999</v>
      </c>
      <c r="FQ9" s="21">
        <f>IF(FQ$1&lt;INDEX('Valo FX'!$Q:$Q,MATCH($A9,'Valo FX'!$A:$A,0)),0,IF(FQ$1&lt;INDEX('Valo FX'!$R:$R,MATCH($A9,'Valo FX'!$A:$A,0)),INDEX(Base!$U:$U,MATCH($A9,Base!$A:$A,0)),IF(FQ$1=INDEX('Valo FX'!$R:$R,MATCH($A9,'Valo FX'!$A:$A,0)),INDEX(Base!$V:$V,MATCH($A9,Base!$A:$A,0)),0)))</f>
        <v>11.548933999999999</v>
      </c>
      <c r="FR9" s="21">
        <f>IF(FR$1&lt;INDEX('Valo FX'!$Q:$Q,MATCH($A9,'Valo FX'!$A:$A,0)),0,IF(FR$1&lt;INDEX('Valo FX'!$R:$R,MATCH($A9,'Valo FX'!$A:$A,0)),INDEX(Base!$U:$U,MATCH($A9,Base!$A:$A,0)),IF(FR$1=INDEX('Valo FX'!$R:$R,MATCH($A9,'Valo FX'!$A:$A,0)),INDEX(Base!$V:$V,MATCH($A9,Base!$A:$A,0)),0)))</f>
        <v>11.548933999999999</v>
      </c>
      <c r="FS9" s="21">
        <f>IF(FS$1&lt;INDEX('Valo FX'!$Q:$Q,MATCH($A9,'Valo FX'!$A:$A,0)),0,IF(FS$1&lt;INDEX('Valo FX'!$R:$R,MATCH($A9,'Valo FX'!$A:$A,0)),INDEX(Base!$U:$U,MATCH($A9,Base!$A:$A,0)),IF(FS$1=INDEX('Valo FX'!$R:$R,MATCH($A9,'Valo FX'!$A:$A,0)),INDEX(Base!$V:$V,MATCH($A9,Base!$A:$A,0)),0)))</f>
        <v>11.548933999999999</v>
      </c>
      <c r="FT9" s="21">
        <f>IF(FT$1&lt;INDEX('Valo FX'!$Q:$Q,MATCH($A9,'Valo FX'!$A:$A,0)),0,IF(FT$1&lt;INDEX('Valo FX'!$R:$R,MATCH($A9,'Valo FX'!$A:$A,0)),INDEX(Base!$U:$U,MATCH($A9,Base!$A:$A,0)),IF(FT$1=INDEX('Valo FX'!$R:$R,MATCH($A9,'Valo FX'!$A:$A,0)),INDEX(Base!$V:$V,MATCH($A9,Base!$A:$A,0)),0)))</f>
        <v>11.548933999999999</v>
      </c>
      <c r="FU9" s="21">
        <f>IF(FU$1&lt;INDEX('Valo FX'!$Q:$Q,MATCH($A9,'Valo FX'!$A:$A,0)),0,IF(FU$1&lt;INDEX('Valo FX'!$R:$R,MATCH($A9,'Valo FX'!$A:$A,0)),INDEX(Base!$U:$U,MATCH($A9,Base!$A:$A,0)),IF(FU$1=INDEX('Valo FX'!$R:$R,MATCH($A9,'Valo FX'!$A:$A,0)),INDEX(Base!$V:$V,MATCH($A9,Base!$A:$A,0)),0)))</f>
        <v>11.548933999999999</v>
      </c>
      <c r="FV9" s="21">
        <f>IF(FV$1&lt;INDEX('Valo FX'!$Q:$Q,MATCH($A9,'Valo FX'!$A:$A,0)),0,IF(FV$1&lt;INDEX('Valo FX'!$R:$R,MATCH($A9,'Valo FX'!$A:$A,0)),INDEX(Base!$U:$U,MATCH($A9,Base!$A:$A,0)),IF(FV$1=INDEX('Valo FX'!$R:$R,MATCH($A9,'Valo FX'!$A:$A,0)),INDEX(Base!$V:$V,MATCH($A9,Base!$A:$A,0)),0)))</f>
        <v>11.548933999999999</v>
      </c>
      <c r="FW9" s="21">
        <f>IF(FW$1&lt;INDEX('Valo FX'!$Q:$Q,MATCH($A9,'Valo FX'!$A:$A,0)),0,IF(FW$1&lt;INDEX('Valo FX'!$R:$R,MATCH($A9,'Valo FX'!$A:$A,0)),INDEX(Base!$U:$U,MATCH($A9,Base!$A:$A,0)),IF(FW$1=INDEX('Valo FX'!$R:$R,MATCH($A9,'Valo FX'!$A:$A,0)),INDEX(Base!$V:$V,MATCH($A9,Base!$A:$A,0)),0)))</f>
        <v>11.548933999999999</v>
      </c>
      <c r="FX9" s="21">
        <f>IF(FX$1&lt;INDEX('Valo FX'!$Q:$Q,MATCH($A9,'Valo FX'!$A:$A,0)),0,IF(FX$1&lt;INDEX('Valo FX'!$R:$R,MATCH($A9,'Valo FX'!$A:$A,0)),INDEX(Base!$U:$U,MATCH($A9,Base!$A:$A,0)),IF(FX$1=INDEX('Valo FX'!$R:$R,MATCH($A9,'Valo FX'!$A:$A,0)),INDEX(Base!$V:$V,MATCH($A9,Base!$A:$A,0)),0)))</f>
        <v>11.548933999999999</v>
      </c>
      <c r="FY9" s="21">
        <f>IF(FY$1&lt;INDEX('Valo FX'!$Q:$Q,MATCH($A9,'Valo FX'!$A:$A,0)),0,IF(FY$1&lt;INDEX('Valo FX'!$R:$R,MATCH($A9,'Valo FX'!$A:$A,0)),INDEX(Base!$U:$U,MATCH($A9,Base!$A:$A,0)),IF(FY$1=INDEX('Valo FX'!$R:$R,MATCH($A9,'Valo FX'!$A:$A,0)),INDEX(Base!$V:$V,MATCH($A9,Base!$A:$A,0)),0)))</f>
        <v>11.548933999999999</v>
      </c>
      <c r="FZ9" s="21">
        <f>IF(FZ$1&lt;INDEX('Valo FX'!$Q:$Q,MATCH($A9,'Valo FX'!$A:$A,0)),0,IF(FZ$1&lt;INDEX('Valo FX'!$R:$R,MATCH($A9,'Valo FX'!$A:$A,0)),INDEX(Base!$U:$U,MATCH($A9,Base!$A:$A,0)),IF(FZ$1=INDEX('Valo FX'!$R:$R,MATCH($A9,'Valo FX'!$A:$A,0)),INDEX(Base!$V:$V,MATCH($A9,Base!$A:$A,0)),0)))</f>
        <v>11.548933999999999</v>
      </c>
      <c r="GA9" s="21">
        <f>IF(GA$1&lt;INDEX('Valo FX'!$Q:$Q,MATCH($A9,'Valo FX'!$A:$A,0)),0,IF(GA$1&lt;INDEX('Valo FX'!$R:$R,MATCH($A9,'Valo FX'!$A:$A,0)),INDEX(Base!$U:$U,MATCH($A9,Base!$A:$A,0)),IF(GA$1=INDEX('Valo FX'!$R:$R,MATCH($A9,'Valo FX'!$A:$A,0)),INDEX(Base!$V:$V,MATCH($A9,Base!$A:$A,0)),0)))</f>
        <v>11.548933999999999</v>
      </c>
      <c r="GB9" s="21">
        <f>IF(GB$1&lt;INDEX('Valo FX'!$Q:$Q,MATCH($A9,'Valo FX'!$A:$A,0)),0,IF(GB$1&lt;INDEX('Valo FX'!$R:$R,MATCH($A9,'Valo FX'!$A:$A,0)),INDEX(Base!$U:$U,MATCH($A9,Base!$A:$A,0)),IF(GB$1=INDEX('Valo FX'!$R:$R,MATCH($A9,'Valo FX'!$A:$A,0)),INDEX(Base!$V:$V,MATCH($A9,Base!$A:$A,0)),0)))</f>
        <v>11.548933999999999</v>
      </c>
      <c r="GC9" s="21">
        <f>IF(GC$1&lt;INDEX('Valo FX'!$Q:$Q,MATCH($A9,'Valo FX'!$A:$A,0)),0,IF(GC$1&lt;INDEX('Valo FX'!$R:$R,MATCH($A9,'Valo FX'!$A:$A,0)),INDEX(Base!$U:$U,MATCH($A9,Base!$A:$A,0)),IF(GC$1=INDEX('Valo FX'!$R:$R,MATCH($A9,'Valo FX'!$A:$A,0)),INDEX(Base!$V:$V,MATCH($A9,Base!$A:$A,0)),0)))</f>
        <v>11.548933999999999</v>
      </c>
      <c r="GD9" s="21">
        <f>IF(GD$1&lt;INDEX('Valo FX'!$Q:$Q,MATCH($A9,'Valo FX'!$A:$A,0)),0,IF(GD$1&lt;INDEX('Valo FX'!$R:$R,MATCH($A9,'Valo FX'!$A:$A,0)),INDEX(Base!$U:$U,MATCH($A9,Base!$A:$A,0)),IF(GD$1=INDEX('Valo FX'!$R:$R,MATCH($A9,'Valo FX'!$A:$A,0)),INDEX(Base!$V:$V,MATCH($A9,Base!$A:$A,0)),0)))</f>
        <v>11.548933999999999</v>
      </c>
      <c r="GE9" s="21">
        <f>IF(GE$1&lt;INDEX('Valo FX'!$Q:$Q,MATCH($A9,'Valo FX'!$A:$A,0)),0,IF(GE$1&lt;INDEX('Valo FX'!$R:$R,MATCH($A9,'Valo FX'!$A:$A,0)),INDEX(Base!$U:$U,MATCH($A9,Base!$A:$A,0)),IF(GE$1=INDEX('Valo FX'!$R:$R,MATCH($A9,'Valo FX'!$A:$A,0)),INDEX(Base!$V:$V,MATCH($A9,Base!$A:$A,0)),0)))</f>
        <v>11.548933999999999</v>
      </c>
      <c r="GF9" s="21">
        <f>IF(GF$1&lt;INDEX('Valo FX'!$Q:$Q,MATCH($A9,'Valo FX'!$A:$A,0)),0,IF(GF$1&lt;INDEX('Valo FX'!$R:$R,MATCH($A9,'Valo FX'!$A:$A,0)),INDEX(Base!$U:$U,MATCH($A9,Base!$A:$A,0)),IF(GF$1=INDEX('Valo FX'!$R:$R,MATCH($A9,'Valo FX'!$A:$A,0)),INDEX(Base!$V:$V,MATCH($A9,Base!$A:$A,0)),0)))</f>
        <v>11.548933999999999</v>
      </c>
      <c r="GG9" s="21">
        <f>IF(GG$1&lt;INDEX('Valo FX'!$Q:$Q,MATCH($A9,'Valo FX'!$A:$A,0)),0,IF(GG$1&lt;INDEX('Valo FX'!$R:$R,MATCH($A9,'Valo FX'!$A:$A,0)),INDEX(Base!$U:$U,MATCH($A9,Base!$A:$A,0)),IF(GG$1=INDEX('Valo FX'!$R:$R,MATCH($A9,'Valo FX'!$A:$A,0)),INDEX(Base!$V:$V,MATCH($A9,Base!$A:$A,0)),0)))</f>
        <v>11.548933999999999</v>
      </c>
      <c r="GH9" s="21">
        <f>IF(GH$1&lt;INDEX('Valo FX'!$Q:$Q,MATCH($A9,'Valo FX'!$A:$A,0)),0,IF(GH$1&lt;INDEX('Valo FX'!$R:$R,MATCH($A9,'Valo FX'!$A:$A,0)),INDEX(Base!$U:$U,MATCH($A9,Base!$A:$A,0)),IF(GH$1=INDEX('Valo FX'!$R:$R,MATCH($A9,'Valo FX'!$A:$A,0)),INDEX(Base!$V:$V,MATCH($A9,Base!$A:$A,0)),0)))</f>
        <v>11.548933999999999</v>
      </c>
      <c r="GI9" s="21">
        <f>IF(GI$1&lt;INDEX('Valo FX'!$Q:$Q,MATCH($A9,'Valo FX'!$A:$A,0)),0,IF(GI$1&lt;INDEX('Valo FX'!$R:$R,MATCH($A9,'Valo FX'!$A:$A,0)),INDEX(Base!$U:$U,MATCH($A9,Base!$A:$A,0)),IF(GI$1=INDEX('Valo FX'!$R:$R,MATCH($A9,'Valo FX'!$A:$A,0)),INDEX(Base!$V:$V,MATCH($A9,Base!$A:$A,0)),0)))</f>
        <v>11.548933999999999</v>
      </c>
      <c r="GJ9" s="21">
        <f>IF(GJ$1&lt;INDEX('Valo FX'!$Q:$Q,MATCH($A9,'Valo FX'!$A:$A,0)),0,IF(GJ$1&lt;INDEX('Valo FX'!$R:$R,MATCH($A9,'Valo FX'!$A:$A,0)),INDEX(Base!$U:$U,MATCH($A9,Base!$A:$A,0)),IF(GJ$1=INDEX('Valo FX'!$R:$R,MATCH($A9,'Valo FX'!$A:$A,0)),INDEX(Base!$V:$V,MATCH($A9,Base!$A:$A,0)),0)))</f>
        <v>11.548933999999999</v>
      </c>
      <c r="GK9" s="21">
        <f>IF(GK$1&lt;INDEX('Valo FX'!$Q:$Q,MATCH($A9,'Valo FX'!$A:$A,0)),0,IF(GK$1&lt;INDEX('Valo FX'!$R:$R,MATCH($A9,'Valo FX'!$A:$A,0)),INDEX(Base!$U:$U,MATCH($A9,Base!$A:$A,0)),IF(GK$1=INDEX('Valo FX'!$R:$R,MATCH($A9,'Valo FX'!$A:$A,0)),INDEX(Base!$V:$V,MATCH($A9,Base!$A:$A,0)),0)))</f>
        <v>11.548933999999999</v>
      </c>
      <c r="GL9" s="21">
        <f>IF(GL$1&lt;INDEX('Valo FX'!$Q:$Q,MATCH($A9,'Valo FX'!$A:$A,0)),0,IF(GL$1&lt;INDEX('Valo FX'!$R:$R,MATCH($A9,'Valo FX'!$A:$A,0)),INDEX(Base!$U:$U,MATCH($A9,Base!$A:$A,0)),IF(GL$1=INDEX('Valo FX'!$R:$R,MATCH($A9,'Valo FX'!$A:$A,0)),INDEX(Base!$V:$V,MATCH($A9,Base!$A:$A,0)),0)))</f>
        <v>11.548933999999999</v>
      </c>
      <c r="GM9" s="21">
        <f>IF(GM$1&lt;INDEX('Valo FX'!$Q:$Q,MATCH($A9,'Valo FX'!$A:$A,0)),0,IF(GM$1&lt;INDEX('Valo FX'!$R:$R,MATCH($A9,'Valo FX'!$A:$A,0)),INDEX(Base!$U:$U,MATCH($A9,Base!$A:$A,0)),IF(GM$1=INDEX('Valo FX'!$R:$R,MATCH($A9,'Valo FX'!$A:$A,0)),INDEX(Base!$V:$V,MATCH($A9,Base!$A:$A,0)),0)))</f>
        <v>11.548933999999999</v>
      </c>
      <c r="GN9" s="21">
        <f>IF(GN$1&lt;INDEX('Valo FX'!$Q:$Q,MATCH($A9,'Valo FX'!$A:$A,0)),0,IF(GN$1&lt;INDEX('Valo FX'!$R:$R,MATCH($A9,'Valo FX'!$A:$A,0)),INDEX(Base!$U:$U,MATCH($A9,Base!$A:$A,0)),IF(GN$1=INDEX('Valo FX'!$R:$R,MATCH($A9,'Valo FX'!$A:$A,0)),INDEX(Base!$V:$V,MATCH($A9,Base!$A:$A,0)),0)))</f>
        <v>11.548933999999999</v>
      </c>
      <c r="GO9" s="21">
        <f>IF(GO$1&lt;INDEX('Valo FX'!$Q:$Q,MATCH($A9,'Valo FX'!$A:$A,0)),0,IF(GO$1&lt;INDEX('Valo FX'!$R:$R,MATCH($A9,'Valo FX'!$A:$A,0)),INDEX(Base!$U:$U,MATCH($A9,Base!$A:$A,0)),IF(GO$1=INDEX('Valo FX'!$R:$R,MATCH($A9,'Valo FX'!$A:$A,0)),INDEX(Base!$V:$V,MATCH($A9,Base!$A:$A,0)),0)))</f>
        <v>11.548933999999999</v>
      </c>
      <c r="GP9" s="21">
        <f>IF(GP$1&lt;INDEX('Valo FX'!$Q:$Q,MATCH($A9,'Valo FX'!$A:$A,0)),0,IF(GP$1&lt;INDEX('Valo FX'!$R:$R,MATCH($A9,'Valo FX'!$A:$A,0)),INDEX(Base!$U:$U,MATCH($A9,Base!$A:$A,0)),IF(GP$1=INDEX('Valo FX'!$R:$R,MATCH($A9,'Valo FX'!$A:$A,0)),INDEX(Base!$V:$V,MATCH($A9,Base!$A:$A,0)),0)))</f>
        <v>11.548933999999999</v>
      </c>
      <c r="GQ9" s="21">
        <f>IF(GQ$1&lt;INDEX('Valo FX'!$Q:$Q,MATCH($A9,'Valo FX'!$A:$A,0)),0,IF(GQ$1&lt;INDEX('Valo FX'!$R:$R,MATCH($A9,'Valo FX'!$A:$A,0)),INDEX(Base!$U:$U,MATCH($A9,Base!$A:$A,0)),IF(GQ$1=INDEX('Valo FX'!$R:$R,MATCH($A9,'Valo FX'!$A:$A,0)),INDEX(Base!$V:$V,MATCH($A9,Base!$A:$A,0)),0)))</f>
        <v>11.548933999999999</v>
      </c>
      <c r="GR9" s="21">
        <f>IF(GR$1&lt;INDEX('Valo FX'!$Q:$Q,MATCH($A9,'Valo FX'!$A:$A,0)),0,IF(GR$1&lt;INDEX('Valo FX'!$R:$R,MATCH($A9,'Valo FX'!$A:$A,0)),INDEX(Base!$U:$U,MATCH($A9,Base!$A:$A,0)),IF(GR$1=INDEX('Valo FX'!$R:$R,MATCH($A9,'Valo FX'!$A:$A,0)),INDEX(Base!$V:$V,MATCH($A9,Base!$A:$A,0)),0)))</f>
        <v>11.548933999999999</v>
      </c>
      <c r="GS9" s="21">
        <f>IF(GS$1&lt;INDEX('Valo FX'!$Q:$Q,MATCH($A9,'Valo FX'!$A:$A,0)),0,IF(GS$1&lt;INDEX('Valo FX'!$R:$R,MATCH($A9,'Valo FX'!$A:$A,0)),INDEX(Base!$U:$U,MATCH($A9,Base!$A:$A,0)),IF(GS$1=INDEX('Valo FX'!$R:$R,MATCH($A9,'Valo FX'!$A:$A,0)),INDEX(Base!$V:$V,MATCH($A9,Base!$A:$A,0)),0)))</f>
        <v>11.548933999999999</v>
      </c>
      <c r="GT9" s="21">
        <f>IF(GT$1&lt;INDEX('Valo FX'!$Q:$Q,MATCH($A9,'Valo FX'!$A:$A,0)),0,IF(GT$1&lt;INDEX('Valo FX'!$R:$R,MATCH($A9,'Valo FX'!$A:$A,0)),INDEX(Base!$U:$U,MATCH($A9,Base!$A:$A,0)),IF(GT$1=INDEX('Valo FX'!$R:$R,MATCH($A9,'Valo FX'!$A:$A,0)),INDEX(Base!$V:$V,MATCH($A9,Base!$A:$A,0)),0)))</f>
        <v>11.548933999999999</v>
      </c>
      <c r="GU9" s="21">
        <f>IF(GU$1&lt;INDEX('Valo FX'!$Q:$Q,MATCH($A9,'Valo FX'!$A:$A,0)),0,IF(GU$1&lt;INDEX('Valo FX'!$R:$R,MATCH($A9,'Valo FX'!$A:$A,0)),INDEX(Base!$U:$U,MATCH($A9,Base!$A:$A,0)),IF(GU$1=INDEX('Valo FX'!$R:$R,MATCH($A9,'Valo FX'!$A:$A,0)),INDEX(Base!$V:$V,MATCH($A9,Base!$A:$A,0)),0)))</f>
        <v>11.548933999999999</v>
      </c>
      <c r="GV9" s="21">
        <f>IF(GV$1&lt;INDEX('Valo FX'!$Q:$Q,MATCH($A9,'Valo FX'!$A:$A,0)),0,IF(GV$1&lt;INDEX('Valo FX'!$R:$R,MATCH($A9,'Valo FX'!$A:$A,0)),INDEX(Base!$U:$U,MATCH($A9,Base!$A:$A,0)),IF(GV$1=INDEX('Valo FX'!$R:$R,MATCH($A9,'Valo FX'!$A:$A,0)),INDEX(Base!$V:$V,MATCH($A9,Base!$A:$A,0)),0)))</f>
        <v>11.548933999999999</v>
      </c>
      <c r="GW9" s="21">
        <f>IF(GW$1&lt;INDEX('Valo FX'!$Q:$Q,MATCH($A9,'Valo FX'!$A:$A,0)),0,IF(GW$1&lt;INDEX('Valo FX'!$R:$R,MATCH($A9,'Valo FX'!$A:$A,0)),INDEX(Base!$U:$U,MATCH($A9,Base!$A:$A,0)),IF(GW$1=INDEX('Valo FX'!$R:$R,MATCH($A9,'Valo FX'!$A:$A,0)),INDEX(Base!$V:$V,MATCH($A9,Base!$A:$A,0)),0)))</f>
        <v>11.548933999999999</v>
      </c>
      <c r="GX9" s="21">
        <f>IF(GX$1&lt;INDEX('Valo FX'!$Q:$Q,MATCH($A9,'Valo FX'!$A:$A,0)),0,IF(GX$1&lt;INDEX('Valo FX'!$R:$R,MATCH($A9,'Valo FX'!$A:$A,0)),INDEX(Base!$U:$U,MATCH($A9,Base!$A:$A,0)),IF(GX$1=INDEX('Valo FX'!$R:$R,MATCH($A9,'Valo FX'!$A:$A,0)),INDEX(Base!$V:$V,MATCH($A9,Base!$A:$A,0)),0)))</f>
        <v>11.548933999999999</v>
      </c>
      <c r="GY9" s="21">
        <f>IF(GY$1&lt;INDEX('Valo FX'!$Q:$Q,MATCH($A9,'Valo FX'!$A:$A,0)),0,IF(GY$1&lt;INDEX('Valo FX'!$R:$R,MATCH($A9,'Valo FX'!$A:$A,0)),INDEX(Base!$U:$U,MATCH($A9,Base!$A:$A,0)),IF(GY$1=INDEX('Valo FX'!$R:$R,MATCH($A9,'Valo FX'!$A:$A,0)),INDEX(Base!$V:$V,MATCH($A9,Base!$A:$A,0)),0)))</f>
        <v>11.548933999999999</v>
      </c>
      <c r="GZ9" s="21">
        <f>IF(GZ$1&lt;INDEX('Valo FX'!$Q:$Q,MATCH($A9,'Valo FX'!$A:$A,0)),0,IF(GZ$1&lt;INDEX('Valo FX'!$R:$R,MATCH($A9,'Valo FX'!$A:$A,0)),INDEX(Base!$U:$U,MATCH($A9,Base!$A:$A,0)),IF(GZ$1=INDEX('Valo FX'!$R:$R,MATCH($A9,'Valo FX'!$A:$A,0)),INDEX(Base!$V:$V,MATCH($A9,Base!$A:$A,0)),0)))</f>
        <v>11.548933999999999</v>
      </c>
      <c r="HA9" s="21">
        <f>IF(HA$1&lt;INDEX('Valo FX'!$Q:$Q,MATCH($A9,'Valo FX'!$A:$A,0)),0,IF(HA$1&lt;INDEX('Valo FX'!$R:$R,MATCH($A9,'Valo FX'!$A:$A,0)),INDEX(Base!$U:$U,MATCH($A9,Base!$A:$A,0)),IF(HA$1=INDEX('Valo FX'!$R:$R,MATCH($A9,'Valo FX'!$A:$A,0)),INDEX(Base!$V:$V,MATCH($A9,Base!$A:$A,0)),0)))</f>
        <v>11.548933999999999</v>
      </c>
      <c r="HB9" s="21">
        <f>IF(HB$1&lt;INDEX('Valo FX'!$Q:$Q,MATCH($A9,'Valo FX'!$A:$A,0)),0,IF(HB$1&lt;INDEX('Valo FX'!$R:$R,MATCH($A9,'Valo FX'!$A:$A,0)),INDEX(Base!$U:$U,MATCH($A9,Base!$A:$A,0)),IF(HB$1=INDEX('Valo FX'!$R:$R,MATCH($A9,'Valo FX'!$A:$A,0)),INDEX(Base!$V:$V,MATCH($A9,Base!$A:$A,0)),0)))</f>
        <v>11.548933999999999</v>
      </c>
      <c r="HC9" s="21">
        <f>IF(HC$1&lt;INDEX('Valo FX'!$Q:$Q,MATCH($A9,'Valo FX'!$A:$A,0)),0,IF(HC$1&lt;INDEX('Valo FX'!$R:$R,MATCH($A9,'Valo FX'!$A:$A,0)),INDEX(Base!$U:$U,MATCH($A9,Base!$A:$A,0)),IF(HC$1=INDEX('Valo FX'!$R:$R,MATCH($A9,'Valo FX'!$A:$A,0)),INDEX(Base!$V:$V,MATCH($A9,Base!$A:$A,0)),0)))</f>
        <v>11.548933999999999</v>
      </c>
      <c r="HD9" s="21">
        <f>IF(HD$1&lt;INDEX('Valo FX'!$Q:$Q,MATCH($A9,'Valo FX'!$A:$A,0)),0,IF(HD$1&lt;INDEX('Valo FX'!$R:$R,MATCH($A9,'Valo FX'!$A:$A,0)),INDEX(Base!$U:$U,MATCH($A9,Base!$A:$A,0)),IF(HD$1=INDEX('Valo FX'!$R:$R,MATCH($A9,'Valo FX'!$A:$A,0)),INDEX(Base!$V:$V,MATCH($A9,Base!$A:$A,0)),0)))</f>
        <v>11.548933999999999</v>
      </c>
      <c r="HE9" s="21">
        <f>IF(HE$1&lt;INDEX('Valo FX'!$Q:$Q,MATCH($A9,'Valo FX'!$A:$A,0)),0,IF(HE$1&lt;INDEX('Valo FX'!$R:$R,MATCH($A9,'Valo FX'!$A:$A,0)),INDEX(Base!$U:$U,MATCH($A9,Base!$A:$A,0)),IF(HE$1=INDEX('Valo FX'!$R:$R,MATCH($A9,'Valo FX'!$A:$A,0)),INDEX(Base!$V:$V,MATCH($A9,Base!$A:$A,0)),0)))</f>
        <v>11.548933999999999</v>
      </c>
      <c r="HF9" s="21">
        <f>IF(HF$1&lt;INDEX('Valo FX'!$Q:$Q,MATCH($A9,'Valo FX'!$A:$A,0)),0,IF(HF$1&lt;INDEX('Valo FX'!$R:$R,MATCH($A9,'Valo FX'!$A:$A,0)),INDEX(Base!$U:$U,MATCH($A9,Base!$A:$A,0)),IF(HF$1=INDEX('Valo FX'!$R:$R,MATCH($A9,'Valo FX'!$A:$A,0)),INDEX(Base!$V:$V,MATCH($A9,Base!$A:$A,0)),0)))</f>
        <v>11.548933999999999</v>
      </c>
      <c r="HG9" s="21">
        <f>IF(HG$1&lt;INDEX('Valo FX'!$Q:$Q,MATCH($A9,'Valo FX'!$A:$A,0)),0,IF(HG$1&lt;INDEX('Valo FX'!$R:$R,MATCH($A9,'Valo FX'!$A:$A,0)),INDEX(Base!$U:$U,MATCH($A9,Base!$A:$A,0)),IF(HG$1=INDEX('Valo FX'!$R:$R,MATCH($A9,'Valo FX'!$A:$A,0)),INDEX(Base!$V:$V,MATCH($A9,Base!$A:$A,0)),0)))</f>
        <v>11.548933999999999</v>
      </c>
      <c r="HH9" s="21">
        <f>IF(HH$1&lt;INDEX('Valo FX'!$Q:$Q,MATCH($A9,'Valo FX'!$A:$A,0)),0,IF(HH$1&lt;INDEX('Valo FX'!$R:$R,MATCH($A9,'Valo FX'!$A:$A,0)),INDEX(Base!$U:$U,MATCH($A9,Base!$A:$A,0)),IF(HH$1=INDEX('Valo FX'!$R:$R,MATCH($A9,'Valo FX'!$A:$A,0)),INDEX(Base!$V:$V,MATCH($A9,Base!$A:$A,0)),0)))</f>
        <v>11.548933999999999</v>
      </c>
      <c r="HI9" s="21">
        <f>IF(HI$1&lt;INDEX('Valo FX'!$Q:$Q,MATCH($A9,'Valo FX'!$A:$A,0)),0,IF(HI$1&lt;INDEX('Valo FX'!$R:$R,MATCH($A9,'Valo FX'!$A:$A,0)),INDEX(Base!$U:$U,MATCH($A9,Base!$A:$A,0)),IF(HI$1=INDEX('Valo FX'!$R:$R,MATCH($A9,'Valo FX'!$A:$A,0)),INDEX(Base!$V:$V,MATCH($A9,Base!$A:$A,0)),0)))</f>
        <v>11.548933999999999</v>
      </c>
      <c r="HJ9" s="21">
        <f>IF(HJ$1&lt;INDEX('Valo FX'!$Q:$Q,MATCH($A9,'Valo FX'!$A:$A,0)),0,IF(HJ$1&lt;INDEX('Valo FX'!$R:$R,MATCH($A9,'Valo FX'!$A:$A,0)),INDEX(Base!$U:$U,MATCH($A9,Base!$A:$A,0)),IF(HJ$1=INDEX('Valo FX'!$R:$R,MATCH($A9,'Valo FX'!$A:$A,0)),INDEX(Base!$V:$V,MATCH($A9,Base!$A:$A,0)),0)))</f>
        <v>11.548933999999999</v>
      </c>
      <c r="HK9" s="21">
        <f>IF(HK$1&lt;INDEX('Valo FX'!$Q:$Q,MATCH($A9,'Valo FX'!$A:$A,0)),0,IF(HK$1&lt;INDEX('Valo FX'!$R:$R,MATCH($A9,'Valo FX'!$A:$A,0)),INDEX(Base!$U:$U,MATCH($A9,Base!$A:$A,0)),IF(HK$1=INDEX('Valo FX'!$R:$R,MATCH($A9,'Valo FX'!$A:$A,0)),INDEX(Base!$V:$V,MATCH($A9,Base!$A:$A,0)),0)))</f>
        <v>11.548933999999999</v>
      </c>
      <c r="HL9" s="21">
        <f>IF(HL$1&lt;INDEX('Valo FX'!$Q:$Q,MATCH($A9,'Valo FX'!$A:$A,0)),0,IF(HL$1&lt;INDEX('Valo FX'!$R:$R,MATCH($A9,'Valo FX'!$A:$A,0)),INDEX(Base!$U:$U,MATCH($A9,Base!$A:$A,0)),IF(HL$1=INDEX('Valo FX'!$R:$R,MATCH($A9,'Valo FX'!$A:$A,0)),INDEX(Base!$V:$V,MATCH($A9,Base!$A:$A,0)),0)))</f>
        <v>11.548933999999999</v>
      </c>
      <c r="HM9" s="21">
        <f>IF(HM$1&lt;INDEX('Valo FX'!$Q:$Q,MATCH($A9,'Valo FX'!$A:$A,0)),0,IF(HM$1&lt;INDEX('Valo FX'!$R:$R,MATCH($A9,'Valo FX'!$A:$A,0)),INDEX(Base!$U:$U,MATCH($A9,Base!$A:$A,0)),IF(HM$1=INDEX('Valo FX'!$R:$R,MATCH($A9,'Valo FX'!$A:$A,0)),INDEX(Base!$V:$V,MATCH($A9,Base!$A:$A,0)),0)))</f>
        <v>11.548933999999999</v>
      </c>
      <c r="HN9" s="21">
        <f>IF(HN$1&lt;INDEX('Valo FX'!$Q:$Q,MATCH($A9,'Valo FX'!$A:$A,0)),0,IF(HN$1&lt;INDEX('Valo FX'!$R:$R,MATCH($A9,'Valo FX'!$A:$A,0)),INDEX(Base!$U:$U,MATCH($A9,Base!$A:$A,0)),IF(HN$1=INDEX('Valo FX'!$R:$R,MATCH($A9,'Valo FX'!$A:$A,0)),INDEX(Base!$V:$V,MATCH($A9,Base!$A:$A,0)),0)))</f>
        <v>11.548933999999999</v>
      </c>
      <c r="HO9" s="21">
        <f>IF(HO$1&lt;INDEX('Valo FX'!$Q:$Q,MATCH($A9,'Valo FX'!$A:$A,0)),0,IF(HO$1&lt;INDEX('Valo FX'!$R:$R,MATCH($A9,'Valo FX'!$A:$A,0)),INDEX(Base!$U:$U,MATCH($A9,Base!$A:$A,0)),IF(HO$1=INDEX('Valo FX'!$R:$R,MATCH($A9,'Valo FX'!$A:$A,0)),INDEX(Base!$V:$V,MATCH($A9,Base!$A:$A,0)),0)))</f>
        <v>11.548933999999999</v>
      </c>
      <c r="HP9" s="21">
        <f>IF(HP$1&lt;INDEX('Valo FX'!$Q:$Q,MATCH($A9,'Valo FX'!$A:$A,0)),0,IF(HP$1&lt;INDEX('Valo FX'!$R:$R,MATCH($A9,'Valo FX'!$A:$A,0)),INDEX(Base!$U:$U,MATCH($A9,Base!$A:$A,0)),IF(HP$1=INDEX('Valo FX'!$R:$R,MATCH($A9,'Valo FX'!$A:$A,0)),INDEX(Base!$V:$V,MATCH($A9,Base!$A:$A,0)),0)))</f>
        <v>11.548933999999999</v>
      </c>
      <c r="HQ9" s="21">
        <f>IF(HQ$1&lt;INDEX('Valo FX'!$Q:$Q,MATCH($A9,'Valo FX'!$A:$A,0)),0,IF(HQ$1&lt;INDEX('Valo FX'!$R:$R,MATCH($A9,'Valo FX'!$A:$A,0)),INDEX(Base!$U:$U,MATCH($A9,Base!$A:$A,0)),IF(HQ$1=INDEX('Valo FX'!$R:$R,MATCH($A9,'Valo FX'!$A:$A,0)),INDEX(Base!$V:$V,MATCH($A9,Base!$A:$A,0)),0)))</f>
        <v>11.548933999999999</v>
      </c>
      <c r="HR9" s="21">
        <f>IF(HR$1&lt;INDEX('Valo FX'!$Q:$Q,MATCH($A9,'Valo FX'!$A:$A,0)),0,IF(HR$1&lt;INDEX('Valo FX'!$R:$R,MATCH($A9,'Valo FX'!$A:$A,0)),INDEX(Base!$U:$U,MATCH($A9,Base!$A:$A,0)),IF(HR$1=INDEX('Valo FX'!$R:$R,MATCH($A9,'Valo FX'!$A:$A,0)),INDEX(Base!$V:$V,MATCH($A9,Base!$A:$A,0)),0)))</f>
        <v>11.548933999999999</v>
      </c>
      <c r="HS9" s="21">
        <f>IF(HS$1&lt;INDEX('Valo FX'!$Q:$Q,MATCH($A9,'Valo FX'!$A:$A,0)),0,IF(HS$1&lt;INDEX('Valo FX'!$R:$R,MATCH($A9,'Valo FX'!$A:$A,0)),INDEX(Base!$U:$U,MATCH($A9,Base!$A:$A,0)),IF(HS$1=INDEX('Valo FX'!$R:$R,MATCH($A9,'Valo FX'!$A:$A,0)),INDEX(Base!$V:$V,MATCH($A9,Base!$A:$A,0)),0)))</f>
        <v>11.548933999999999</v>
      </c>
      <c r="HT9" s="21">
        <f>IF(HT$1&lt;INDEX('Valo FX'!$Q:$Q,MATCH($A9,'Valo FX'!$A:$A,0)),0,IF(HT$1&lt;INDEX('Valo FX'!$R:$R,MATCH($A9,'Valo FX'!$A:$A,0)),INDEX(Base!$U:$U,MATCH($A9,Base!$A:$A,0)),IF(HT$1=INDEX('Valo FX'!$R:$R,MATCH($A9,'Valo FX'!$A:$A,0)),INDEX(Base!$V:$V,MATCH($A9,Base!$A:$A,0)),0)))</f>
        <v>11.548933999999999</v>
      </c>
      <c r="HU9" s="21">
        <f>IF(HU$1&lt;INDEX('Valo FX'!$Q:$Q,MATCH($A9,'Valo FX'!$A:$A,0)),0,IF(HU$1&lt;INDEX('Valo FX'!$R:$R,MATCH($A9,'Valo FX'!$A:$A,0)),INDEX(Base!$U:$U,MATCH($A9,Base!$A:$A,0)),IF(HU$1=INDEX('Valo FX'!$R:$R,MATCH($A9,'Valo FX'!$A:$A,0)),INDEX(Base!$V:$V,MATCH($A9,Base!$A:$A,0)),0)))</f>
        <v>11.548933999999999</v>
      </c>
      <c r="HV9" s="21">
        <f>IF(HV$1&lt;INDEX('Valo FX'!$Q:$Q,MATCH($A9,'Valo FX'!$A:$A,0)),0,IF(HV$1&lt;INDEX('Valo FX'!$R:$R,MATCH($A9,'Valo FX'!$A:$A,0)),INDEX(Base!$U:$U,MATCH($A9,Base!$A:$A,0)),IF(HV$1=INDEX('Valo FX'!$R:$R,MATCH($A9,'Valo FX'!$A:$A,0)),INDEX(Base!$V:$V,MATCH($A9,Base!$A:$A,0)),0)))</f>
        <v>11.548933999999999</v>
      </c>
      <c r="HW9" s="21">
        <f>IF(HW$1&lt;INDEX('Valo FX'!$Q:$Q,MATCH($A9,'Valo FX'!$A:$A,0)),0,IF(HW$1&lt;INDEX('Valo FX'!$R:$R,MATCH($A9,'Valo FX'!$A:$A,0)),INDEX(Base!$U:$U,MATCH($A9,Base!$A:$A,0)),IF(HW$1=INDEX('Valo FX'!$R:$R,MATCH($A9,'Valo FX'!$A:$A,0)),INDEX(Base!$V:$V,MATCH($A9,Base!$A:$A,0)),0)))</f>
        <v>11.548933999999999</v>
      </c>
      <c r="HX9" s="21">
        <f>IF(HX$1&lt;INDEX('Valo FX'!$Q:$Q,MATCH($A9,'Valo FX'!$A:$A,0)),0,IF(HX$1&lt;INDEX('Valo FX'!$R:$R,MATCH($A9,'Valo FX'!$A:$A,0)),INDEX(Base!$U:$U,MATCH($A9,Base!$A:$A,0)),IF(HX$1=INDEX('Valo FX'!$R:$R,MATCH($A9,'Valo FX'!$A:$A,0)),INDEX(Base!$V:$V,MATCH($A9,Base!$A:$A,0)),0)))</f>
        <v>11.548933999999999</v>
      </c>
      <c r="HY9" s="21">
        <f>IF(HY$1&lt;INDEX('Valo FX'!$Q:$Q,MATCH($A9,'Valo FX'!$A:$A,0)),0,IF(HY$1&lt;INDEX('Valo FX'!$R:$R,MATCH($A9,'Valo FX'!$A:$A,0)),INDEX(Base!$U:$U,MATCH($A9,Base!$A:$A,0)),IF(HY$1=INDEX('Valo FX'!$R:$R,MATCH($A9,'Valo FX'!$A:$A,0)),INDEX(Base!$V:$V,MATCH($A9,Base!$A:$A,0)),0)))</f>
        <v>11.548933999999999</v>
      </c>
      <c r="HZ9" s="21">
        <f>IF(HZ$1&lt;INDEX('Valo FX'!$Q:$Q,MATCH($A9,'Valo FX'!$A:$A,0)),0,IF(HZ$1&lt;INDEX('Valo FX'!$R:$R,MATCH($A9,'Valo FX'!$A:$A,0)),INDEX(Base!$U:$U,MATCH($A9,Base!$A:$A,0)),IF(HZ$1=INDEX('Valo FX'!$R:$R,MATCH($A9,'Valo FX'!$A:$A,0)),INDEX(Base!$V:$V,MATCH($A9,Base!$A:$A,0)),0)))</f>
        <v>11.548933999999999</v>
      </c>
      <c r="IA9" s="21">
        <f>IF(IA$1&lt;INDEX('Valo FX'!$Q:$Q,MATCH($A9,'Valo FX'!$A:$A,0)),0,IF(IA$1&lt;INDEX('Valo FX'!$R:$R,MATCH($A9,'Valo FX'!$A:$A,0)),INDEX(Base!$U:$U,MATCH($A9,Base!$A:$A,0)),IF(IA$1=INDEX('Valo FX'!$R:$R,MATCH($A9,'Valo FX'!$A:$A,0)),INDEX(Base!$V:$V,MATCH($A9,Base!$A:$A,0)),0)))</f>
        <v>11.548933999999999</v>
      </c>
      <c r="IB9" s="21">
        <f>IF(IB$1&lt;INDEX('Valo FX'!$Q:$Q,MATCH($A9,'Valo FX'!$A:$A,0)),0,IF(IB$1&lt;INDEX('Valo FX'!$R:$R,MATCH($A9,'Valo FX'!$A:$A,0)),INDEX(Base!$U:$U,MATCH($A9,Base!$A:$A,0)),IF(IB$1=INDEX('Valo FX'!$R:$R,MATCH($A9,'Valo FX'!$A:$A,0)),INDEX(Base!$V:$V,MATCH($A9,Base!$A:$A,0)),0)))</f>
        <v>11.548933999999999</v>
      </c>
      <c r="IC9" s="21">
        <f>IF(IC$1&lt;INDEX('Valo FX'!$Q:$Q,MATCH($A9,'Valo FX'!$A:$A,0)),0,IF(IC$1&lt;INDEX('Valo FX'!$R:$R,MATCH($A9,'Valo FX'!$A:$A,0)),INDEX(Base!$U:$U,MATCH($A9,Base!$A:$A,0)),IF(IC$1=INDEX('Valo FX'!$R:$R,MATCH($A9,'Valo FX'!$A:$A,0)),INDEX(Base!$V:$V,MATCH($A9,Base!$A:$A,0)),0)))</f>
        <v>11.548933999999999</v>
      </c>
      <c r="ID9" s="21">
        <f>IF(ID$1&lt;INDEX('Valo FX'!$Q:$Q,MATCH($A9,'Valo FX'!$A:$A,0)),0,IF(ID$1&lt;INDEX('Valo FX'!$R:$R,MATCH($A9,'Valo FX'!$A:$A,0)),INDEX(Base!$U:$U,MATCH($A9,Base!$A:$A,0)),IF(ID$1=INDEX('Valo FX'!$R:$R,MATCH($A9,'Valo FX'!$A:$A,0)),INDEX(Base!$V:$V,MATCH($A9,Base!$A:$A,0)),0)))</f>
        <v>11.548933999999999</v>
      </c>
      <c r="IE9" s="21">
        <f>IF(IE$1&lt;INDEX('Valo FX'!$Q:$Q,MATCH($A9,'Valo FX'!$A:$A,0)),0,IF(IE$1&lt;INDEX('Valo FX'!$R:$R,MATCH($A9,'Valo FX'!$A:$A,0)),INDEX(Base!$U:$U,MATCH($A9,Base!$A:$A,0)),IF(IE$1=INDEX('Valo FX'!$R:$R,MATCH($A9,'Valo FX'!$A:$A,0)),INDEX(Base!$V:$V,MATCH($A9,Base!$A:$A,0)),0)))</f>
        <v>11.548933999999999</v>
      </c>
      <c r="IF9" s="21">
        <f>IF(IF$1&lt;INDEX('Valo FX'!$Q:$Q,MATCH($A9,'Valo FX'!$A:$A,0)),0,IF(IF$1&lt;INDEX('Valo FX'!$R:$R,MATCH($A9,'Valo FX'!$A:$A,0)),INDEX(Base!$U:$U,MATCH($A9,Base!$A:$A,0)),IF(IF$1=INDEX('Valo FX'!$R:$R,MATCH($A9,'Valo FX'!$A:$A,0)),INDEX(Base!$V:$V,MATCH($A9,Base!$A:$A,0)),0)))</f>
        <v>11.548933999999999</v>
      </c>
      <c r="IG9" s="21">
        <f>IF(IG$1&lt;INDEX('Valo FX'!$Q:$Q,MATCH($A9,'Valo FX'!$A:$A,0)),0,IF(IG$1&lt;INDEX('Valo FX'!$R:$R,MATCH($A9,'Valo FX'!$A:$A,0)),INDEX(Base!$U:$U,MATCH($A9,Base!$A:$A,0)),IF(IG$1=INDEX('Valo FX'!$R:$R,MATCH($A9,'Valo FX'!$A:$A,0)),INDEX(Base!$V:$V,MATCH($A9,Base!$A:$A,0)),0)))</f>
        <v>11.548933999999999</v>
      </c>
      <c r="IH9" s="21">
        <f>IF(IH$1&lt;INDEX('Valo FX'!$Q:$Q,MATCH($A9,'Valo FX'!$A:$A,0)),0,IF(IH$1&lt;INDEX('Valo FX'!$R:$R,MATCH($A9,'Valo FX'!$A:$A,0)),INDEX(Base!$U:$U,MATCH($A9,Base!$A:$A,0)),IF(IH$1=INDEX('Valo FX'!$R:$R,MATCH($A9,'Valo FX'!$A:$A,0)),INDEX(Base!$V:$V,MATCH($A9,Base!$A:$A,0)),0)))</f>
        <v>11.548933999999999</v>
      </c>
      <c r="II9" s="21">
        <f>IF(II$1&lt;INDEX('Valo FX'!$Q:$Q,MATCH($A9,'Valo FX'!$A:$A,0)),0,IF(II$1&lt;INDEX('Valo FX'!$R:$R,MATCH($A9,'Valo FX'!$A:$A,0)),INDEX(Base!$U:$U,MATCH($A9,Base!$A:$A,0)),IF(II$1=INDEX('Valo FX'!$R:$R,MATCH($A9,'Valo FX'!$A:$A,0)),INDEX(Base!$V:$V,MATCH($A9,Base!$A:$A,0)),0)))</f>
        <v>11.548933999999999</v>
      </c>
      <c r="IJ9" s="21">
        <f>IF(IJ$1&lt;INDEX('Valo FX'!$Q:$Q,MATCH($A9,'Valo FX'!$A:$A,0)),0,IF(IJ$1&lt;INDEX('Valo FX'!$R:$R,MATCH($A9,'Valo FX'!$A:$A,0)),INDEX(Base!$U:$U,MATCH($A9,Base!$A:$A,0)),IF(IJ$1=INDEX('Valo FX'!$R:$R,MATCH($A9,'Valo FX'!$A:$A,0)),INDEX(Base!$V:$V,MATCH($A9,Base!$A:$A,0)),0)))</f>
        <v>11.548933999999999</v>
      </c>
      <c r="IK9" s="21">
        <f>IF(IK$1&lt;INDEX('Valo FX'!$Q:$Q,MATCH($A9,'Valo FX'!$A:$A,0)),0,IF(IK$1&lt;INDEX('Valo FX'!$R:$R,MATCH($A9,'Valo FX'!$A:$A,0)),INDEX(Base!$U:$U,MATCH($A9,Base!$A:$A,0)),IF(IK$1=INDEX('Valo FX'!$R:$R,MATCH($A9,'Valo FX'!$A:$A,0)),INDEX(Base!$V:$V,MATCH($A9,Base!$A:$A,0)),0)))</f>
        <v>11.548933999999999</v>
      </c>
      <c r="IL9" s="21">
        <f>IF(IL$1&lt;INDEX('Valo FX'!$Q:$Q,MATCH($A9,'Valo FX'!$A:$A,0)),0,IF(IL$1&lt;INDEX('Valo FX'!$R:$R,MATCH($A9,'Valo FX'!$A:$A,0)),INDEX(Base!$U:$U,MATCH($A9,Base!$A:$A,0)),IF(IL$1=INDEX('Valo FX'!$R:$R,MATCH($A9,'Valo FX'!$A:$A,0)),INDEX(Base!$V:$V,MATCH($A9,Base!$A:$A,0)),0)))</f>
        <v>11.548933999999999</v>
      </c>
      <c r="IM9" s="21">
        <f>IF(IM$1&lt;INDEX('Valo FX'!$Q:$Q,MATCH($A9,'Valo FX'!$A:$A,0)),0,IF(IM$1&lt;INDEX('Valo FX'!$R:$R,MATCH($A9,'Valo FX'!$A:$A,0)),INDEX(Base!$U:$U,MATCH($A9,Base!$A:$A,0)),IF(IM$1=INDEX('Valo FX'!$R:$R,MATCH($A9,'Valo FX'!$A:$A,0)),INDEX(Base!$V:$V,MATCH($A9,Base!$A:$A,0)),0)))</f>
        <v>11.548933999999999</v>
      </c>
      <c r="IN9" s="21">
        <f>IF(IN$1&lt;INDEX('Valo FX'!$Q:$Q,MATCH($A9,'Valo FX'!$A:$A,0)),0,IF(IN$1&lt;INDEX('Valo FX'!$R:$R,MATCH($A9,'Valo FX'!$A:$A,0)),INDEX(Base!$U:$U,MATCH($A9,Base!$A:$A,0)),IF(IN$1=INDEX('Valo FX'!$R:$R,MATCH($A9,'Valo FX'!$A:$A,0)),INDEX(Base!$V:$V,MATCH($A9,Base!$A:$A,0)),0)))</f>
        <v>11.548933999999999</v>
      </c>
      <c r="IO9" s="21">
        <f>IF(IO$1&lt;INDEX('Valo FX'!$Q:$Q,MATCH($A9,'Valo FX'!$A:$A,0)),0,IF(IO$1&lt;INDEX('Valo FX'!$R:$R,MATCH($A9,'Valo FX'!$A:$A,0)),INDEX(Base!$U:$U,MATCH($A9,Base!$A:$A,0)),IF(IO$1=INDEX('Valo FX'!$R:$R,MATCH($A9,'Valo FX'!$A:$A,0)),INDEX(Base!$V:$V,MATCH($A9,Base!$A:$A,0)),0)))</f>
        <v>11.548933999999999</v>
      </c>
      <c r="IP9" s="21">
        <f>IF(IP$1&lt;INDEX('Valo FX'!$Q:$Q,MATCH($A9,'Valo FX'!$A:$A,0)),0,IF(IP$1&lt;INDEX('Valo FX'!$R:$R,MATCH($A9,'Valo FX'!$A:$A,0)),INDEX(Base!$U:$U,MATCH($A9,Base!$A:$A,0)),IF(IP$1=INDEX('Valo FX'!$R:$R,MATCH($A9,'Valo FX'!$A:$A,0)),INDEX(Base!$V:$V,MATCH($A9,Base!$A:$A,0)),0)))</f>
        <v>11.548933999999999</v>
      </c>
      <c r="IQ9" s="21">
        <f>IF(IQ$1&lt;INDEX('Valo FX'!$Q:$Q,MATCH($A9,'Valo FX'!$A:$A,0)),0,IF(IQ$1&lt;INDEX('Valo FX'!$R:$R,MATCH($A9,'Valo FX'!$A:$A,0)),INDEX(Base!$U:$U,MATCH($A9,Base!$A:$A,0)),IF(IQ$1=INDEX('Valo FX'!$R:$R,MATCH($A9,'Valo FX'!$A:$A,0)),INDEX(Base!$V:$V,MATCH($A9,Base!$A:$A,0)),0)))</f>
        <v>11.548933999999999</v>
      </c>
      <c r="IR9" s="21">
        <f>IF(IR$1&lt;INDEX('Valo FX'!$Q:$Q,MATCH($A9,'Valo FX'!$A:$A,0)),0,IF(IR$1&lt;INDEX('Valo FX'!$R:$R,MATCH($A9,'Valo FX'!$A:$A,0)),INDEX(Base!$U:$U,MATCH($A9,Base!$A:$A,0)),IF(IR$1=INDEX('Valo FX'!$R:$R,MATCH($A9,'Valo FX'!$A:$A,0)),INDEX(Base!$V:$V,MATCH($A9,Base!$A:$A,0)),0)))</f>
        <v>11.548933999999999</v>
      </c>
      <c r="IS9" s="21">
        <f>IF(IS$1&lt;INDEX('Valo FX'!$Q:$Q,MATCH($A9,'Valo FX'!$A:$A,0)),0,IF(IS$1&lt;INDEX('Valo FX'!$R:$R,MATCH($A9,'Valo FX'!$A:$A,0)),INDEX(Base!$U:$U,MATCH($A9,Base!$A:$A,0)),IF(IS$1=INDEX('Valo FX'!$R:$R,MATCH($A9,'Valo FX'!$A:$A,0)),INDEX(Base!$V:$V,MATCH($A9,Base!$A:$A,0)),0)))</f>
        <v>11.548933999999999</v>
      </c>
      <c r="IT9" s="21">
        <f>IF(IT$1&lt;INDEX('Valo FX'!$Q:$Q,MATCH($A9,'Valo FX'!$A:$A,0)),0,IF(IT$1&lt;INDEX('Valo FX'!$R:$R,MATCH($A9,'Valo FX'!$A:$A,0)),INDEX(Base!$U:$U,MATCH($A9,Base!$A:$A,0)),IF(IT$1=INDEX('Valo FX'!$R:$R,MATCH($A9,'Valo FX'!$A:$A,0)),INDEX(Base!$V:$V,MATCH($A9,Base!$A:$A,0)),0)))</f>
        <v>11.548933999999999</v>
      </c>
      <c r="IU9" s="21">
        <f>IF(IU$1&lt;INDEX('Valo FX'!$Q:$Q,MATCH($A9,'Valo FX'!$A:$A,0)),0,IF(IU$1&lt;INDEX('Valo FX'!$R:$R,MATCH($A9,'Valo FX'!$A:$A,0)),INDEX(Base!$U:$U,MATCH($A9,Base!$A:$A,0)),IF(IU$1=INDEX('Valo FX'!$R:$R,MATCH($A9,'Valo FX'!$A:$A,0)),INDEX(Base!$V:$V,MATCH($A9,Base!$A:$A,0)),0)))</f>
        <v>11.548933999999999</v>
      </c>
      <c r="IV9" s="21">
        <f>IF(IV$1&lt;INDEX('Valo FX'!$Q:$Q,MATCH($A9,'Valo FX'!$A:$A,0)),0,IF(IV$1&lt;INDEX('Valo FX'!$R:$R,MATCH($A9,'Valo FX'!$A:$A,0)),INDEX(Base!$U:$U,MATCH($A9,Base!$A:$A,0)),IF(IV$1=INDEX('Valo FX'!$R:$R,MATCH($A9,'Valo FX'!$A:$A,0)),INDEX(Base!$V:$V,MATCH($A9,Base!$A:$A,0)),0)))</f>
        <v>11.548933999999999</v>
      </c>
      <c r="IW9" s="21">
        <f>IF(IW$1&lt;INDEX('Valo FX'!$Q:$Q,MATCH($A9,'Valo FX'!$A:$A,0)),0,IF(IW$1&lt;INDEX('Valo FX'!$R:$R,MATCH($A9,'Valo FX'!$A:$A,0)),INDEX(Base!$U:$U,MATCH($A9,Base!$A:$A,0)),IF(IW$1=INDEX('Valo FX'!$R:$R,MATCH($A9,'Valo FX'!$A:$A,0)),INDEX(Base!$V:$V,MATCH($A9,Base!$A:$A,0)),0)))</f>
        <v>11.548933999999999</v>
      </c>
      <c r="IX9" s="21">
        <f>IF(IX$1&lt;INDEX('Valo FX'!$Q:$Q,MATCH($A9,'Valo FX'!$A:$A,0)),0,IF(IX$1&lt;INDEX('Valo FX'!$R:$R,MATCH($A9,'Valo FX'!$A:$A,0)),INDEX(Base!$U:$U,MATCH($A9,Base!$A:$A,0)),IF(IX$1=INDEX('Valo FX'!$R:$R,MATCH($A9,'Valo FX'!$A:$A,0)),INDEX(Base!$V:$V,MATCH($A9,Base!$A:$A,0)),0)))</f>
        <v>11.548933999999999</v>
      </c>
      <c r="IY9" s="21">
        <f>IF(IY$1&lt;INDEX('Valo FX'!$Q:$Q,MATCH($A9,'Valo FX'!$A:$A,0)),0,IF(IY$1&lt;INDEX('Valo FX'!$R:$R,MATCH($A9,'Valo FX'!$A:$A,0)),INDEX(Base!$U:$U,MATCH($A9,Base!$A:$A,0)),IF(IY$1=INDEX('Valo FX'!$R:$R,MATCH($A9,'Valo FX'!$A:$A,0)),INDEX(Base!$V:$V,MATCH($A9,Base!$A:$A,0)),0)))</f>
        <v>11.548933999999999</v>
      </c>
      <c r="IZ9" s="21">
        <f>IF(IZ$1&lt;INDEX('Valo FX'!$Q:$Q,MATCH($A9,'Valo FX'!$A:$A,0)),0,IF(IZ$1&lt;INDEX('Valo FX'!$R:$R,MATCH($A9,'Valo FX'!$A:$A,0)),INDEX(Base!$U:$U,MATCH($A9,Base!$A:$A,0)),IF(IZ$1=INDEX('Valo FX'!$R:$R,MATCH($A9,'Valo FX'!$A:$A,0)),INDEX(Base!$V:$V,MATCH($A9,Base!$A:$A,0)),0)))</f>
        <v>11.548933999999999</v>
      </c>
      <c r="JA9" s="21">
        <f>IF(JA$1&lt;INDEX('Valo FX'!$Q:$Q,MATCH($A9,'Valo FX'!$A:$A,0)),0,IF(JA$1&lt;INDEX('Valo FX'!$R:$R,MATCH($A9,'Valo FX'!$A:$A,0)),INDEX(Base!$U:$U,MATCH($A9,Base!$A:$A,0)),IF(JA$1=INDEX('Valo FX'!$R:$R,MATCH($A9,'Valo FX'!$A:$A,0)),INDEX(Base!$V:$V,MATCH($A9,Base!$A:$A,0)),0)))</f>
        <v>11.548933999999999</v>
      </c>
      <c r="JB9" s="21">
        <f>IF(JB$1&lt;INDEX('Valo FX'!$Q:$Q,MATCH($A9,'Valo FX'!$A:$A,0)),0,IF(JB$1&lt;INDEX('Valo FX'!$R:$R,MATCH($A9,'Valo FX'!$A:$A,0)),INDEX(Base!$U:$U,MATCH($A9,Base!$A:$A,0)),IF(JB$1=INDEX('Valo FX'!$R:$R,MATCH($A9,'Valo FX'!$A:$A,0)),INDEX(Base!$V:$V,MATCH($A9,Base!$A:$A,0)),0)))</f>
        <v>11.548933999999999</v>
      </c>
      <c r="JC9" s="21">
        <f>IF(JC$1&lt;INDEX('Valo FX'!$Q:$Q,MATCH($A9,'Valo FX'!$A:$A,0)),0,IF(JC$1&lt;INDEX('Valo FX'!$R:$R,MATCH($A9,'Valo FX'!$A:$A,0)),INDEX(Base!$U:$U,MATCH($A9,Base!$A:$A,0)),IF(JC$1=INDEX('Valo FX'!$R:$R,MATCH($A9,'Valo FX'!$A:$A,0)),INDEX(Base!$V:$V,MATCH($A9,Base!$A:$A,0)),0)))</f>
        <v>11.548933999999999</v>
      </c>
      <c r="JD9" s="21">
        <f>IF(JD$1&lt;INDEX('Valo FX'!$Q:$Q,MATCH($A9,'Valo FX'!$A:$A,0)),0,IF(JD$1&lt;INDEX('Valo FX'!$R:$R,MATCH($A9,'Valo FX'!$A:$A,0)),INDEX(Base!$U:$U,MATCH($A9,Base!$A:$A,0)),IF(JD$1=INDEX('Valo FX'!$R:$R,MATCH($A9,'Valo FX'!$A:$A,0)),INDEX(Base!$V:$V,MATCH($A9,Base!$A:$A,0)),0)))</f>
        <v>11.548933999999999</v>
      </c>
      <c r="JE9" s="21">
        <f>IF(JE$1&lt;INDEX('Valo FX'!$Q:$Q,MATCH($A9,'Valo FX'!$A:$A,0)),0,IF(JE$1&lt;INDEX('Valo FX'!$R:$R,MATCH($A9,'Valo FX'!$A:$A,0)),INDEX(Base!$U:$U,MATCH($A9,Base!$A:$A,0)),IF(JE$1=INDEX('Valo FX'!$R:$R,MATCH($A9,'Valo FX'!$A:$A,0)),INDEX(Base!$V:$V,MATCH($A9,Base!$A:$A,0)),0)))</f>
        <v>11.548933999999999</v>
      </c>
      <c r="JF9" s="21">
        <f>IF(JF$1&lt;INDEX('Valo FX'!$Q:$Q,MATCH($A9,'Valo FX'!$A:$A,0)),0,IF(JF$1&lt;INDEX('Valo FX'!$R:$R,MATCH($A9,'Valo FX'!$A:$A,0)),INDEX(Base!$U:$U,MATCH($A9,Base!$A:$A,0)),IF(JF$1=INDEX('Valo FX'!$R:$R,MATCH($A9,'Valo FX'!$A:$A,0)),INDEX(Base!$V:$V,MATCH($A9,Base!$A:$A,0)),0)))</f>
        <v>11.548933999999999</v>
      </c>
      <c r="JG9" s="21">
        <f>IF(JG$1&lt;INDEX('Valo FX'!$Q:$Q,MATCH($A9,'Valo FX'!$A:$A,0)),0,IF(JG$1&lt;INDEX('Valo FX'!$R:$R,MATCH($A9,'Valo FX'!$A:$A,0)),INDEX(Base!$U:$U,MATCH($A9,Base!$A:$A,0)),IF(JG$1=INDEX('Valo FX'!$R:$R,MATCH($A9,'Valo FX'!$A:$A,0)),INDEX(Base!$V:$V,MATCH($A9,Base!$A:$A,0)),0)))</f>
        <v>11.548933999999999</v>
      </c>
      <c r="JH9" s="21">
        <f>IF(JH$1&lt;INDEX('Valo FX'!$Q:$Q,MATCH($A9,'Valo FX'!$A:$A,0)),0,IF(JH$1&lt;INDEX('Valo FX'!$R:$R,MATCH($A9,'Valo FX'!$A:$A,0)),INDEX(Base!$U:$U,MATCH($A9,Base!$A:$A,0)),IF(JH$1=INDEX('Valo FX'!$R:$R,MATCH($A9,'Valo FX'!$A:$A,0)),INDEX(Base!$V:$V,MATCH($A9,Base!$A:$A,0)),0)))</f>
        <v>11.548933999999999</v>
      </c>
      <c r="JI9" s="21">
        <f>IF(JI$1&lt;INDEX('Valo FX'!$Q:$Q,MATCH($A9,'Valo FX'!$A:$A,0)),0,IF(JI$1&lt;INDEX('Valo FX'!$R:$R,MATCH($A9,'Valo FX'!$A:$A,0)),INDEX(Base!$U:$U,MATCH($A9,Base!$A:$A,0)),IF(JI$1=INDEX('Valo FX'!$R:$R,MATCH($A9,'Valo FX'!$A:$A,0)),INDEX(Base!$V:$V,MATCH($A9,Base!$A:$A,0)),0)))</f>
        <v>11.548933999999999</v>
      </c>
      <c r="JJ9" s="21">
        <f>IF(JJ$1&lt;INDEX('Valo FX'!$Q:$Q,MATCH($A9,'Valo FX'!$A:$A,0)),0,IF(JJ$1&lt;INDEX('Valo FX'!$R:$R,MATCH($A9,'Valo FX'!$A:$A,0)),INDEX(Base!$U:$U,MATCH($A9,Base!$A:$A,0)),IF(JJ$1=INDEX('Valo FX'!$R:$R,MATCH($A9,'Valo FX'!$A:$A,0)),INDEX(Base!$V:$V,MATCH($A9,Base!$A:$A,0)),0)))</f>
        <v>11.548933999999999</v>
      </c>
      <c r="JK9" s="21">
        <f>IF(JK$1&lt;INDEX('Valo FX'!$Q:$Q,MATCH($A9,'Valo FX'!$A:$A,0)),0,IF(JK$1&lt;INDEX('Valo FX'!$R:$R,MATCH($A9,'Valo FX'!$A:$A,0)),INDEX(Base!$U:$U,MATCH($A9,Base!$A:$A,0)),IF(JK$1=INDEX('Valo FX'!$R:$R,MATCH($A9,'Valo FX'!$A:$A,0)),INDEX(Base!$V:$V,MATCH($A9,Base!$A:$A,0)),0)))</f>
        <v>11.548933999999999</v>
      </c>
      <c r="JL9" s="21">
        <f>IF(JL$1&lt;INDEX('Valo FX'!$Q:$Q,MATCH($A9,'Valo FX'!$A:$A,0)),0,IF(JL$1&lt;INDEX('Valo FX'!$R:$R,MATCH($A9,'Valo FX'!$A:$A,0)),INDEX(Base!$U:$U,MATCH($A9,Base!$A:$A,0)),IF(JL$1=INDEX('Valo FX'!$R:$R,MATCH($A9,'Valo FX'!$A:$A,0)),INDEX(Base!$V:$V,MATCH($A9,Base!$A:$A,0)),0)))</f>
        <v>11.548933999999999</v>
      </c>
      <c r="JM9" s="21">
        <f>IF(JM$1&lt;INDEX('Valo FX'!$Q:$Q,MATCH($A9,'Valo FX'!$A:$A,0)),0,IF(JM$1&lt;INDEX('Valo FX'!$R:$R,MATCH($A9,'Valo FX'!$A:$A,0)),INDEX(Base!$U:$U,MATCH($A9,Base!$A:$A,0)),IF(JM$1=INDEX('Valo FX'!$R:$R,MATCH($A9,'Valo FX'!$A:$A,0)),INDEX(Base!$V:$V,MATCH($A9,Base!$A:$A,0)),0)))</f>
        <v>11.548933999999999</v>
      </c>
      <c r="JN9" s="21">
        <f>IF(JN$1&lt;INDEX('Valo FX'!$Q:$Q,MATCH($A9,'Valo FX'!$A:$A,0)),0,IF(JN$1&lt;INDEX('Valo FX'!$R:$R,MATCH($A9,'Valo FX'!$A:$A,0)),INDEX(Base!$U:$U,MATCH($A9,Base!$A:$A,0)),IF(JN$1=INDEX('Valo FX'!$R:$R,MATCH($A9,'Valo FX'!$A:$A,0)),INDEX(Base!$V:$V,MATCH($A9,Base!$A:$A,0)),0)))</f>
        <v>11.548933999999999</v>
      </c>
      <c r="JO9" s="21">
        <f>IF(JO$1&lt;INDEX('Valo FX'!$Q:$Q,MATCH($A9,'Valo FX'!$A:$A,0)),0,IF(JO$1&lt;INDEX('Valo FX'!$R:$R,MATCH($A9,'Valo FX'!$A:$A,0)),INDEX(Base!$U:$U,MATCH($A9,Base!$A:$A,0)),IF(JO$1=INDEX('Valo FX'!$R:$R,MATCH($A9,'Valo FX'!$A:$A,0)),INDEX(Base!$V:$V,MATCH($A9,Base!$A:$A,0)),0)))</f>
        <v>11.548933999999999</v>
      </c>
      <c r="JP9" s="21">
        <f>IF(JP$1&lt;INDEX('Valo FX'!$Q:$Q,MATCH($A9,'Valo FX'!$A:$A,0)),0,IF(JP$1&lt;INDEX('Valo FX'!$R:$R,MATCH($A9,'Valo FX'!$A:$A,0)),INDEX(Base!$U:$U,MATCH($A9,Base!$A:$A,0)),IF(JP$1=INDEX('Valo FX'!$R:$R,MATCH($A9,'Valo FX'!$A:$A,0)),INDEX(Base!$V:$V,MATCH($A9,Base!$A:$A,0)),0)))</f>
        <v>11.548933999999999</v>
      </c>
      <c r="JQ9" s="21">
        <f>IF(JQ$1&lt;INDEX('Valo FX'!$Q:$Q,MATCH($A9,'Valo FX'!$A:$A,0)),0,IF(JQ$1&lt;INDEX('Valo FX'!$R:$R,MATCH($A9,'Valo FX'!$A:$A,0)),INDEX(Base!$U:$U,MATCH($A9,Base!$A:$A,0)),IF(JQ$1=INDEX('Valo FX'!$R:$R,MATCH($A9,'Valo FX'!$A:$A,0)),INDEX(Base!$V:$V,MATCH($A9,Base!$A:$A,0)),0)))</f>
        <v>11.548933999999999</v>
      </c>
      <c r="JR9" s="21">
        <f>IF(JR$1&lt;INDEX('Valo FX'!$Q:$Q,MATCH($A9,'Valo FX'!$A:$A,0)),0,IF(JR$1&lt;INDEX('Valo FX'!$R:$R,MATCH($A9,'Valo FX'!$A:$A,0)),INDEX(Base!$U:$U,MATCH($A9,Base!$A:$A,0)),IF(JR$1=INDEX('Valo FX'!$R:$R,MATCH($A9,'Valo FX'!$A:$A,0)),INDEX(Base!$V:$V,MATCH($A9,Base!$A:$A,0)),0)))</f>
        <v>11.548933999999999</v>
      </c>
      <c r="JS9" s="21">
        <f>IF(JS$1&lt;INDEX('Valo FX'!$Q:$Q,MATCH($A9,'Valo FX'!$A:$A,0)),0,IF(JS$1&lt;INDEX('Valo FX'!$R:$R,MATCH($A9,'Valo FX'!$A:$A,0)),INDEX(Base!$U:$U,MATCH($A9,Base!$A:$A,0)),IF(JS$1=INDEX('Valo FX'!$R:$R,MATCH($A9,'Valo FX'!$A:$A,0)),INDEX(Base!$V:$V,MATCH($A9,Base!$A:$A,0)),0)))</f>
        <v>11.548933999999999</v>
      </c>
      <c r="JT9" s="21">
        <f>IF(JT$1&lt;INDEX('Valo FX'!$Q:$Q,MATCH($A9,'Valo FX'!$A:$A,0)),0,IF(JT$1&lt;INDEX('Valo FX'!$R:$R,MATCH($A9,'Valo FX'!$A:$A,0)),INDEX(Base!$U:$U,MATCH($A9,Base!$A:$A,0)),IF(JT$1=INDEX('Valo FX'!$R:$R,MATCH($A9,'Valo FX'!$A:$A,0)),INDEX(Base!$V:$V,MATCH($A9,Base!$A:$A,0)),0)))</f>
        <v>11.548933999999999</v>
      </c>
      <c r="JU9" s="21">
        <f>IF(JU$1&lt;INDEX('Valo FX'!$Q:$Q,MATCH($A9,'Valo FX'!$A:$A,0)),0,IF(JU$1&lt;INDEX('Valo FX'!$R:$R,MATCH($A9,'Valo FX'!$A:$A,0)),INDEX(Base!$U:$U,MATCH($A9,Base!$A:$A,0)),IF(JU$1=INDEX('Valo FX'!$R:$R,MATCH($A9,'Valo FX'!$A:$A,0)),INDEX(Base!$V:$V,MATCH($A9,Base!$A:$A,0)),0)))</f>
        <v>11.548933999999999</v>
      </c>
      <c r="JV9" s="21">
        <f>IF(JV$1&lt;INDEX('Valo FX'!$Q:$Q,MATCH($A9,'Valo FX'!$A:$A,0)),0,IF(JV$1&lt;INDEX('Valo FX'!$R:$R,MATCH($A9,'Valo FX'!$A:$A,0)),INDEX(Base!$U:$U,MATCH($A9,Base!$A:$A,0)),IF(JV$1=INDEX('Valo FX'!$R:$R,MATCH($A9,'Valo FX'!$A:$A,0)),INDEX(Base!$V:$V,MATCH($A9,Base!$A:$A,0)),0)))</f>
        <v>11.548933999999999</v>
      </c>
      <c r="JW9" s="21">
        <f>IF(JW$1&lt;INDEX('Valo FX'!$Q:$Q,MATCH($A9,'Valo FX'!$A:$A,0)),0,IF(JW$1&lt;INDEX('Valo FX'!$R:$R,MATCH($A9,'Valo FX'!$A:$A,0)),INDEX(Base!$U:$U,MATCH($A9,Base!$A:$A,0)),IF(JW$1=INDEX('Valo FX'!$R:$R,MATCH($A9,'Valo FX'!$A:$A,0)),INDEX(Base!$V:$V,MATCH($A9,Base!$A:$A,0)),0)))</f>
        <v>11.548933999999999</v>
      </c>
      <c r="JX9" s="21">
        <f>IF(JX$1&lt;INDEX('Valo FX'!$Q:$Q,MATCH($A9,'Valo FX'!$A:$A,0)),0,IF(JX$1&lt;INDEX('Valo FX'!$R:$R,MATCH($A9,'Valo FX'!$A:$A,0)),INDEX(Base!$U:$U,MATCH($A9,Base!$A:$A,0)),IF(JX$1=INDEX('Valo FX'!$R:$R,MATCH($A9,'Valo FX'!$A:$A,0)),INDEX(Base!$V:$V,MATCH($A9,Base!$A:$A,0)),0)))</f>
        <v>11.548933999999999</v>
      </c>
      <c r="JY9" s="21">
        <f>IF(JY$1&lt;INDEX('Valo FX'!$Q:$Q,MATCH($A9,'Valo FX'!$A:$A,0)),0,IF(JY$1&lt;INDEX('Valo FX'!$R:$R,MATCH($A9,'Valo FX'!$A:$A,0)),INDEX(Base!$U:$U,MATCH($A9,Base!$A:$A,0)),IF(JY$1=INDEX('Valo FX'!$R:$R,MATCH($A9,'Valo FX'!$A:$A,0)),INDEX(Base!$V:$V,MATCH($A9,Base!$A:$A,0)),0)))</f>
        <v>11.548933999999999</v>
      </c>
      <c r="JZ9" s="21">
        <f>IF(JZ$1&lt;INDEX('Valo FX'!$Q:$Q,MATCH($A9,'Valo FX'!$A:$A,0)),0,IF(JZ$1&lt;INDEX('Valo FX'!$R:$R,MATCH($A9,'Valo FX'!$A:$A,0)),INDEX(Base!$U:$U,MATCH($A9,Base!$A:$A,0)),IF(JZ$1=INDEX('Valo FX'!$R:$R,MATCH($A9,'Valo FX'!$A:$A,0)),INDEX(Base!$V:$V,MATCH($A9,Base!$A:$A,0)),0)))</f>
        <v>11.548933999999999</v>
      </c>
      <c r="KA9" s="21">
        <f>IF(KA$1&lt;INDEX('Valo FX'!$Q:$Q,MATCH($A9,'Valo FX'!$A:$A,0)),0,IF(KA$1&lt;INDEX('Valo FX'!$R:$R,MATCH($A9,'Valo FX'!$A:$A,0)),INDEX(Base!$U:$U,MATCH($A9,Base!$A:$A,0)),IF(KA$1=INDEX('Valo FX'!$R:$R,MATCH($A9,'Valo FX'!$A:$A,0)),INDEX(Base!$V:$V,MATCH($A9,Base!$A:$A,0)),0)))</f>
        <v>11.548933999999999</v>
      </c>
      <c r="KB9" s="21">
        <f>IF(KB$1&lt;INDEX('Valo FX'!$Q:$Q,MATCH($A9,'Valo FX'!$A:$A,0)),0,IF(KB$1&lt;INDEX('Valo FX'!$R:$R,MATCH($A9,'Valo FX'!$A:$A,0)),INDEX(Base!$U:$U,MATCH($A9,Base!$A:$A,0)),IF(KB$1=INDEX('Valo FX'!$R:$R,MATCH($A9,'Valo FX'!$A:$A,0)),INDEX(Base!$V:$V,MATCH($A9,Base!$A:$A,0)),0)))</f>
        <v>11.548933999999999</v>
      </c>
      <c r="KC9" s="21">
        <f>IF(KC$1&lt;INDEX('Valo FX'!$Q:$Q,MATCH($A9,'Valo FX'!$A:$A,0)),0,IF(KC$1&lt;INDEX('Valo FX'!$R:$R,MATCH($A9,'Valo FX'!$A:$A,0)),INDEX(Base!$U:$U,MATCH($A9,Base!$A:$A,0)),IF(KC$1=INDEX('Valo FX'!$R:$R,MATCH($A9,'Valo FX'!$A:$A,0)),INDEX(Base!$V:$V,MATCH($A9,Base!$A:$A,0)),0)))</f>
        <v>11.548933999999999</v>
      </c>
      <c r="KD9" s="21">
        <f>IF(KD$1&lt;INDEX('Valo FX'!$Q:$Q,MATCH($A9,'Valo FX'!$A:$A,0)),0,IF(KD$1&lt;INDEX('Valo FX'!$R:$R,MATCH($A9,'Valo FX'!$A:$A,0)),INDEX(Base!$U:$U,MATCH($A9,Base!$A:$A,0)),IF(KD$1=INDEX('Valo FX'!$R:$R,MATCH($A9,'Valo FX'!$A:$A,0)),INDEX(Base!$V:$V,MATCH($A9,Base!$A:$A,0)),0)))</f>
        <v>11.548933999999999</v>
      </c>
      <c r="KE9" s="21">
        <f>IF(KE$1&lt;INDEX('Valo FX'!$Q:$Q,MATCH($A9,'Valo FX'!$A:$A,0)),0,IF(KE$1&lt;INDEX('Valo FX'!$R:$R,MATCH($A9,'Valo FX'!$A:$A,0)),INDEX(Base!$U:$U,MATCH($A9,Base!$A:$A,0)),IF(KE$1=INDEX('Valo FX'!$R:$R,MATCH($A9,'Valo FX'!$A:$A,0)),INDEX(Base!$V:$V,MATCH($A9,Base!$A:$A,0)),0)))</f>
        <v>11.548933999999999</v>
      </c>
      <c r="KF9" s="21">
        <f>IF(KF$1&lt;INDEX('Valo FX'!$Q:$Q,MATCH($A9,'Valo FX'!$A:$A,0)),0,IF(KF$1&lt;INDEX('Valo FX'!$R:$R,MATCH($A9,'Valo FX'!$A:$A,0)),INDEX(Base!$U:$U,MATCH($A9,Base!$A:$A,0)),IF(KF$1=INDEX('Valo FX'!$R:$R,MATCH($A9,'Valo FX'!$A:$A,0)),INDEX(Base!$V:$V,MATCH($A9,Base!$A:$A,0)),0)))</f>
        <v>11.548933999999999</v>
      </c>
      <c r="KG9" s="21">
        <f>IF(KG$1&lt;INDEX('Valo FX'!$Q:$Q,MATCH($A9,'Valo FX'!$A:$A,0)),0,IF(KG$1&lt;INDEX('Valo FX'!$R:$R,MATCH($A9,'Valo FX'!$A:$A,0)),INDEX(Base!$U:$U,MATCH($A9,Base!$A:$A,0)),IF(KG$1=INDEX('Valo FX'!$R:$R,MATCH($A9,'Valo FX'!$A:$A,0)),INDEX(Base!$V:$V,MATCH($A9,Base!$A:$A,0)),0)))</f>
        <v>11.548933999999999</v>
      </c>
      <c r="KH9" s="21">
        <f>IF(KH$1&lt;INDEX('Valo FX'!$Q:$Q,MATCH($A9,'Valo FX'!$A:$A,0)),0,IF(KH$1&lt;INDEX('Valo FX'!$R:$R,MATCH($A9,'Valo FX'!$A:$A,0)),INDEX(Base!$U:$U,MATCH($A9,Base!$A:$A,0)),IF(KH$1=INDEX('Valo FX'!$R:$R,MATCH($A9,'Valo FX'!$A:$A,0)),INDEX(Base!$V:$V,MATCH($A9,Base!$A:$A,0)),0)))</f>
        <v>11.548933999999999</v>
      </c>
      <c r="KI9" s="21">
        <f>IF(KI$1&lt;INDEX('Valo FX'!$Q:$Q,MATCH($A9,'Valo FX'!$A:$A,0)),0,IF(KI$1&lt;INDEX('Valo FX'!$R:$R,MATCH($A9,'Valo FX'!$A:$A,0)),INDEX(Base!$U:$U,MATCH($A9,Base!$A:$A,0)),IF(KI$1=INDEX('Valo FX'!$R:$R,MATCH($A9,'Valo FX'!$A:$A,0)),INDEX(Base!$V:$V,MATCH($A9,Base!$A:$A,0)),0)))</f>
        <v>11.548933999999999</v>
      </c>
      <c r="KJ9" s="21">
        <f>IF(KJ$1&lt;INDEX('Valo FX'!$Q:$Q,MATCH($A9,'Valo FX'!$A:$A,0)),0,IF(KJ$1&lt;INDEX('Valo FX'!$R:$R,MATCH($A9,'Valo FX'!$A:$A,0)),INDEX(Base!$U:$U,MATCH($A9,Base!$A:$A,0)),IF(KJ$1=INDEX('Valo FX'!$R:$R,MATCH($A9,'Valo FX'!$A:$A,0)),INDEX(Base!$V:$V,MATCH($A9,Base!$A:$A,0)),0)))</f>
        <v>11.548933999999999</v>
      </c>
      <c r="KK9" s="21">
        <f>IF(KK$1&lt;INDEX('Valo FX'!$Q:$Q,MATCH($A9,'Valo FX'!$A:$A,0)),0,IF(KK$1&lt;INDEX('Valo FX'!$R:$R,MATCH($A9,'Valo FX'!$A:$A,0)),INDEX(Base!$U:$U,MATCH($A9,Base!$A:$A,0)),IF(KK$1=INDEX('Valo FX'!$R:$R,MATCH($A9,'Valo FX'!$A:$A,0)),INDEX(Base!$V:$V,MATCH($A9,Base!$A:$A,0)),0)))</f>
        <v>11.548933999999999</v>
      </c>
      <c r="KL9" s="21">
        <f>IF(KL$1&lt;INDEX('Valo FX'!$Q:$Q,MATCH($A9,'Valo FX'!$A:$A,0)),0,IF(KL$1&lt;INDEX('Valo FX'!$R:$R,MATCH($A9,'Valo FX'!$A:$A,0)),INDEX(Base!$U:$U,MATCH($A9,Base!$A:$A,0)),IF(KL$1=INDEX('Valo FX'!$R:$R,MATCH($A9,'Valo FX'!$A:$A,0)),INDEX(Base!$V:$V,MATCH($A9,Base!$A:$A,0)),0)))</f>
        <v>11.548933999999999</v>
      </c>
      <c r="KM9" s="21">
        <f>IF(KM$1&lt;INDEX('Valo FX'!$Q:$Q,MATCH($A9,'Valo FX'!$A:$A,0)),0,IF(KM$1&lt;INDEX('Valo FX'!$R:$R,MATCH($A9,'Valo FX'!$A:$A,0)),INDEX(Base!$U:$U,MATCH($A9,Base!$A:$A,0)),IF(KM$1=INDEX('Valo FX'!$R:$R,MATCH($A9,'Valo FX'!$A:$A,0)),INDEX(Base!$V:$V,MATCH($A9,Base!$A:$A,0)),0)))</f>
        <v>11.548933999999999</v>
      </c>
      <c r="KN9" s="21">
        <f>IF(KN$1&lt;INDEX('Valo FX'!$Q:$Q,MATCH($A9,'Valo FX'!$A:$A,0)),0,IF(KN$1&lt;INDEX('Valo FX'!$R:$R,MATCH($A9,'Valo FX'!$A:$A,0)),INDEX(Base!$U:$U,MATCH($A9,Base!$A:$A,0)),IF(KN$1=INDEX('Valo FX'!$R:$R,MATCH($A9,'Valo FX'!$A:$A,0)),INDEX(Base!$V:$V,MATCH($A9,Base!$A:$A,0)),0)))</f>
        <v>11.548933999999999</v>
      </c>
      <c r="KO9" s="21">
        <f>IF(KO$1&lt;INDEX('Valo FX'!$Q:$Q,MATCH($A9,'Valo FX'!$A:$A,0)),0,IF(KO$1&lt;INDEX('Valo FX'!$R:$R,MATCH($A9,'Valo FX'!$A:$A,0)),INDEX(Base!$U:$U,MATCH($A9,Base!$A:$A,0)),IF(KO$1=INDEX('Valo FX'!$R:$R,MATCH($A9,'Valo FX'!$A:$A,0)),INDEX(Base!$V:$V,MATCH($A9,Base!$A:$A,0)),0)))</f>
        <v>11.548933999999999</v>
      </c>
      <c r="KP9" s="21">
        <f>IF(KP$1&lt;INDEX('Valo FX'!$Q:$Q,MATCH($A9,'Valo FX'!$A:$A,0)),0,IF(KP$1&lt;INDEX('Valo FX'!$R:$R,MATCH($A9,'Valo FX'!$A:$A,0)),INDEX(Base!$U:$U,MATCH($A9,Base!$A:$A,0)),IF(KP$1=INDEX('Valo FX'!$R:$R,MATCH($A9,'Valo FX'!$A:$A,0)),INDEX(Base!$V:$V,MATCH($A9,Base!$A:$A,0)),0)))</f>
        <v>11.548933999999999</v>
      </c>
      <c r="KQ9" s="21">
        <f>IF(KQ$1&lt;INDEX('Valo FX'!$Q:$Q,MATCH($A9,'Valo FX'!$A:$A,0)),0,IF(KQ$1&lt;INDEX('Valo FX'!$R:$R,MATCH($A9,'Valo FX'!$A:$A,0)),INDEX(Base!$U:$U,MATCH($A9,Base!$A:$A,0)),IF(KQ$1=INDEX('Valo FX'!$R:$R,MATCH($A9,'Valo FX'!$A:$A,0)),INDEX(Base!$V:$V,MATCH($A9,Base!$A:$A,0)),0)))</f>
        <v>11.548933999999999</v>
      </c>
      <c r="KR9" s="21">
        <f>IF(KR$1&lt;INDEX('Valo FX'!$Q:$Q,MATCH($A9,'Valo FX'!$A:$A,0)),0,IF(KR$1&lt;INDEX('Valo FX'!$R:$R,MATCH($A9,'Valo FX'!$A:$A,0)),INDEX(Base!$U:$U,MATCH($A9,Base!$A:$A,0)),IF(KR$1=INDEX('Valo FX'!$R:$R,MATCH($A9,'Valo FX'!$A:$A,0)),INDEX(Base!$V:$V,MATCH($A9,Base!$A:$A,0)),0)))</f>
        <v>11.548933999999999</v>
      </c>
      <c r="KS9" s="21">
        <f>IF(KS$1&lt;INDEX('Valo FX'!$Q:$Q,MATCH($A9,'Valo FX'!$A:$A,0)),0,IF(KS$1&lt;INDEX('Valo FX'!$R:$R,MATCH($A9,'Valo FX'!$A:$A,0)),INDEX(Base!$U:$U,MATCH($A9,Base!$A:$A,0)),IF(KS$1=INDEX('Valo FX'!$R:$R,MATCH($A9,'Valo FX'!$A:$A,0)),INDEX(Base!$V:$V,MATCH($A9,Base!$A:$A,0)),0)))</f>
        <v>11.548933999999999</v>
      </c>
      <c r="KT9" s="21">
        <f>IF(KT$1&lt;INDEX('Valo FX'!$Q:$Q,MATCH($A9,'Valo FX'!$A:$A,0)),0,IF(KT$1&lt;INDEX('Valo FX'!$R:$R,MATCH($A9,'Valo FX'!$A:$A,0)),INDEX(Base!$U:$U,MATCH($A9,Base!$A:$A,0)),IF(KT$1=INDEX('Valo FX'!$R:$R,MATCH($A9,'Valo FX'!$A:$A,0)),INDEX(Base!$V:$V,MATCH($A9,Base!$A:$A,0)),0)))</f>
        <v>11.548933999999999</v>
      </c>
      <c r="KU9" s="21">
        <f>IF(KU$1&lt;INDEX('Valo FX'!$Q:$Q,MATCH($A9,'Valo FX'!$A:$A,0)),0,IF(KU$1&lt;INDEX('Valo FX'!$R:$R,MATCH($A9,'Valo FX'!$A:$A,0)),INDEX(Base!$U:$U,MATCH($A9,Base!$A:$A,0)),IF(KU$1=INDEX('Valo FX'!$R:$R,MATCH($A9,'Valo FX'!$A:$A,0)),INDEX(Base!$V:$V,MATCH($A9,Base!$A:$A,0)),0)))</f>
        <v>11.548933999999999</v>
      </c>
      <c r="KV9" s="21">
        <f>IF(KV$1&lt;INDEX('Valo FX'!$Q:$Q,MATCH($A9,'Valo FX'!$A:$A,0)),0,IF(KV$1&lt;INDEX('Valo FX'!$R:$R,MATCH($A9,'Valo FX'!$A:$A,0)),INDEX(Base!$U:$U,MATCH($A9,Base!$A:$A,0)),IF(KV$1=INDEX('Valo FX'!$R:$R,MATCH($A9,'Valo FX'!$A:$A,0)),INDEX(Base!$V:$V,MATCH($A9,Base!$A:$A,0)),0)))</f>
        <v>11.548933999999999</v>
      </c>
      <c r="KW9" s="21">
        <f>IF(KW$1&lt;INDEX('Valo FX'!$Q:$Q,MATCH($A9,'Valo FX'!$A:$A,0)),0,IF(KW$1&lt;INDEX('Valo FX'!$R:$R,MATCH($A9,'Valo FX'!$A:$A,0)),INDEX(Base!$U:$U,MATCH($A9,Base!$A:$A,0)),IF(KW$1=INDEX('Valo FX'!$R:$R,MATCH($A9,'Valo FX'!$A:$A,0)),INDEX(Base!$V:$V,MATCH($A9,Base!$A:$A,0)),0)))</f>
        <v>11.548933999999999</v>
      </c>
      <c r="KX9" s="21">
        <f>IF(KX$1&lt;INDEX('Valo FX'!$Q:$Q,MATCH($A9,'Valo FX'!$A:$A,0)),0,IF(KX$1&lt;INDEX('Valo FX'!$R:$R,MATCH($A9,'Valo FX'!$A:$A,0)),INDEX(Base!$U:$U,MATCH($A9,Base!$A:$A,0)),IF(KX$1=INDEX('Valo FX'!$R:$R,MATCH($A9,'Valo FX'!$A:$A,0)),INDEX(Base!$V:$V,MATCH($A9,Base!$A:$A,0)),0)))</f>
        <v>11.548933999999999</v>
      </c>
      <c r="KY9" s="21">
        <f>IF(KY$1&lt;INDEX('Valo FX'!$Q:$Q,MATCH($A9,'Valo FX'!$A:$A,0)),0,IF(KY$1&lt;INDEX('Valo FX'!$R:$R,MATCH($A9,'Valo FX'!$A:$A,0)),INDEX(Base!$U:$U,MATCH($A9,Base!$A:$A,0)),IF(KY$1=INDEX('Valo FX'!$R:$R,MATCH($A9,'Valo FX'!$A:$A,0)),INDEX(Base!$V:$V,MATCH($A9,Base!$A:$A,0)),0)))</f>
        <v>11.548933999999999</v>
      </c>
      <c r="KZ9" s="21">
        <f>IF(KZ$1&lt;INDEX('Valo FX'!$Q:$Q,MATCH($A9,'Valo FX'!$A:$A,0)),0,IF(KZ$1&lt;INDEX('Valo FX'!$R:$R,MATCH($A9,'Valo FX'!$A:$A,0)),INDEX(Base!$U:$U,MATCH($A9,Base!$A:$A,0)),IF(KZ$1=INDEX('Valo FX'!$R:$R,MATCH($A9,'Valo FX'!$A:$A,0)),INDEX(Base!$V:$V,MATCH($A9,Base!$A:$A,0)),0)))</f>
        <v>11.548933999999999</v>
      </c>
      <c r="LA9" s="21">
        <f>IF(LA$1&lt;INDEX('Valo FX'!$Q:$Q,MATCH($A9,'Valo FX'!$A:$A,0)),0,IF(LA$1&lt;INDEX('Valo FX'!$R:$R,MATCH($A9,'Valo FX'!$A:$A,0)),INDEX(Base!$U:$U,MATCH($A9,Base!$A:$A,0)),IF(LA$1=INDEX('Valo FX'!$R:$R,MATCH($A9,'Valo FX'!$A:$A,0)),INDEX(Base!$V:$V,MATCH($A9,Base!$A:$A,0)),0)))</f>
        <v>11.548933999999999</v>
      </c>
      <c r="LB9" s="21">
        <f>IF(LB$1&lt;INDEX('Valo FX'!$Q:$Q,MATCH($A9,'Valo FX'!$A:$A,0)),0,IF(LB$1&lt;INDEX('Valo FX'!$R:$R,MATCH($A9,'Valo FX'!$A:$A,0)),INDEX(Base!$U:$U,MATCH($A9,Base!$A:$A,0)),IF(LB$1=INDEX('Valo FX'!$R:$R,MATCH($A9,'Valo FX'!$A:$A,0)),INDEX(Base!$V:$V,MATCH($A9,Base!$A:$A,0)),0)))</f>
        <v>11.548933999999999</v>
      </c>
      <c r="LC9" s="21">
        <f>IF(LC$1&lt;INDEX('Valo FX'!$Q:$Q,MATCH($A9,'Valo FX'!$A:$A,0)),0,IF(LC$1&lt;INDEX('Valo FX'!$R:$R,MATCH($A9,'Valo FX'!$A:$A,0)),INDEX(Base!$U:$U,MATCH($A9,Base!$A:$A,0)),IF(LC$1=INDEX('Valo FX'!$R:$R,MATCH($A9,'Valo FX'!$A:$A,0)),INDEX(Base!$V:$V,MATCH($A9,Base!$A:$A,0)),0)))</f>
        <v>11.548933999999999</v>
      </c>
      <c r="LD9" s="21">
        <f>IF(LD$1&lt;INDEX('Valo FX'!$Q:$Q,MATCH($A9,'Valo FX'!$A:$A,0)),0,IF(LD$1&lt;INDEX('Valo FX'!$R:$R,MATCH($A9,'Valo FX'!$A:$A,0)),INDEX(Base!$U:$U,MATCH($A9,Base!$A:$A,0)),IF(LD$1=INDEX('Valo FX'!$R:$R,MATCH($A9,'Valo FX'!$A:$A,0)),INDEX(Base!$V:$V,MATCH($A9,Base!$A:$A,0)),0)))</f>
        <v>11.548933999999999</v>
      </c>
      <c r="LE9" s="21">
        <f>IF(LE$1&lt;INDEX('Valo FX'!$Q:$Q,MATCH($A9,'Valo FX'!$A:$A,0)),0,IF(LE$1&lt;INDEX('Valo FX'!$R:$R,MATCH($A9,'Valo FX'!$A:$A,0)),INDEX(Base!$U:$U,MATCH($A9,Base!$A:$A,0)),IF(LE$1=INDEX('Valo FX'!$R:$R,MATCH($A9,'Valo FX'!$A:$A,0)),INDEX(Base!$V:$V,MATCH($A9,Base!$A:$A,0)),0)))</f>
        <v>11.548933999999999</v>
      </c>
      <c r="LF9" s="21">
        <f>IF(LF$1&lt;INDEX('Valo FX'!$Q:$Q,MATCH($A9,'Valo FX'!$A:$A,0)),0,IF(LF$1&lt;INDEX('Valo FX'!$R:$R,MATCH($A9,'Valo FX'!$A:$A,0)),INDEX(Base!$U:$U,MATCH($A9,Base!$A:$A,0)),IF(LF$1=INDEX('Valo FX'!$R:$R,MATCH($A9,'Valo FX'!$A:$A,0)),INDEX(Base!$V:$V,MATCH($A9,Base!$A:$A,0)),0)))</f>
        <v>11.548933999999999</v>
      </c>
      <c r="LG9" s="21">
        <f>IF(LG$1&lt;INDEX('Valo FX'!$Q:$Q,MATCH($A9,'Valo FX'!$A:$A,0)),0,IF(LG$1&lt;INDEX('Valo FX'!$R:$R,MATCH($A9,'Valo FX'!$A:$A,0)),INDEX(Base!$U:$U,MATCH($A9,Base!$A:$A,0)),IF(LG$1=INDEX('Valo FX'!$R:$R,MATCH($A9,'Valo FX'!$A:$A,0)),INDEX(Base!$V:$V,MATCH($A9,Base!$A:$A,0)),0)))</f>
        <v>11.548933999999999</v>
      </c>
      <c r="LH9" s="21">
        <f>IF(LH$1&lt;INDEX('Valo FX'!$Q:$Q,MATCH($A9,'Valo FX'!$A:$A,0)),0,IF(LH$1&lt;INDEX('Valo FX'!$R:$R,MATCH($A9,'Valo FX'!$A:$A,0)),INDEX(Base!$U:$U,MATCH($A9,Base!$A:$A,0)),IF(LH$1=INDEX('Valo FX'!$R:$R,MATCH($A9,'Valo FX'!$A:$A,0)),INDEX(Base!$V:$V,MATCH($A9,Base!$A:$A,0)),0)))</f>
        <v>11.548933999999999</v>
      </c>
      <c r="LI9" s="21">
        <f>IF(LI$1&lt;INDEX('Valo FX'!$Q:$Q,MATCH($A9,'Valo FX'!$A:$A,0)),0,IF(LI$1&lt;INDEX('Valo FX'!$R:$R,MATCH($A9,'Valo FX'!$A:$A,0)),INDEX(Base!$U:$U,MATCH($A9,Base!$A:$A,0)),IF(LI$1=INDEX('Valo FX'!$R:$R,MATCH($A9,'Valo FX'!$A:$A,0)),INDEX(Base!$V:$V,MATCH($A9,Base!$A:$A,0)),0)))</f>
        <v>11.548933999999999</v>
      </c>
      <c r="LJ9" s="21">
        <f>IF(LJ$1&lt;INDEX('Valo FX'!$Q:$Q,MATCH($A9,'Valo FX'!$A:$A,0)),0,IF(LJ$1&lt;INDEX('Valo FX'!$R:$R,MATCH($A9,'Valo FX'!$A:$A,0)),INDEX(Base!$U:$U,MATCH($A9,Base!$A:$A,0)),IF(LJ$1=INDEX('Valo FX'!$R:$R,MATCH($A9,'Valo FX'!$A:$A,0)),INDEX(Base!$V:$V,MATCH($A9,Base!$A:$A,0)),0)))</f>
        <v>11.548933999999999</v>
      </c>
      <c r="LK9" s="21">
        <f>IF(LK$1&lt;INDEX('Valo FX'!$Q:$Q,MATCH($A9,'Valo FX'!$A:$A,0)),0,IF(LK$1&lt;INDEX('Valo FX'!$R:$R,MATCH($A9,'Valo FX'!$A:$A,0)),INDEX(Base!$U:$U,MATCH($A9,Base!$A:$A,0)),IF(LK$1=INDEX('Valo FX'!$R:$R,MATCH($A9,'Valo FX'!$A:$A,0)),INDEX(Base!$V:$V,MATCH($A9,Base!$A:$A,0)),0)))</f>
        <v>11.548933999999999</v>
      </c>
      <c r="LL9" s="21">
        <f>IF(LL$1&lt;INDEX('Valo FX'!$Q:$Q,MATCH($A9,'Valo FX'!$A:$A,0)),0,IF(LL$1&lt;INDEX('Valo FX'!$R:$R,MATCH($A9,'Valo FX'!$A:$A,0)),INDEX(Base!$U:$U,MATCH($A9,Base!$A:$A,0)),IF(LL$1=INDEX('Valo FX'!$R:$R,MATCH($A9,'Valo FX'!$A:$A,0)),INDEX(Base!$V:$V,MATCH($A9,Base!$A:$A,0)),0)))</f>
        <v>11.548933999999999</v>
      </c>
      <c r="LM9" s="21">
        <f>IF(LM$1&lt;INDEX('Valo FX'!$Q:$Q,MATCH($A9,'Valo FX'!$A:$A,0)),0,IF(LM$1&lt;INDEX('Valo FX'!$R:$R,MATCH($A9,'Valo FX'!$A:$A,0)),INDEX(Base!$U:$U,MATCH($A9,Base!$A:$A,0)),IF(LM$1=INDEX('Valo FX'!$R:$R,MATCH($A9,'Valo FX'!$A:$A,0)),INDEX(Base!$V:$V,MATCH($A9,Base!$A:$A,0)),0)))</f>
        <v>11.548933999999999</v>
      </c>
      <c r="LN9" s="21">
        <f>IF(LN$1&lt;INDEX('Valo FX'!$Q:$Q,MATCH($A9,'Valo FX'!$A:$A,0)),0,IF(LN$1&lt;INDEX('Valo FX'!$R:$R,MATCH($A9,'Valo FX'!$A:$A,0)),INDEX(Base!$U:$U,MATCH($A9,Base!$A:$A,0)),IF(LN$1=INDEX('Valo FX'!$R:$R,MATCH($A9,'Valo FX'!$A:$A,0)),INDEX(Base!$V:$V,MATCH($A9,Base!$A:$A,0)),0)))</f>
        <v>11.548933999999999</v>
      </c>
      <c r="LO9" s="21">
        <f>IF(LO$1&lt;INDEX('Valo FX'!$Q:$Q,MATCH($A9,'Valo FX'!$A:$A,0)),0,IF(LO$1&lt;INDEX('Valo FX'!$R:$R,MATCH($A9,'Valo FX'!$A:$A,0)),INDEX(Base!$U:$U,MATCH($A9,Base!$A:$A,0)),IF(LO$1=INDEX('Valo FX'!$R:$R,MATCH($A9,'Valo FX'!$A:$A,0)),INDEX(Base!$V:$V,MATCH($A9,Base!$A:$A,0)),0)))</f>
        <v>11.548933999999999</v>
      </c>
      <c r="LP9" s="21">
        <f>IF(LP$1&lt;INDEX('Valo FX'!$Q:$Q,MATCH($A9,'Valo FX'!$A:$A,0)),0,IF(LP$1&lt;INDEX('Valo FX'!$R:$R,MATCH($A9,'Valo FX'!$A:$A,0)),INDEX(Base!$U:$U,MATCH($A9,Base!$A:$A,0)),IF(LP$1=INDEX('Valo FX'!$R:$R,MATCH($A9,'Valo FX'!$A:$A,0)),INDEX(Base!$V:$V,MATCH($A9,Base!$A:$A,0)),0)))</f>
        <v>11.548933999999999</v>
      </c>
      <c r="LQ9" s="21">
        <f>IF(LQ$1&lt;INDEX('Valo FX'!$Q:$Q,MATCH($A9,'Valo FX'!$A:$A,0)),0,IF(LQ$1&lt;INDEX('Valo FX'!$R:$R,MATCH($A9,'Valo FX'!$A:$A,0)),INDEX(Base!$U:$U,MATCH($A9,Base!$A:$A,0)),IF(LQ$1=INDEX('Valo FX'!$R:$R,MATCH($A9,'Valo FX'!$A:$A,0)),INDEX(Base!$V:$V,MATCH($A9,Base!$A:$A,0)),0)))</f>
        <v>11.548933999999999</v>
      </c>
      <c r="LR9" s="21">
        <f>IF(LR$1&lt;INDEX('Valo FX'!$Q:$Q,MATCH($A9,'Valo FX'!$A:$A,0)),0,IF(LR$1&lt;INDEX('Valo FX'!$R:$R,MATCH($A9,'Valo FX'!$A:$A,0)),INDEX(Base!$U:$U,MATCH($A9,Base!$A:$A,0)),IF(LR$1=INDEX('Valo FX'!$R:$R,MATCH($A9,'Valo FX'!$A:$A,0)),INDEX(Base!$V:$V,MATCH($A9,Base!$A:$A,0)),0)))</f>
        <v>11.548933999999999</v>
      </c>
      <c r="LS9" s="21">
        <f>IF(LS$1&lt;INDEX('Valo FX'!$Q:$Q,MATCH($A9,'Valo FX'!$A:$A,0)),0,IF(LS$1&lt;INDEX('Valo FX'!$R:$R,MATCH($A9,'Valo FX'!$A:$A,0)),INDEX(Base!$U:$U,MATCH($A9,Base!$A:$A,0)),IF(LS$1=INDEX('Valo FX'!$R:$R,MATCH($A9,'Valo FX'!$A:$A,0)),INDEX(Base!$V:$V,MATCH($A9,Base!$A:$A,0)),0)))</f>
        <v>11.548933999999999</v>
      </c>
      <c r="LT9" s="21">
        <f>IF(LT$1&lt;INDEX('Valo FX'!$Q:$Q,MATCH($A9,'Valo FX'!$A:$A,0)),0,IF(LT$1&lt;INDEX('Valo FX'!$R:$R,MATCH($A9,'Valo FX'!$A:$A,0)),INDEX(Base!$U:$U,MATCH($A9,Base!$A:$A,0)),IF(LT$1=INDEX('Valo FX'!$R:$R,MATCH($A9,'Valo FX'!$A:$A,0)),INDEX(Base!$V:$V,MATCH($A9,Base!$A:$A,0)),0)))</f>
        <v>11.548933999999999</v>
      </c>
      <c r="LU9" s="21">
        <f>IF(LU$1&lt;INDEX('Valo FX'!$Q:$Q,MATCH($A9,'Valo FX'!$A:$A,0)),0,IF(LU$1&lt;INDEX('Valo FX'!$R:$R,MATCH($A9,'Valo FX'!$A:$A,0)),INDEX(Base!$U:$U,MATCH($A9,Base!$A:$A,0)),IF(LU$1=INDEX('Valo FX'!$R:$R,MATCH($A9,'Valo FX'!$A:$A,0)),INDEX(Base!$V:$V,MATCH($A9,Base!$A:$A,0)),0)))</f>
        <v>11.548933999999999</v>
      </c>
      <c r="LV9" s="21">
        <f>IF(LV$1&lt;INDEX('Valo FX'!$Q:$Q,MATCH($A9,'Valo FX'!$A:$A,0)),0,IF(LV$1&lt;INDEX('Valo FX'!$R:$R,MATCH($A9,'Valo FX'!$A:$A,0)),INDEX(Base!$U:$U,MATCH($A9,Base!$A:$A,0)),IF(LV$1=INDEX('Valo FX'!$R:$R,MATCH($A9,'Valo FX'!$A:$A,0)),INDEX(Base!$V:$V,MATCH($A9,Base!$A:$A,0)),0)))</f>
        <v>11.548933999999999</v>
      </c>
      <c r="LW9" s="21">
        <f>IF(LW$1&lt;INDEX('Valo FX'!$Q:$Q,MATCH($A9,'Valo FX'!$A:$A,0)),0,IF(LW$1&lt;INDEX('Valo FX'!$R:$R,MATCH($A9,'Valo FX'!$A:$A,0)),INDEX(Base!$U:$U,MATCH($A9,Base!$A:$A,0)),IF(LW$1=INDEX('Valo FX'!$R:$R,MATCH($A9,'Valo FX'!$A:$A,0)),INDEX(Base!$V:$V,MATCH($A9,Base!$A:$A,0)),0)))</f>
        <v>11.548933999999999</v>
      </c>
      <c r="LX9" s="21">
        <f>IF(LX$1&lt;INDEX('Valo FX'!$Q:$Q,MATCH($A9,'Valo FX'!$A:$A,0)),0,IF(LX$1&lt;INDEX('Valo FX'!$R:$R,MATCH($A9,'Valo FX'!$A:$A,0)),INDEX(Base!$U:$U,MATCH($A9,Base!$A:$A,0)),IF(LX$1=INDEX('Valo FX'!$R:$R,MATCH($A9,'Valo FX'!$A:$A,0)),INDEX(Base!$V:$V,MATCH($A9,Base!$A:$A,0)),0)))</f>
        <v>11.548933999999999</v>
      </c>
      <c r="LY9" s="21">
        <f>IF(LY$1&lt;INDEX('Valo FX'!$Q:$Q,MATCH($A9,'Valo FX'!$A:$A,0)),0,IF(LY$1&lt;INDEX('Valo FX'!$R:$R,MATCH($A9,'Valo FX'!$A:$A,0)),INDEX(Base!$U:$U,MATCH($A9,Base!$A:$A,0)),IF(LY$1=INDEX('Valo FX'!$R:$R,MATCH($A9,'Valo FX'!$A:$A,0)),INDEX(Base!$V:$V,MATCH($A9,Base!$A:$A,0)),0)))</f>
        <v>11.548933999999999</v>
      </c>
      <c r="LZ9" s="21">
        <f>IF(LZ$1&lt;INDEX('Valo FX'!$Q:$Q,MATCH($A9,'Valo FX'!$A:$A,0)),0,IF(LZ$1&lt;INDEX('Valo FX'!$R:$R,MATCH($A9,'Valo FX'!$A:$A,0)),INDEX(Base!$U:$U,MATCH($A9,Base!$A:$A,0)),IF(LZ$1=INDEX('Valo FX'!$R:$R,MATCH($A9,'Valo FX'!$A:$A,0)),INDEX(Base!$V:$V,MATCH($A9,Base!$A:$A,0)),0)))</f>
        <v>11.548933999999999</v>
      </c>
      <c r="MA9" s="21">
        <f>IF(MA$1&lt;INDEX('Valo FX'!$Q:$Q,MATCH($A9,'Valo FX'!$A:$A,0)),0,IF(MA$1&lt;INDEX('Valo FX'!$R:$R,MATCH($A9,'Valo FX'!$A:$A,0)),INDEX(Base!$U:$U,MATCH($A9,Base!$A:$A,0)),IF(MA$1=INDEX('Valo FX'!$R:$R,MATCH($A9,'Valo FX'!$A:$A,0)),INDEX(Base!$V:$V,MATCH($A9,Base!$A:$A,0)),0)))</f>
        <v>11.548933999999999</v>
      </c>
      <c r="MB9" s="21">
        <f>IF(MB$1&lt;INDEX('Valo FX'!$Q:$Q,MATCH($A9,'Valo FX'!$A:$A,0)),0,IF(MB$1&lt;INDEX('Valo FX'!$R:$R,MATCH($A9,'Valo FX'!$A:$A,0)),INDEX(Base!$U:$U,MATCH($A9,Base!$A:$A,0)),IF(MB$1=INDEX('Valo FX'!$R:$R,MATCH($A9,'Valo FX'!$A:$A,0)),INDEX(Base!$V:$V,MATCH($A9,Base!$A:$A,0)),0)))</f>
        <v>11.548933999999999</v>
      </c>
      <c r="MC9" s="21">
        <f>IF(MC$1&lt;INDEX('Valo FX'!$Q:$Q,MATCH($A9,'Valo FX'!$A:$A,0)),0,IF(MC$1&lt;INDEX('Valo FX'!$R:$R,MATCH($A9,'Valo FX'!$A:$A,0)),INDEX(Base!$U:$U,MATCH($A9,Base!$A:$A,0)),IF(MC$1=INDEX('Valo FX'!$R:$R,MATCH($A9,'Valo FX'!$A:$A,0)),INDEX(Base!$V:$V,MATCH($A9,Base!$A:$A,0)),0)))</f>
        <v>11.548933999999999</v>
      </c>
      <c r="MD9" s="21">
        <f>IF(MD$1&lt;INDEX('Valo FX'!$Q:$Q,MATCH($A9,'Valo FX'!$A:$A,0)),0,IF(MD$1&lt;INDEX('Valo FX'!$R:$R,MATCH($A9,'Valo FX'!$A:$A,0)),INDEX(Base!$U:$U,MATCH($A9,Base!$A:$A,0)),IF(MD$1=INDEX('Valo FX'!$R:$R,MATCH($A9,'Valo FX'!$A:$A,0)),INDEX(Base!$V:$V,MATCH($A9,Base!$A:$A,0)),0)))</f>
        <v>11.548933999999999</v>
      </c>
      <c r="ME9" s="21">
        <f>IF(ME$1&lt;INDEX('Valo FX'!$Q:$Q,MATCH($A9,'Valo FX'!$A:$A,0)),0,IF(ME$1&lt;INDEX('Valo FX'!$R:$R,MATCH($A9,'Valo FX'!$A:$A,0)),INDEX(Base!$U:$U,MATCH($A9,Base!$A:$A,0)),IF(ME$1=INDEX('Valo FX'!$R:$R,MATCH($A9,'Valo FX'!$A:$A,0)),INDEX(Base!$V:$V,MATCH($A9,Base!$A:$A,0)),0)))</f>
        <v>11.548933999999999</v>
      </c>
      <c r="MF9" s="21">
        <f>IF(MF$1&lt;INDEX('Valo FX'!$Q:$Q,MATCH($A9,'Valo FX'!$A:$A,0)),0,IF(MF$1&lt;INDEX('Valo FX'!$R:$R,MATCH($A9,'Valo FX'!$A:$A,0)),INDEX(Base!$U:$U,MATCH($A9,Base!$A:$A,0)),IF(MF$1=INDEX('Valo FX'!$R:$R,MATCH($A9,'Valo FX'!$A:$A,0)),INDEX(Base!$V:$V,MATCH($A9,Base!$A:$A,0)),0)))</f>
        <v>11.548933999999999</v>
      </c>
      <c r="MG9" s="21">
        <f>IF(MG$1&lt;INDEX('Valo FX'!$Q:$Q,MATCH($A9,'Valo FX'!$A:$A,0)),0,IF(MG$1&lt;INDEX('Valo FX'!$R:$R,MATCH($A9,'Valo FX'!$A:$A,0)),INDEX(Base!$U:$U,MATCH($A9,Base!$A:$A,0)),IF(MG$1=INDEX('Valo FX'!$R:$R,MATCH($A9,'Valo FX'!$A:$A,0)),INDEX(Base!$V:$V,MATCH($A9,Base!$A:$A,0)),0)))</f>
        <v>11.548933999999999</v>
      </c>
      <c r="MH9" s="21">
        <f>IF(MH$1&lt;INDEX('Valo FX'!$Q:$Q,MATCH($A9,'Valo FX'!$A:$A,0)),0,IF(MH$1&lt;INDEX('Valo FX'!$R:$R,MATCH($A9,'Valo FX'!$A:$A,0)),INDEX(Base!$U:$U,MATCH($A9,Base!$A:$A,0)),IF(MH$1=INDEX('Valo FX'!$R:$R,MATCH($A9,'Valo FX'!$A:$A,0)),INDEX(Base!$V:$V,MATCH($A9,Base!$A:$A,0)),0)))</f>
        <v>11.548933999999999</v>
      </c>
      <c r="MI9" s="21">
        <f>IF(MI$1&lt;INDEX('Valo FX'!$Q:$Q,MATCH($A9,'Valo FX'!$A:$A,0)),0,IF(MI$1&lt;INDEX('Valo FX'!$R:$R,MATCH($A9,'Valo FX'!$A:$A,0)),INDEX(Base!$U:$U,MATCH($A9,Base!$A:$A,0)),IF(MI$1=INDEX('Valo FX'!$R:$R,MATCH($A9,'Valo FX'!$A:$A,0)),INDEX(Base!$V:$V,MATCH($A9,Base!$A:$A,0)),0)))</f>
        <v>11.548933999999999</v>
      </c>
      <c r="MJ9" s="21">
        <f>IF(MJ$1&lt;INDEX('Valo FX'!$Q:$Q,MATCH($A9,'Valo FX'!$A:$A,0)),0,IF(MJ$1&lt;INDEX('Valo FX'!$R:$R,MATCH($A9,'Valo FX'!$A:$A,0)),INDEX(Base!$U:$U,MATCH($A9,Base!$A:$A,0)),IF(MJ$1=INDEX('Valo FX'!$R:$R,MATCH($A9,'Valo FX'!$A:$A,0)),INDEX(Base!$V:$V,MATCH($A9,Base!$A:$A,0)),0)))</f>
        <v>11.548933999999999</v>
      </c>
      <c r="MK9" s="21">
        <f>IF(MK$1&lt;INDEX('Valo FX'!$Q:$Q,MATCH($A9,'Valo FX'!$A:$A,0)),0,IF(MK$1&lt;INDEX('Valo FX'!$R:$R,MATCH($A9,'Valo FX'!$A:$A,0)),INDEX(Base!$U:$U,MATCH($A9,Base!$A:$A,0)),IF(MK$1=INDEX('Valo FX'!$R:$R,MATCH($A9,'Valo FX'!$A:$A,0)),INDEX(Base!$V:$V,MATCH($A9,Base!$A:$A,0)),0)))</f>
        <v>11.548933999999999</v>
      </c>
      <c r="ML9" s="21">
        <f>IF(ML$1&lt;INDEX('Valo FX'!$Q:$Q,MATCH($A9,'Valo FX'!$A:$A,0)),0,IF(ML$1&lt;INDEX('Valo FX'!$R:$R,MATCH($A9,'Valo FX'!$A:$A,0)),INDEX(Base!$U:$U,MATCH($A9,Base!$A:$A,0)),IF(ML$1=INDEX('Valo FX'!$R:$R,MATCH($A9,'Valo FX'!$A:$A,0)),INDEX(Base!$V:$V,MATCH($A9,Base!$A:$A,0)),0)))</f>
        <v>11.548933999999999</v>
      </c>
      <c r="MM9" s="21">
        <f>IF(MM$1&lt;INDEX('Valo FX'!$Q:$Q,MATCH($A9,'Valo FX'!$A:$A,0)),0,IF(MM$1&lt;INDEX('Valo FX'!$R:$R,MATCH($A9,'Valo FX'!$A:$A,0)),INDEX(Base!$U:$U,MATCH($A9,Base!$A:$A,0)),IF(MM$1=INDEX('Valo FX'!$R:$R,MATCH($A9,'Valo FX'!$A:$A,0)),INDEX(Base!$V:$V,MATCH($A9,Base!$A:$A,0)),0)))</f>
        <v>11.548933999999999</v>
      </c>
      <c r="MN9" s="21">
        <f>IF(MN$1&lt;INDEX('Valo FX'!$Q:$Q,MATCH($A9,'Valo FX'!$A:$A,0)),0,IF(MN$1&lt;INDEX('Valo FX'!$R:$R,MATCH($A9,'Valo FX'!$A:$A,0)),INDEX(Base!$U:$U,MATCH($A9,Base!$A:$A,0)),IF(MN$1=INDEX('Valo FX'!$R:$R,MATCH($A9,'Valo FX'!$A:$A,0)),INDEX(Base!$V:$V,MATCH($A9,Base!$A:$A,0)),0)))</f>
        <v>11.548933999999999</v>
      </c>
      <c r="MO9" s="21">
        <f>IF(MO$1&lt;INDEX('Valo FX'!$Q:$Q,MATCH($A9,'Valo FX'!$A:$A,0)),0,IF(MO$1&lt;INDEX('Valo FX'!$R:$R,MATCH($A9,'Valo FX'!$A:$A,0)),INDEX(Base!$U:$U,MATCH($A9,Base!$A:$A,0)),IF(MO$1=INDEX('Valo FX'!$R:$R,MATCH($A9,'Valo FX'!$A:$A,0)),INDEX(Base!$V:$V,MATCH($A9,Base!$A:$A,0)),0)))</f>
        <v>11.548933999999999</v>
      </c>
      <c r="MP9" s="21">
        <f>IF(MP$1&lt;INDEX('Valo FX'!$Q:$Q,MATCH($A9,'Valo FX'!$A:$A,0)),0,IF(MP$1&lt;INDEX('Valo FX'!$R:$R,MATCH($A9,'Valo FX'!$A:$A,0)),INDEX(Base!$U:$U,MATCH($A9,Base!$A:$A,0)),IF(MP$1=INDEX('Valo FX'!$R:$R,MATCH($A9,'Valo FX'!$A:$A,0)),INDEX(Base!$V:$V,MATCH($A9,Base!$A:$A,0)),0)))</f>
        <v>11.548933999999999</v>
      </c>
      <c r="MQ9" s="21">
        <f>IF(MQ$1&lt;INDEX('Valo FX'!$Q:$Q,MATCH($A9,'Valo FX'!$A:$A,0)),0,IF(MQ$1&lt;INDEX('Valo FX'!$R:$R,MATCH($A9,'Valo FX'!$A:$A,0)),INDEX(Base!$U:$U,MATCH($A9,Base!$A:$A,0)),IF(MQ$1=INDEX('Valo FX'!$R:$R,MATCH($A9,'Valo FX'!$A:$A,0)),INDEX(Base!$V:$V,MATCH($A9,Base!$A:$A,0)),0)))</f>
        <v>11.548933999999999</v>
      </c>
      <c r="MR9" s="21">
        <f>IF(MR$1&lt;INDEX('Valo FX'!$Q:$Q,MATCH($A9,'Valo FX'!$A:$A,0)),0,IF(MR$1&lt;INDEX('Valo FX'!$R:$R,MATCH($A9,'Valo FX'!$A:$A,0)),INDEX(Base!$U:$U,MATCH($A9,Base!$A:$A,0)),IF(MR$1=INDEX('Valo FX'!$R:$R,MATCH($A9,'Valo FX'!$A:$A,0)),INDEX(Base!$V:$V,MATCH($A9,Base!$A:$A,0)),0)))</f>
        <v>11.548933999999999</v>
      </c>
      <c r="MS9" s="21">
        <f>IF(MS$1&lt;INDEX('Valo FX'!$Q:$Q,MATCH($A9,'Valo FX'!$A:$A,0)),0,IF(MS$1&lt;INDEX('Valo FX'!$R:$R,MATCH($A9,'Valo FX'!$A:$A,0)),INDEX(Base!$U:$U,MATCH($A9,Base!$A:$A,0)),IF(MS$1=INDEX('Valo FX'!$R:$R,MATCH($A9,'Valo FX'!$A:$A,0)),INDEX(Base!$V:$V,MATCH($A9,Base!$A:$A,0)),0)))</f>
        <v>11.548933999999999</v>
      </c>
      <c r="MT9" s="21">
        <f>IF(MT$1&lt;INDEX('Valo FX'!$Q:$Q,MATCH($A9,'Valo FX'!$A:$A,0)),0,IF(MT$1&lt;INDEX('Valo FX'!$R:$R,MATCH($A9,'Valo FX'!$A:$A,0)),INDEX(Base!$U:$U,MATCH($A9,Base!$A:$A,0)),IF(MT$1=INDEX('Valo FX'!$R:$R,MATCH($A9,'Valo FX'!$A:$A,0)),INDEX(Base!$V:$V,MATCH($A9,Base!$A:$A,0)),0)))</f>
        <v>11.548933999999999</v>
      </c>
      <c r="MU9" s="21">
        <f>IF(MU$1&lt;INDEX('Valo FX'!$Q:$Q,MATCH($A9,'Valo FX'!$A:$A,0)),0,IF(MU$1&lt;INDEX('Valo FX'!$R:$R,MATCH($A9,'Valo FX'!$A:$A,0)),INDEX(Base!$U:$U,MATCH($A9,Base!$A:$A,0)),IF(MU$1=INDEX('Valo FX'!$R:$R,MATCH($A9,'Valo FX'!$A:$A,0)),INDEX(Base!$V:$V,MATCH($A9,Base!$A:$A,0)),0)))</f>
        <v>11.548933999999999</v>
      </c>
      <c r="MV9" s="21">
        <f>IF(MV$1&lt;INDEX('Valo FX'!$Q:$Q,MATCH($A9,'Valo FX'!$A:$A,0)),0,IF(MV$1&lt;INDEX('Valo FX'!$R:$R,MATCH($A9,'Valo FX'!$A:$A,0)),INDEX(Base!$U:$U,MATCH($A9,Base!$A:$A,0)),IF(MV$1=INDEX('Valo FX'!$R:$R,MATCH($A9,'Valo FX'!$A:$A,0)),INDEX(Base!$V:$V,MATCH($A9,Base!$A:$A,0)),0)))</f>
        <v>11.548933999999999</v>
      </c>
      <c r="MW9" s="21">
        <f>IF(MW$1&lt;INDEX('Valo FX'!$Q:$Q,MATCH($A9,'Valo FX'!$A:$A,0)),0,IF(MW$1&lt;INDEX('Valo FX'!$R:$R,MATCH($A9,'Valo FX'!$A:$A,0)),INDEX(Base!$U:$U,MATCH($A9,Base!$A:$A,0)),IF(MW$1=INDEX('Valo FX'!$R:$R,MATCH($A9,'Valo FX'!$A:$A,0)),INDEX(Base!$V:$V,MATCH($A9,Base!$A:$A,0)),0)))</f>
        <v>11.548933999999999</v>
      </c>
      <c r="MX9" s="21">
        <f>IF(MX$1&lt;INDEX('Valo FX'!$Q:$Q,MATCH($A9,'Valo FX'!$A:$A,0)),0,IF(MX$1&lt;INDEX('Valo FX'!$R:$R,MATCH($A9,'Valo FX'!$A:$A,0)),INDEX(Base!$U:$U,MATCH($A9,Base!$A:$A,0)),IF(MX$1=INDEX('Valo FX'!$R:$R,MATCH($A9,'Valo FX'!$A:$A,0)),INDEX(Base!$V:$V,MATCH($A9,Base!$A:$A,0)),0)))</f>
        <v>11.548933999999999</v>
      </c>
      <c r="MY9" s="21">
        <f>IF(MY$1&lt;INDEX('Valo FX'!$Q:$Q,MATCH($A9,'Valo FX'!$A:$A,0)),0,IF(MY$1&lt;INDEX('Valo FX'!$R:$R,MATCH($A9,'Valo FX'!$A:$A,0)),INDEX(Base!$U:$U,MATCH($A9,Base!$A:$A,0)),IF(MY$1=INDEX('Valo FX'!$R:$R,MATCH($A9,'Valo FX'!$A:$A,0)),INDEX(Base!$V:$V,MATCH($A9,Base!$A:$A,0)),0)))</f>
        <v>11.855556999999999</v>
      </c>
    </row>
    <row r="10" spans="1:363" x14ac:dyDescent="0.2">
      <c r="A10" s="7">
        <f>+'Valo FX'!A11</f>
        <v>8</v>
      </c>
      <c r="B10" s="58">
        <f>-'Valo FX'!T11</f>
        <v>-812.31825528302966</v>
      </c>
      <c r="C10" s="21">
        <f>IF(C$1&lt;INDEX('Valo FX'!$Q:$Q,MATCH($A10,'Valo FX'!$A:$A,0)),0,IF(C$1&lt;INDEX('Valo FX'!$R:$R,MATCH($A10,'Valo FX'!$A:$A,0)),INDEX(Base!$U:$U,MATCH($A10,Base!$A:$A,0)),IF(C$1=INDEX('Valo FX'!$R:$R,MATCH($A10,'Valo FX'!$A:$A,0)),INDEX(Base!$V:$V,MATCH($A10,Base!$A:$A,0)),0)))</f>
        <v>0</v>
      </c>
      <c r="D10" s="21">
        <f>IF(D$1&lt;INDEX('Valo FX'!$Q:$Q,MATCH($A10,'Valo FX'!$A:$A,0)),0,IF(D$1&lt;INDEX('Valo FX'!$R:$R,MATCH($A10,'Valo FX'!$A:$A,0)),INDEX(Base!$U:$U,MATCH($A10,Base!$A:$A,0)),IF(D$1=INDEX('Valo FX'!$R:$R,MATCH($A10,'Valo FX'!$A:$A,0)),INDEX(Base!$V:$V,MATCH($A10,Base!$A:$A,0)),0)))</f>
        <v>0</v>
      </c>
      <c r="E10" s="21">
        <f>IF(E$1&lt;INDEX('Valo FX'!$Q:$Q,MATCH($A10,'Valo FX'!$A:$A,0)),0,IF(E$1&lt;INDEX('Valo FX'!$R:$R,MATCH($A10,'Valo FX'!$A:$A,0)),INDEX(Base!$U:$U,MATCH($A10,Base!$A:$A,0)),IF(E$1=INDEX('Valo FX'!$R:$R,MATCH($A10,'Valo FX'!$A:$A,0)),INDEX(Base!$V:$V,MATCH($A10,Base!$A:$A,0)),0)))</f>
        <v>0</v>
      </c>
      <c r="F10" s="21">
        <f>IF(F$1&lt;INDEX('Valo FX'!$Q:$Q,MATCH($A10,'Valo FX'!$A:$A,0)),0,IF(F$1&lt;INDEX('Valo FX'!$R:$R,MATCH($A10,'Valo FX'!$A:$A,0)),INDEX(Base!$U:$U,MATCH($A10,Base!$A:$A,0)),IF(F$1=INDEX('Valo FX'!$R:$R,MATCH($A10,'Valo FX'!$A:$A,0)),INDEX(Base!$V:$V,MATCH($A10,Base!$A:$A,0)),0)))</f>
        <v>0</v>
      </c>
      <c r="G10" s="21">
        <f>IF(G$1&lt;INDEX('Valo FX'!$Q:$Q,MATCH($A10,'Valo FX'!$A:$A,0)),0,IF(G$1&lt;INDEX('Valo FX'!$R:$R,MATCH($A10,'Valo FX'!$A:$A,0)),INDEX(Base!$U:$U,MATCH($A10,Base!$A:$A,0)),IF(G$1=INDEX('Valo FX'!$R:$R,MATCH($A10,'Valo FX'!$A:$A,0)),INDEX(Base!$V:$V,MATCH($A10,Base!$A:$A,0)),0)))</f>
        <v>0</v>
      </c>
      <c r="H10" s="21">
        <f>IF(H$1&lt;INDEX('Valo FX'!$Q:$Q,MATCH($A10,'Valo FX'!$A:$A,0)),0,IF(H$1&lt;INDEX('Valo FX'!$R:$R,MATCH($A10,'Valo FX'!$A:$A,0)),INDEX(Base!$U:$U,MATCH($A10,Base!$A:$A,0)),IF(H$1=INDEX('Valo FX'!$R:$R,MATCH($A10,'Valo FX'!$A:$A,0)),INDEX(Base!$V:$V,MATCH($A10,Base!$A:$A,0)),0)))</f>
        <v>0</v>
      </c>
      <c r="I10" s="21">
        <f>IF(I$1&lt;INDEX('Valo FX'!$Q:$Q,MATCH($A10,'Valo FX'!$A:$A,0)),0,IF(I$1&lt;INDEX('Valo FX'!$R:$R,MATCH($A10,'Valo FX'!$A:$A,0)),INDEX(Base!$U:$U,MATCH($A10,Base!$A:$A,0)),IF(I$1=INDEX('Valo FX'!$R:$R,MATCH($A10,'Valo FX'!$A:$A,0)),INDEX(Base!$V:$V,MATCH($A10,Base!$A:$A,0)),0)))</f>
        <v>5.5328809999999997</v>
      </c>
      <c r="J10" s="21">
        <f>IF(J$1&lt;INDEX('Valo FX'!$Q:$Q,MATCH($A10,'Valo FX'!$A:$A,0)),0,IF(J$1&lt;INDEX('Valo FX'!$R:$R,MATCH($A10,'Valo FX'!$A:$A,0)),INDEX(Base!$U:$U,MATCH($A10,Base!$A:$A,0)),IF(J$1=INDEX('Valo FX'!$R:$R,MATCH($A10,'Valo FX'!$A:$A,0)),INDEX(Base!$V:$V,MATCH($A10,Base!$A:$A,0)),0)))</f>
        <v>5.5328809999999997</v>
      </c>
      <c r="K10" s="21">
        <f>IF(K$1&lt;INDEX('Valo FX'!$Q:$Q,MATCH($A10,'Valo FX'!$A:$A,0)),0,IF(K$1&lt;INDEX('Valo FX'!$R:$R,MATCH($A10,'Valo FX'!$A:$A,0)),INDEX(Base!$U:$U,MATCH($A10,Base!$A:$A,0)),IF(K$1=INDEX('Valo FX'!$R:$R,MATCH($A10,'Valo FX'!$A:$A,0)),INDEX(Base!$V:$V,MATCH($A10,Base!$A:$A,0)),0)))</f>
        <v>5.5328809999999997</v>
      </c>
      <c r="L10" s="21">
        <f>IF(L$1&lt;INDEX('Valo FX'!$Q:$Q,MATCH($A10,'Valo FX'!$A:$A,0)),0,IF(L$1&lt;INDEX('Valo FX'!$R:$R,MATCH($A10,'Valo FX'!$A:$A,0)),INDEX(Base!$U:$U,MATCH($A10,Base!$A:$A,0)),IF(L$1=INDEX('Valo FX'!$R:$R,MATCH($A10,'Valo FX'!$A:$A,0)),INDEX(Base!$V:$V,MATCH($A10,Base!$A:$A,0)),0)))</f>
        <v>5.5328809999999997</v>
      </c>
      <c r="M10" s="21">
        <f>IF(M$1&lt;INDEX('Valo FX'!$Q:$Q,MATCH($A10,'Valo FX'!$A:$A,0)),0,IF(M$1&lt;INDEX('Valo FX'!$R:$R,MATCH($A10,'Valo FX'!$A:$A,0)),INDEX(Base!$U:$U,MATCH($A10,Base!$A:$A,0)),IF(M$1=INDEX('Valo FX'!$R:$R,MATCH($A10,'Valo FX'!$A:$A,0)),INDEX(Base!$V:$V,MATCH($A10,Base!$A:$A,0)),0)))</f>
        <v>5.5328809999999997</v>
      </c>
      <c r="N10" s="21">
        <f>IF(N$1&lt;INDEX('Valo FX'!$Q:$Q,MATCH($A10,'Valo FX'!$A:$A,0)),0,IF(N$1&lt;INDEX('Valo FX'!$R:$R,MATCH($A10,'Valo FX'!$A:$A,0)),INDEX(Base!$U:$U,MATCH($A10,Base!$A:$A,0)),IF(N$1=INDEX('Valo FX'!$R:$R,MATCH($A10,'Valo FX'!$A:$A,0)),INDEX(Base!$V:$V,MATCH($A10,Base!$A:$A,0)),0)))</f>
        <v>5.5328809999999997</v>
      </c>
      <c r="O10" s="21">
        <f>IF(O$1&lt;INDEX('Valo FX'!$Q:$Q,MATCH($A10,'Valo FX'!$A:$A,0)),0,IF(O$1&lt;INDEX('Valo FX'!$R:$R,MATCH($A10,'Valo FX'!$A:$A,0)),INDEX(Base!$U:$U,MATCH($A10,Base!$A:$A,0)),IF(O$1=INDEX('Valo FX'!$R:$R,MATCH($A10,'Valo FX'!$A:$A,0)),INDEX(Base!$V:$V,MATCH($A10,Base!$A:$A,0)),0)))</f>
        <v>5.5328809999999997</v>
      </c>
      <c r="P10" s="21">
        <f>IF(P$1&lt;INDEX('Valo FX'!$Q:$Q,MATCH($A10,'Valo FX'!$A:$A,0)),0,IF(P$1&lt;INDEX('Valo FX'!$R:$R,MATCH($A10,'Valo FX'!$A:$A,0)),INDEX(Base!$U:$U,MATCH($A10,Base!$A:$A,0)),IF(P$1=INDEX('Valo FX'!$R:$R,MATCH($A10,'Valo FX'!$A:$A,0)),INDEX(Base!$V:$V,MATCH($A10,Base!$A:$A,0)),0)))</f>
        <v>5.5328809999999997</v>
      </c>
      <c r="Q10" s="21">
        <f>IF(Q$1&lt;INDEX('Valo FX'!$Q:$Q,MATCH($A10,'Valo FX'!$A:$A,0)),0,IF(Q$1&lt;INDEX('Valo FX'!$R:$R,MATCH($A10,'Valo FX'!$A:$A,0)),INDEX(Base!$U:$U,MATCH($A10,Base!$A:$A,0)),IF(Q$1=INDEX('Valo FX'!$R:$R,MATCH($A10,'Valo FX'!$A:$A,0)),INDEX(Base!$V:$V,MATCH($A10,Base!$A:$A,0)),0)))</f>
        <v>5.5328809999999997</v>
      </c>
      <c r="R10" s="21">
        <f>IF(R$1&lt;INDEX('Valo FX'!$Q:$Q,MATCH($A10,'Valo FX'!$A:$A,0)),0,IF(R$1&lt;INDEX('Valo FX'!$R:$R,MATCH($A10,'Valo FX'!$A:$A,0)),INDEX(Base!$U:$U,MATCH($A10,Base!$A:$A,0)),IF(R$1=INDEX('Valo FX'!$R:$R,MATCH($A10,'Valo FX'!$A:$A,0)),INDEX(Base!$V:$V,MATCH($A10,Base!$A:$A,0)),0)))</f>
        <v>5.5328809999999997</v>
      </c>
      <c r="S10" s="21">
        <f>IF(S$1&lt;INDEX('Valo FX'!$Q:$Q,MATCH($A10,'Valo FX'!$A:$A,0)),0,IF(S$1&lt;INDEX('Valo FX'!$R:$R,MATCH($A10,'Valo FX'!$A:$A,0)),INDEX(Base!$U:$U,MATCH($A10,Base!$A:$A,0)),IF(S$1=INDEX('Valo FX'!$R:$R,MATCH($A10,'Valo FX'!$A:$A,0)),INDEX(Base!$V:$V,MATCH($A10,Base!$A:$A,0)),0)))</f>
        <v>5.5328809999999997</v>
      </c>
      <c r="T10" s="21">
        <f>IF(T$1&lt;INDEX('Valo FX'!$Q:$Q,MATCH($A10,'Valo FX'!$A:$A,0)),0,IF(T$1&lt;INDEX('Valo FX'!$R:$R,MATCH($A10,'Valo FX'!$A:$A,0)),INDEX(Base!$U:$U,MATCH($A10,Base!$A:$A,0)),IF(T$1=INDEX('Valo FX'!$R:$R,MATCH($A10,'Valo FX'!$A:$A,0)),INDEX(Base!$V:$V,MATCH($A10,Base!$A:$A,0)),0)))</f>
        <v>5.5328809999999997</v>
      </c>
      <c r="U10" s="21">
        <f>IF(U$1&lt;INDEX('Valo FX'!$Q:$Q,MATCH($A10,'Valo FX'!$A:$A,0)),0,IF(U$1&lt;INDEX('Valo FX'!$R:$R,MATCH($A10,'Valo FX'!$A:$A,0)),INDEX(Base!$U:$U,MATCH($A10,Base!$A:$A,0)),IF(U$1=INDEX('Valo FX'!$R:$R,MATCH($A10,'Valo FX'!$A:$A,0)),INDEX(Base!$V:$V,MATCH($A10,Base!$A:$A,0)),0)))</f>
        <v>5.5328809999999997</v>
      </c>
      <c r="V10" s="21">
        <f>IF(V$1&lt;INDEX('Valo FX'!$Q:$Q,MATCH($A10,'Valo FX'!$A:$A,0)),0,IF(V$1&lt;INDEX('Valo FX'!$R:$R,MATCH($A10,'Valo FX'!$A:$A,0)),INDEX(Base!$U:$U,MATCH($A10,Base!$A:$A,0)),IF(V$1=INDEX('Valo FX'!$R:$R,MATCH($A10,'Valo FX'!$A:$A,0)),INDEX(Base!$V:$V,MATCH($A10,Base!$A:$A,0)),0)))</f>
        <v>5.5328809999999997</v>
      </c>
      <c r="W10" s="21">
        <f>IF(W$1&lt;INDEX('Valo FX'!$Q:$Q,MATCH($A10,'Valo FX'!$A:$A,0)),0,IF(W$1&lt;INDEX('Valo FX'!$R:$R,MATCH($A10,'Valo FX'!$A:$A,0)),INDEX(Base!$U:$U,MATCH($A10,Base!$A:$A,0)),IF(W$1=INDEX('Valo FX'!$R:$R,MATCH($A10,'Valo FX'!$A:$A,0)),INDEX(Base!$V:$V,MATCH($A10,Base!$A:$A,0)),0)))</f>
        <v>5.5328809999999997</v>
      </c>
      <c r="X10" s="21">
        <f>IF(X$1&lt;INDEX('Valo FX'!$Q:$Q,MATCH($A10,'Valo FX'!$A:$A,0)),0,IF(X$1&lt;INDEX('Valo FX'!$R:$R,MATCH($A10,'Valo FX'!$A:$A,0)),INDEX(Base!$U:$U,MATCH($A10,Base!$A:$A,0)),IF(X$1=INDEX('Valo FX'!$R:$R,MATCH($A10,'Valo FX'!$A:$A,0)),INDEX(Base!$V:$V,MATCH($A10,Base!$A:$A,0)),0)))</f>
        <v>5.5328809999999997</v>
      </c>
      <c r="Y10" s="21">
        <f>IF(Y$1&lt;INDEX('Valo FX'!$Q:$Q,MATCH($A10,'Valo FX'!$A:$A,0)),0,IF(Y$1&lt;INDEX('Valo FX'!$R:$R,MATCH($A10,'Valo FX'!$A:$A,0)),INDEX(Base!$U:$U,MATCH($A10,Base!$A:$A,0)),IF(Y$1=INDEX('Valo FX'!$R:$R,MATCH($A10,'Valo FX'!$A:$A,0)),INDEX(Base!$V:$V,MATCH($A10,Base!$A:$A,0)),0)))</f>
        <v>5.5328809999999997</v>
      </c>
      <c r="Z10" s="21">
        <f>IF(Z$1&lt;INDEX('Valo FX'!$Q:$Q,MATCH($A10,'Valo FX'!$A:$A,0)),0,IF(Z$1&lt;INDEX('Valo FX'!$R:$R,MATCH($A10,'Valo FX'!$A:$A,0)),INDEX(Base!$U:$U,MATCH($A10,Base!$A:$A,0)),IF(Z$1=INDEX('Valo FX'!$R:$R,MATCH($A10,'Valo FX'!$A:$A,0)),INDEX(Base!$V:$V,MATCH($A10,Base!$A:$A,0)),0)))</f>
        <v>5.5328809999999997</v>
      </c>
      <c r="AA10" s="21">
        <f>IF(AA$1&lt;INDEX('Valo FX'!$Q:$Q,MATCH($A10,'Valo FX'!$A:$A,0)),0,IF(AA$1&lt;INDEX('Valo FX'!$R:$R,MATCH($A10,'Valo FX'!$A:$A,0)),INDEX(Base!$U:$U,MATCH($A10,Base!$A:$A,0)),IF(AA$1=INDEX('Valo FX'!$R:$R,MATCH($A10,'Valo FX'!$A:$A,0)),INDEX(Base!$V:$V,MATCH($A10,Base!$A:$A,0)),0)))</f>
        <v>5.5328809999999997</v>
      </c>
      <c r="AB10" s="21">
        <f>IF(AB$1&lt;INDEX('Valo FX'!$Q:$Q,MATCH($A10,'Valo FX'!$A:$A,0)),0,IF(AB$1&lt;INDEX('Valo FX'!$R:$R,MATCH($A10,'Valo FX'!$A:$A,0)),INDEX(Base!$U:$U,MATCH($A10,Base!$A:$A,0)),IF(AB$1=INDEX('Valo FX'!$R:$R,MATCH($A10,'Valo FX'!$A:$A,0)),INDEX(Base!$V:$V,MATCH($A10,Base!$A:$A,0)),0)))</f>
        <v>5.5328809999999997</v>
      </c>
      <c r="AC10" s="21">
        <f>IF(AC$1&lt;INDEX('Valo FX'!$Q:$Q,MATCH($A10,'Valo FX'!$A:$A,0)),0,IF(AC$1&lt;INDEX('Valo FX'!$R:$R,MATCH($A10,'Valo FX'!$A:$A,0)),INDEX(Base!$U:$U,MATCH($A10,Base!$A:$A,0)),IF(AC$1=INDEX('Valo FX'!$R:$R,MATCH($A10,'Valo FX'!$A:$A,0)),INDEX(Base!$V:$V,MATCH($A10,Base!$A:$A,0)),0)))</f>
        <v>5.5328809999999997</v>
      </c>
      <c r="AD10" s="21">
        <f>IF(AD$1&lt;INDEX('Valo FX'!$Q:$Q,MATCH($A10,'Valo FX'!$A:$A,0)),0,IF(AD$1&lt;INDEX('Valo FX'!$R:$R,MATCH($A10,'Valo FX'!$A:$A,0)),INDEX(Base!$U:$U,MATCH($A10,Base!$A:$A,0)),IF(AD$1=INDEX('Valo FX'!$R:$R,MATCH($A10,'Valo FX'!$A:$A,0)),INDEX(Base!$V:$V,MATCH($A10,Base!$A:$A,0)),0)))</f>
        <v>5.5328809999999997</v>
      </c>
      <c r="AE10" s="21">
        <f>IF(AE$1&lt;INDEX('Valo FX'!$Q:$Q,MATCH($A10,'Valo FX'!$A:$A,0)),0,IF(AE$1&lt;INDEX('Valo FX'!$R:$R,MATCH($A10,'Valo FX'!$A:$A,0)),INDEX(Base!$U:$U,MATCH($A10,Base!$A:$A,0)),IF(AE$1=INDEX('Valo FX'!$R:$R,MATCH($A10,'Valo FX'!$A:$A,0)),INDEX(Base!$V:$V,MATCH($A10,Base!$A:$A,0)),0)))</f>
        <v>5.5328809999999997</v>
      </c>
      <c r="AF10" s="21">
        <f>IF(AF$1&lt;INDEX('Valo FX'!$Q:$Q,MATCH($A10,'Valo FX'!$A:$A,0)),0,IF(AF$1&lt;INDEX('Valo FX'!$R:$R,MATCH($A10,'Valo FX'!$A:$A,0)),INDEX(Base!$U:$U,MATCH($A10,Base!$A:$A,0)),IF(AF$1=INDEX('Valo FX'!$R:$R,MATCH($A10,'Valo FX'!$A:$A,0)),INDEX(Base!$V:$V,MATCH($A10,Base!$A:$A,0)),0)))</f>
        <v>5.5328809999999997</v>
      </c>
      <c r="AG10" s="21">
        <f>IF(AG$1&lt;INDEX('Valo FX'!$Q:$Q,MATCH($A10,'Valo FX'!$A:$A,0)),0,IF(AG$1&lt;INDEX('Valo FX'!$R:$R,MATCH($A10,'Valo FX'!$A:$A,0)),INDEX(Base!$U:$U,MATCH($A10,Base!$A:$A,0)),IF(AG$1=INDEX('Valo FX'!$R:$R,MATCH($A10,'Valo FX'!$A:$A,0)),INDEX(Base!$V:$V,MATCH($A10,Base!$A:$A,0)),0)))</f>
        <v>5.5328809999999997</v>
      </c>
      <c r="AH10" s="21">
        <f>IF(AH$1&lt;INDEX('Valo FX'!$Q:$Q,MATCH($A10,'Valo FX'!$A:$A,0)),0,IF(AH$1&lt;INDEX('Valo FX'!$R:$R,MATCH($A10,'Valo FX'!$A:$A,0)),INDEX(Base!$U:$U,MATCH($A10,Base!$A:$A,0)),IF(AH$1=INDEX('Valo FX'!$R:$R,MATCH($A10,'Valo FX'!$A:$A,0)),INDEX(Base!$V:$V,MATCH($A10,Base!$A:$A,0)),0)))</f>
        <v>5.5328809999999997</v>
      </c>
      <c r="AI10" s="21">
        <f>IF(AI$1&lt;INDEX('Valo FX'!$Q:$Q,MATCH($A10,'Valo FX'!$A:$A,0)),0,IF(AI$1&lt;INDEX('Valo FX'!$R:$R,MATCH($A10,'Valo FX'!$A:$A,0)),INDEX(Base!$U:$U,MATCH($A10,Base!$A:$A,0)),IF(AI$1=INDEX('Valo FX'!$R:$R,MATCH($A10,'Valo FX'!$A:$A,0)),INDEX(Base!$V:$V,MATCH($A10,Base!$A:$A,0)),0)))</f>
        <v>5.5328809999999997</v>
      </c>
      <c r="AJ10" s="21">
        <f>IF(AJ$1&lt;INDEX('Valo FX'!$Q:$Q,MATCH($A10,'Valo FX'!$A:$A,0)),0,IF(AJ$1&lt;INDEX('Valo FX'!$R:$R,MATCH($A10,'Valo FX'!$A:$A,0)),INDEX(Base!$U:$U,MATCH($A10,Base!$A:$A,0)),IF(AJ$1=INDEX('Valo FX'!$R:$R,MATCH($A10,'Valo FX'!$A:$A,0)),INDEX(Base!$V:$V,MATCH($A10,Base!$A:$A,0)),0)))</f>
        <v>5.5328809999999997</v>
      </c>
      <c r="AK10" s="21">
        <f>IF(AK$1&lt;INDEX('Valo FX'!$Q:$Q,MATCH($A10,'Valo FX'!$A:$A,0)),0,IF(AK$1&lt;INDEX('Valo FX'!$R:$R,MATCH($A10,'Valo FX'!$A:$A,0)),INDEX(Base!$U:$U,MATCH($A10,Base!$A:$A,0)),IF(AK$1=INDEX('Valo FX'!$R:$R,MATCH($A10,'Valo FX'!$A:$A,0)),INDEX(Base!$V:$V,MATCH($A10,Base!$A:$A,0)),0)))</f>
        <v>5.5328809999999997</v>
      </c>
      <c r="AL10" s="21">
        <f>IF(AL$1&lt;INDEX('Valo FX'!$Q:$Q,MATCH($A10,'Valo FX'!$A:$A,0)),0,IF(AL$1&lt;INDEX('Valo FX'!$R:$R,MATCH($A10,'Valo FX'!$A:$A,0)),INDEX(Base!$U:$U,MATCH($A10,Base!$A:$A,0)),IF(AL$1=INDEX('Valo FX'!$R:$R,MATCH($A10,'Valo FX'!$A:$A,0)),INDEX(Base!$V:$V,MATCH($A10,Base!$A:$A,0)),0)))</f>
        <v>5.5328809999999997</v>
      </c>
      <c r="AM10" s="21">
        <f>IF(AM$1&lt;INDEX('Valo FX'!$Q:$Q,MATCH($A10,'Valo FX'!$A:$A,0)),0,IF(AM$1&lt;INDEX('Valo FX'!$R:$R,MATCH($A10,'Valo FX'!$A:$A,0)),INDEX(Base!$U:$U,MATCH($A10,Base!$A:$A,0)),IF(AM$1=INDEX('Valo FX'!$R:$R,MATCH($A10,'Valo FX'!$A:$A,0)),INDEX(Base!$V:$V,MATCH($A10,Base!$A:$A,0)),0)))</f>
        <v>5.5328809999999997</v>
      </c>
      <c r="AN10" s="21">
        <f>IF(AN$1&lt;INDEX('Valo FX'!$Q:$Q,MATCH($A10,'Valo FX'!$A:$A,0)),0,IF(AN$1&lt;INDEX('Valo FX'!$R:$R,MATCH($A10,'Valo FX'!$A:$A,0)),INDEX(Base!$U:$U,MATCH($A10,Base!$A:$A,0)),IF(AN$1=INDEX('Valo FX'!$R:$R,MATCH($A10,'Valo FX'!$A:$A,0)),INDEX(Base!$V:$V,MATCH($A10,Base!$A:$A,0)),0)))</f>
        <v>5.5328809999999997</v>
      </c>
      <c r="AO10" s="21">
        <f>IF(AO$1&lt;INDEX('Valo FX'!$Q:$Q,MATCH($A10,'Valo FX'!$A:$A,0)),0,IF(AO$1&lt;INDEX('Valo FX'!$R:$R,MATCH($A10,'Valo FX'!$A:$A,0)),INDEX(Base!$U:$U,MATCH($A10,Base!$A:$A,0)),IF(AO$1=INDEX('Valo FX'!$R:$R,MATCH($A10,'Valo FX'!$A:$A,0)),INDEX(Base!$V:$V,MATCH($A10,Base!$A:$A,0)),0)))</f>
        <v>5.5328809999999997</v>
      </c>
      <c r="AP10" s="21">
        <f>IF(AP$1&lt;INDEX('Valo FX'!$Q:$Q,MATCH($A10,'Valo FX'!$A:$A,0)),0,IF(AP$1&lt;INDEX('Valo FX'!$R:$R,MATCH($A10,'Valo FX'!$A:$A,0)),INDEX(Base!$U:$U,MATCH($A10,Base!$A:$A,0)),IF(AP$1=INDEX('Valo FX'!$R:$R,MATCH($A10,'Valo FX'!$A:$A,0)),INDEX(Base!$V:$V,MATCH($A10,Base!$A:$A,0)),0)))</f>
        <v>5.5328809999999997</v>
      </c>
      <c r="AQ10" s="21">
        <f>IF(AQ$1&lt;INDEX('Valo FX'!$Q:$Q,MATCH($A10,'Valo FX'!$A:$A,0)),0,IF(AQ$1&lt;INDEX('Valo FX'!$R:$R,MATCH($A10,'Valo FX'!$A:$A,0)),INDEX(Base!$U:$U,MATCH($A10,Base!$A:$A,0)),IF(AQ$1=INDEX('Valo FX'!$R:$R,MATCH($A10,'Valo FX'!$A:$A,0)),INDEX(Base!$V:$V,MATCH($A10,Base!$A:$A,0)),0)))</f>
        <v>5.5328809999999997</v>
      </c>
      <c r="AR10" s="21">
        <f>IF(AR$1&lt;INDEX('Valo FX'!$Q:$Q,MATCH($A10,'Valo FX'!$A:$A,0)),0,IF(AR$1&lt;INDEX('Valo FX'!$R:$R,MATCH($A10,'Valo FX'!$A:$A,0)),INDEX(Base!$U:$U,MATCH($A10,Base!$A:$A,0)),IF(AR$1=INDEX('Valo FX'!$R:$R,MATCH($A10,'Valo FX'!$A:$A,0)),INDEX(Base!$V:$V,MATCH($A10,Base!$A:$A,0)),0)))</f>
        <v>5.5328809999999997</v>
      </c>
      <c r="AS10" s="21">
        <f>IF(AS$1&lt;INDEX('Valo FX'!$Q:$Q,MATCH($A10,'Valo FX'!$A:$A,0)),0,IF(AS$1&lt;INDEX('Valo FX'!$R:$R,MATCH($A10,'Valo FX'!$A:$A,0)),INDEX(Base!$U:$U,MATCH($A10,Base!$A:$A,0)),IF(AS$1=INDEX('Valo FX'!$R:$R,MATCH($A10,'Valo FX'!$A:$A,0)),INDEX(Base!$V:$V,MATCH($A10,Base!$A:$A,0)),0)))</f>
        <v>5.5328809999999997</v>
      </c>
      <c r="AT10" s="21">
        <f>IF(AT$1&lt;INDEX('Valo FX'!$Q:$Q,MATCH($A10,'Valo FX'!$A:$A,0)),0,IF(AT$1&lt;INDEX('Valo FX'!$R:$R,MATCH($A10,'Valo FX'!$A:$A,0)),INDEX(Base!$U:$U,MATCH($A10,Base!$A:$A,0)),IF(AT$1=INDEX('Valo FX'!$R:$R,MATCH($A10,'Valo FX'!$A:$A,0)),INDEX(Base!$V:$V,MATCH($A10,Base!$A:$A,0)),0)))</f>
        <v>5.5328809999999997</v>
      </c>
      <c r="AU10" s="21">
        <f>IF(AU$1&lt;INDEX('Valo FX'!$Q:$Q,MATCH($A10,'Valo FX'!$A:$A,0)),0,IF(AU$1&lt;INDEX('Valo FX'!$R:$R,MATCH($A10,'Valo FX'!$A:$A,0)),INDEX(Base!$U:$U,MATCH($A10,Base!$A:$A,0)),IF(AU$1=INDEX('Valo FX'!$R:$R,MATCH($A10,'Valo FX'!$A:$A,0)),INDEX(Base!$V:$V,MATCH($A10,Base!$A:$A,0)),0)))</f>
        <v>5.5328809999999997</v>
      </c>
      <c r="AV10" s="21">
        <f>IF(AV$1&lt;INDEX('Valo FX'!$Q:$Q,MATCH($A10,'Valo FX'!$A:$A,0)),0,IF(AV$1&lt;INDEX('Valo FX'!$R:$R,MATCH($A10,'Valo FX'!$A:$A,0)),INDEX(Base!$U:$U,MATCH($A10,Base!$A:$A,0)),IF(AV$1=INDEX('Valo FX'!$R:$R,MATCH($A10,'Valo FX'!$A:$A,0)),INDEX(Base!$V:$V,MATCH($A10,Base!$A:$A,0)),0)))</f>
        <v>5.5328809999999997</v>
      </c>
      <c r="AW10" s="21">
        <f>IF(AW$1&lt;INDEX('Valo FX'!$Q:$Q,MATCH($A10,'Valo FX'!$A:$A,0)),0,IF(AW$1&lt;INDEX('Valo FX'!$R:$R,MATCH($A10,'Valo FX'!$A:$A,0)),INDEX(Base!$U:$U,MATCH($A10,Base!$A:$A,0)),IF(AW$1=INDEX('Valo FX'!$R:$R,MATCH($A10,'Valo FX'!$A:$A,0)),INDEX(Base!$V:$V,MATCH($A10,Base!$A:$A,0)),0)))</f>
        <v>5.5328809999999997</v>
      </c>
      <c r="AX10" s="21">
        <f>IF(AX$1&lt;INDEX('Valo FX'!$Q:$Q,MATCH($A10,'Valo FX'!$A:$A,0)),0,IF(AX$1&lt;INDEX('Valo FX'!$R:$R,MATCH($A10,'Valo FX'!$A:$A,0)),INDEX(Base!$U:$U,MATCH($A10,Base!$A:$A,0)),IF(AX$1=INDEX('Valo FX'!$R:$R,MATCH($A10,'Valo FX'!$A:$A,0)),INDEX(Base!$V:$V,MATCH($A10,Base!$A:$A,0)),0)))</f>
        <v>5.5328809999999997</v>
      </c>
      <c r="AY10" s="21">
        <f>IF(AY$1&lt;INDEX('Valo FX'!$Q:$Q,MATCH($A10,'Valo FX'!$A:$A,0)),0,IF(AY$1&lt;INDEX('Valo FX'!$R:$R,MATCH($A10,'Valo FX'!$A:$A,0)),INDEX(Base!$U:$U,MATCH($A10,Base!$A:$A,0)),IF(AY$1=INDEX('Valo FX'!$R:$R,MATCH($A10,'Valo FX'!$A:$A,0)),INDEX(Base!$V:$V,MATCH($A10,Base!$A:$A,0)),0)))</f>
        <v>5.5328809999999997</v>
      </c>
      <c r="AZ10" s="21">
        <f>IF(AZ$1&lt;INDEX('Valo FX'!$Q:$Q,MATCH($A10,'Valo FX'!$A:$A,0)),0,IF(AZ$1&lt;INDEX('Valo FX'!$R:$R,MATCH($A10,'Valo FX'!$A:$A,0)),INDEX(Base!$U:$U,MATCH($A10,Base!$A:$A,0)),IF(AZ$1=INDEX('Valo FX'!$R:$R,MATCH($A10,'Valo FX'!$A:$A,0)),INDEX(Base!$V:$V,MATCH($A10,Base!$A:$A,0)),0)))</f>
        <v>5.5328809999999997</v>
      </c>
      <c r="BA10" s="21">
        <f>IF(BA$1&lt;INDEX('Valo FX'!$Q:$Q,MATCH($A10,'Valo FX'!$A:$A,0)),0,IF(BA$1&lt;INDEX('Valo FX'!$R:$R,MATCH($A10,'Valo FX'!$A:$A,0)),INDEX(Base!$U:$U,MATCH($A10,Base!$A:$A,0)),IF(BA$1=INDEX('Valo FX'!$R:$R,MATCH($A10,'Valo FX'!$A:$A,0)),INDEX(Base!$V:$V,MATCH($A10,Base!$A:$A,0)),0)))</f>
        <v>5.5328809999999997</v>
      </c>
      <c r="BB10" s="21">
        <f>IF(BB$1&lt;INDEX('Valo FX'!$Q:$Q,MATCH($A10,'Valo FX'!$A:$A,0)),0,IF(BB$1&lt;INDEX('Valo FX'!$R:$R,MATCH($A10,'Valo FX'!$A:$A,0)),INDEX(Base!$U:$U,MATCH($A10,Base!$A:$A,0)),IF(BB$1=INDEX('Valo FX'!$R:$R,MATCH($A10,'Valo FX'!$A:$A,0)),INDEX(Base!$V:$V,MATCH($A10,Base!$A:$A,0)),0)))</f>
        <v>5.5328809999999997</v>
      </c>
      <c r="BC10" s="21">
        <f>IF(BC$1&lt;INDEX('Valo FX'!$Q:$Q,MATCH($A10,'Valo FX'!$A:$A,0)),0,IF(BC$1&lt;INDEX('Valo FX'!$R:$R,MATCH($A10,'Valo FX'!$A:$A,0)),INDEX(Base!$U:$U,MATCH($A10,Base!$A:$A,0)),IF(BC$1=INDEX('Valo FX'!$R:$R,MATCH($A10,'Valo FX'!$A:$A,0)),INDEX(Base!$V:$V,MATCH($A10,Base!$A:$A,0)),0)))</f>
        <v>5.5328809999999997</v>
      </c>
      <c r="BD10" s="21">
        <f>IF(BD$1&lt;INDEX('Valo FX'!$Q:$Q,MATCH($A10,'Valo FX'!$A:$A,0)),0,IF(BD$1&lt;INDEX('Valo FX'!$R:$R,MATCH($A10,'Valo FX'!$A:$A,0)),INDEX(Base!$U:$U,MATCH($A10,Base!$A:$A,0)),IF(BD$1=INDEX('Valo FX'!$R:$R,MATCH($A10,'Valo FX'!$A:$A,0)),INDEX(Base!$V:$V,MATCH($A10,Base!$A:$A,0)),0)))</f>
        <v>5.5328809999999997</v>
      </c>
      <c r="BE10" s="21">
        <f>IF(BE$1&lt;INDEX('Valo FX'!$Q:$Q,MATCH($A10,'Valo FX'!$A:$A,0)),0,IF(BE$1&lt;INDEX('Valo FX'!$R:$R,MATCH($A10,'Valo FX'!$A:$A,0)),INDEX(Base!$U:$U,MATCH($A10,Base!$A:$A,0)),IF(BE$1=INDEX('Valo FX'!$R:$R,MATCH($A10,'Valo FX'!$A:$A,0)),INDEX(Base!$V:$V,MATCH($A10,Base!$A:$A,0)),0)))</f>
        <v>5.5328809999999997</v>
      </c>
      <c r="BF10" s="21">
        <f>IF(BF$1&lt;INDEX('Valo FX'!$Q:$Q,MATCH($A10,'Valo FX'!$A:$A,0)),0,IF(BF$1&lt;INDEX('Valo FX'!$R:$R,MATCH($A10,'Valo FX'!$A:$A,0)),INDEX(Base!$U:$U,MATCH($A10,Base!$A:$A,0)),IF(BF$1=INDEX('Valo FX'!$R:$R,MATCH($A10,'Valo FX'!$A:$A,0)),INDEX(Base!$V:$V,MATCH($A10,Base!$A:$A,0)),0)))</f>
        <v>5.5328809999999997</v>
      </c>
      <c r="BG10" s="21">
        <f>IF(BG$1&lt;INDEX('Valo FX'!$Q:$Q,MATCH($A10,'Valo FX'!$A:$A,0)),0,IF(BG$1&lt;INDEX('Valo FX'!$R:$R,MATCH($A10,'Valo FX'!$A:$A,0)),INDEX(Base!$U:$U,MATCH($A10,Base!$A:$A,0)),IF(BG$1=INDEX('Valo FX'!$R:$R,MATCH($A10,'Valo FX'!$A:$A,0)),INDEX(Base!$V:$V,MATCH($A10,Base!$A:$A,0)),0)))</f>
        <v>5.5328809999999997</v>
      </c>
      <c r="BH10" s="21">
        <f>IF(BH$1&lt;INDEX('Valo FX'!$Q:$Q,MATCH($A10,'Valo FX'!$A:$A,0)),0,IF(BH$1&lt;INDEX('Valo FX'!$R:$R,MATCH($A10,'Valo FX'!$A:$A,0)),INDEX(Base!$U:$U,MATCH($A10,Base!$A:$A,0)),IF(BH$1=INDEX('Valo FX'!$R:$R,MATCH($A10,'Valo FX'!$A:$A,0)),INDEX(Base!$V:$V,MATCH($A10,Base!$A:$A,0)),0)))</f>
        <v>5.5328809999999997</v>
      </c>
      <c r="BI10" s="21">
        <f>IF(BI$1&lt;INDEX('Valo FX'!$Q:$Q,MATCH($A10,'Valo FX'!$A:$A,0)),0,IF(BI$1&lt;INDEX('Valo FX'!$R:$R,MATCH($A10,'Valo FX'!$A:$A,0)),INDEX(Base!$U:$U,MATCH($A10,Base!$A:$A,0)),IF(BI$1=INDEX('Valo FX'!$R:$R,MATCH($A10,'Valo FX'!$A:$A,0)),INDEX(Base!$V:$V,MATCH($A10,Base!$A:$A,0)),0)))</f>
        <v>5.5328809999999997</v>
      </c>
      <c r="BJ10" s="21">
        <f>IF(BJ$1&lt;INDEX('Valo FX'!$Q:$Q,MATCH($A10,'Valo FX'!$A:$A,0)),0,IF(BJ$1&lt;INDEX('Valo FX'!$R:$R,MATCH($A10,'Valo FX'!$A:$A,0)),INDEX(Base!$U:$U,MATCH($A10,Base!$A:$A,0)),IF(BJ$1=INDEX('Valo FX'!$R:$R,MATCH($A10,'Valo FX'!$A:$A,0)),INDEX(Base!$V:$V,MATCH($A10,Base!$A:$A,0)),0)))</f>
        <v>5.5328809999999997</v>
      </c>
      <c r="BK10" s="21">
        <f>IF(BK$1&lt;INDEX('Valo FX'!$Q:$Q,MATCH($A10,'Valo FX'!$A:$A,0)),0,IF(BK$1&lt;INDEX('Valo FX'!$R:$R,MATCH($A10,'Valo FX'!$A:$A,0)),INDEX(Base!$U:$U,MATCH($A10,Base!$A:$A,0)),IF(BK$1=INDEX('Valo FX'!$R:$R,MATCH($A10,'Valo FX'!$A:$A,0)),INDEX(Base!$V:$V,MATCH($A10,Base!$A:$A,0)),0)))</f>
        <v>5.5328809999999997</v>
      </c>
      <c r="BL10" s="21">
        <f>IF(BL$1&lt;INDEX('Valo FX'!$Q:$Q,MATCH($A10,'Valo FX'!$A:$A,0)),0,IF(BL$1&lt;INDEX('Valo FX'!$R:$R,MATCH($A10,'Valo FX'!$A:$A,0)),INDEX(Base!$U:$U,MATCH($A10,Base!$A:$A,0)),IF(BL$1=INDEX('Valo FX'!$R:$R,MATCH($A10,'Valo FX'!$A:$A,0)),INDEX(Base!$V:$V,MATCH($A10,Base!$A:$A,0)),0)))</f>
        <v>5.5328809999999997</v>
      </c>
      <c r="BM10" s="21">
        <f>IF(BM$1&lt;INDEX('Valo FX'!$Q:$Q,MATCH($A10,'Valo FX'!$A:$A,0)),0,IF(BM$1&lt;INDEX('Valo FX'!$R:$R,MATCH($A10,'Valo FX'!$A:$A,0)),INDEX(Base!$U:$U,MATCH($A10,Base!$A:$A,0)),IF(BM$1=INDEX('Valo FX'!$R:$R,MATCH($A10,'Valo FX'!$A:$A,0)),INDEX(Base!$V:$V,MATCH($A10,Base!$A:$A,0)),0)))</f>
        <v>5.5328809999999997</v>
      </c>
      <c r="BN10" s="21">
        <f>IF(BN$1&lt;INDEX('Valo FX'!$Q:$Q,MATCH($A10,'Valo FX'!$A:$A,0)),0,IF(BN$1&lt;INDEX('Valo FX'!$R:$R,MATCH($A10,'Valo FX'!$A:$A,0)),INDEX(Base!$U:$U,MATCH($A10,Base!$A:$A,0)),IF(BN$1=INDEX('Valo FX'!$R:$R,MATCH($A10,'Valo FX'!$A:$A,0)),INDEX(Base!$V:$V,MATCH($A10,Base!$A:$A,0)),0)))</f>
        <v>5.5328809999999997</v>
      </c>
      <c r="BO10" s="21">
        <f>IF(BO$1&lt;INDEX('Valo FX'!$Q:$Q,MATCH($A10,'Valo FX'!$A:$A,0)),0,IF(BO$1&lt;INDEX('Valo FX'!$R:$R,MATCH($A10,'Valo FX'!$A:$A,0)),INDEX(Base!$U:$U,MATCH($A10,Base!$A:$A,0)),IF(BO$1=INDEX('Valo FX'!$R:$R,MATCH($A10,'Valo FX'!$A:$A,0)),INDEX(Base!$V:$V,MATCH($A10,Base!$A:$A,0)),0)))</f>
        <v>5.5328809999999997</v>
      </c>
      <c r="BP10" s="21">
        <f>IF(BP$1&lt;INDEX('Valo FX'!$Q:$Q,MATCH($A10,'Valo FX'!$A:$A,0)),0,IF(BP$1&lt;INDEX('Valo FX'!$R:$R,MATCH($A10,'Valo FX'!$A:$A,0)),INDEX(Base!$U:$U,MATCH($A10,Base!$A:$A,0)),IF(BP$1=INDEX('Valo FX'!$R:$R,MATCH($A10,'Valo FX'!$A:$A,0)),INDEX(Base!$V:$V,MATCH($A10,Base!$A:$A,0)),0)))</f>
        <v>5.5328809999999997</v>
      </c>
      <c r="BQ10" s="21">
        <f>IF(BQ$1&lt;INDEX('Valo FX'!$Q:$Q,MATCH($A10,'Valo FX'!$A:$A,0)),0,IF(BQ$1&lt;INDEX('Valo FX'!$R:$R,MATCH($A10,'Valo FX'!$A:$A,0)),INDEX(Base!$U:$U,MATCH($A10,Base!$A:$A,0)),IF(BQ$1=INDEX('Valo FX'!$R:$R,MATCH($A10,'Valo FX'!$A:$A,0)),INDEX(Base!$V:$V,MATCH($A10,Base!$A:$A,0)),0)))</f>
        <v>5.5328809999999997</v>
      </c>
      <c r="BR10" s="21">
        <f>IF(BR$1&lt;INDEX('Valo FX'!$Q:$Q,MATCH($A10,'Valo FX'!$A:$A,0)),0,IF(BR$1&lt;INDEX('Valo FX'!$R:$R,MATCH($A10,'Valo FX'!$A:$A,0)),INDEX(Base!$U:$U,MATCH($A10,Base!$A:$A,0)),IF(BR$1=INDEX('Valo FX'!$R:$R,MATCH($A10,'Valo FX'!$A:$A,0)),INDEX(Base!$V:$V,MATCH($A10,Base!$A:$A,0)),0)))</f>
        <v>5.5328809999999997</v>
      </c>
      <c r="BS10" s="21">
        <f>IF(BS$1&lt;INDEX('Valo FX'!$Q:$Q,MATCH($A10,'Valo FX'!$A:$A,0)),0,IF(BS$1&lt;INDEX('Valo FX'!$R:$R,MATCH($A10,'Valo FX'!$A:$A,0)),INDEX(Base!$U:$U,MATCH($A10,Base!$A:$A,0)),IF(BS$1=INDEX('Valo FX'!$R:$R,MATCH($A10,'Valo FX'!$A:$A,0)),INDEX(Base!$V:$V,MATCH($A10,Base!$A:$A,0)),0)))</f>
        <v>5.5328809999999997</v>
      </c>
      <c r="BT10" s="21">
        <f>IF(BT$1&lt;INDEX('Valo FX'!$Q:$Q,MATCH($A10,'Valo FX'!$A:$A,0)),0,IF(BT$1&lt;INDEX('Valo FX'!$R:$R,MATCH($A10,'Valo FX'!$A:$A,0)),INDEX(Base!$U:$U,MATCH($A10,Base!$A:$A,0)),IF(BT$1=INDEX('Valo FX'!$R:$R,MATCH($A10,'Valo FX'!$A:$A,0)),INDEX(Base!$V:$V,MATCH($A10,Base!$A:$A,0)),0)))</f>
        <v>5.5328809999999997</v>
      </c>
      <c r="BU10" s="21">
        <f>IF(BU$1&lt;INDEX('Valo FX'!$Q:$Q,MATCH($A10,'Valo FX'!$A:$A,0)),0,IF(BU$1&lt;INDEX('Valo FX'!$R:$R,MATCH($A10,'Valo FX'!$A:$A,0)),INDEX(Base!$U:$U,MATCH($A10,Base!$A:$A,0)),IF(BU$1=INDEX('Valo FX'!$R:$R,MATCH($A10,'Valo FX'!$A:$A,0)),INDEX(Base!$V:$V,MATCH($A10,Base!$A:$A,0)),0)))</f>
        <v>5.5328809999999997</v>
      </c>
      <c r="BV10" s="21">
        <f>IF(BV$1&lt;INDEX('Valo FX'!$Q:$Q,MATCH($A10,'Valo FX'!$A:$A,0)),0,IF(BV$1&lt;INDEX('Valo FX'!$R:$R,MATCH($A10,'Valo FX'!$A:$A,0)),INDEX(Base!$U:$U,MATCH($A10,Base!$A:$A,0)),IF(BV$1=INDEX('Valo FX'!$R:$R,MATCH($A10,'Valo FX'!$A:$A,0)),INDEX(Base!$V:$V,MATCH($A10,Base!$A:$A,0)),0)))</f>
        <v>5.5328809999999997</v>
      </c>
      <c r="BW10" s="21">
        <f>IF(BW$1&lt;INDEX('Valo FX'!$Q:$Q,MATCH($A10,'Valo FX'!$A:$A,0)),0,IF(BW$1&lt;INDEX('Valo FX'!$R:$R,MATCH($A10,'Valo FX'!$A:$A,0)),INDEX(Base!$U:$U,MATCH($A10,Base!$A:$A,0)),IF(BW$1=INDEX('Valo FX'!$R:$R,MATCH($A10,'Valo FX'!$A:$A,0)),INDEX(Base!$V:$V,MATCH($A10,Base!$A:$A,0)),0)))</f>
        <v>5.5328809999999997</v>
      </c>
      <c r="BX10" s="21">
        <f>IF(BX$1&lt;INDEX('Valo FX'!$Q:$Q,MATCH($A10,'Valo FX'!$A:$A,0)),0,IF(BX$1&lt;INDEX('Valo FX'!$R:$R,MATCH($A10,'Valo FX'!$A:$A,0)),INDEX(Base!$U:$U,MATCH($A10,Base!$A:$A,0)),IF(BX$1=INDEX('Valo FX'!$R:$R,MATCH($A10,'Valo FX'!$A:$A,0)),INDEX(Base!$V:$V,MATCH($A10,Base!$A:$A,0)),0)))</f>
        <v>5.5328809999999997</v>
      </c>
      <c r="BY10" s="21">
        <f>IF(BY$1&lt;INDEX('Valo FX'!$Q:$Q,MATCH($A10,'Valo FX'!$A:$A,0)),0,IF(BY$1&lt;INDEX('Valo FX'!$R:$R,MATCH($A10,'Valo FX'!$A:$A,0)),INDEX(Base!$U:$U,MATCH($A10,Base!$A:$A,0)),IF(BY$1=INDEX('Valo FX'!$R:$R,MATCH($A10,'Valo FX'!$A:$A,0)),INDEX(Base!$V:$V,MATCH($A10,Base!$A:$A,0)),0)))</f>
        <v>5.5328809999999997</v>
      </c>
      <c r="BZ10" s="21">
        <f>IF(BZ$1&lt;INDEX('Valo FX'!$Q:$Q,MATCH($A10,'Valo FX'!$A:$A,0)),0,IF(BZ$1&lt;INDEX('Valo FX'!$R:$R,MATCH($A10,'Valo FX'!$A:$A,0)),INDEX(Base!$U:$U,MATCH($A10,Base!$A:$A,0)),IF(BZ$1=INDEX('Valo FX'!$R:$R,MATCH($A10,'Valo FX'!$A:$A,0)),INDEX(Base!$V:$V,MATCH($A10,Base!$A:$A,0)),0)))</f>
        <v>5.5328809999999997</v>
      </c>
      <c r="CA10" s="21">
        <f>IF(CA$1&lt;INDEX('Valo FX'!$Q:$Q,MATCH($A10,'Valo FX'!$A:$A,0)),0,IF(CA$1&lt;INDEX('Valo FX'!$R:$R,MATCH($A10,'Valo FX'!$A:$A,0)),INDEX(Base!$U:$U,MATCH($A10,Base!$A:$A,0)),IF(CA$1=INDEX('Valo FX'!$R:$R,MATCH($A10,'Valo FX'!$A:$A,0)),INDEX(Base!$V:$V,MATCH($A10,Base!$A:$A,0)),0)))</f>
        <v>5.5328809999999997</v>
      </c>
      <c r="CB10" s="21">
        <f>IF(CB$1&lt;INDEX('Valo FX'!$Q:$Q,MATCH($A10,'Valo FX'!$A:$A,0)),0,IF(CB$1&lt;INDEX('Valo FX'!$R:$R,MATCH($A10,'Valo FX'!$A:$A,0)),INDEX(Base!$U:$U,MATCH($A10,Base!$A:$A,0)),IF(CB$1=INDEX('Valo FX'!$R:$R,MATCH($A10,'Valo FX'!$A:$A,0)),INDEX(Base!$V:$V,MATCH($A10,Base!$A:$A,0)),0)))</f>
        <v>5.5328809999999997</v>
      </c>
      <c r="CC10" s="21">
        <f>IF(CC$1&lt;INDEX('Valo FX'!$Q:$Q,MATCH($A10,'Valo FX'!$A:$A,0)),0,IF(CC$1&lt;INDEX('Valo FX'!$R:$R,MATCH($A10,'Valo FX'!$A:$A,0)),INDEX(Base!$U:$U,MATCH($A10,Base!$A:$A,0)),IF(CC$1=INDEX('Valo FX'!$R:$R,MATCH($A10,'Valo FX'!$A:$A,0)),INDEX(Base!$V:$V,MATCH($A10,Base!$A:$A,0)),0)))</f>
        <v>5.5328809999999997</v>
      </c>
      <c r="CD10" s="21">
        <f>IF(CD$1&lt;INDEX('Valo FX'!$Q:$Q,MATCH($A10,'Valo FX'!$A:$A,0)),0,IF(CD$1&lt;INDEX('Valo FX'!$R:$R,MATCH($A10,'Valo FX'!$A:$A,0)),INDEX(Base!$U:$U,MATCH($A10,Base!$A:$A,0)),IF(CD$1=INDEX('Valo FX'!$R:$R,MATCH($A10,'Valo FX'!$A:$A,0)),INDEX(Base!$V:$V,MATCH($A10,Base!$A:$A,0)),0)))</f>
        <v>5.5328809999999997</v>
      </c>
      <c r="CE10" s="21">
        <f>IF(CE$1&lt;INDEX('Valo FX'!$Q:$Q,MATCH($A10,'Valo FX'!$A:$A,0)),0,IF(CE$1&lt;INDEX('Valo FX'!$R:$R,MATCH($A10,'Valo FX'!$A:$A,0)),INDEX(Base!$U:$U,MATCH($A10,Base!$A:$A,0)),IF(CE$1=INDEX('Valo FX'!$R:$R,MATCH($A10,'Valo FX'!$A:$A,0)),INDEX(Base!$V:$V,MATCH($A10,Base!$A:$A,0)),0)))</f>
        <v>5.5328809999999997</v>
      </c>
      <c r="CF10" s="21">
        <f>IF(CF$1&lt;INDEX('Valo FX'!$Q:$Q,MATCH($A10,'Valo FX'!$A:$A,0)),0,IF(CF$1&lt;INDEX('Valo FX'!$R:$R,MATCH($A10,'Valo FX'!$A:$A,0)),INDEX(Base!$U:$U,MATCH($A10,Base!$A:$A,0)),IF(CF$1=INDEX('Valo FX'!$R:$R,MATCH($A10,'Valo FX'!$A:$A,0)),INDEX(Base!$V:$V,MATCH($A10,Base!$A:$A,0)),0)))</f>
        <v>5.5328809999999997</v>
      </c>
      <c r="CG10" s="21">
        <f>IF(CG$1&lt;INDEX('Valo FX'!$Q:$Q,MATCH($A10,'Valo FX'!$A:$A,0)),0,IF(CG$1&lt;INDEX('Valo FX'!$R:$R,MATCH($A10,'Valo FX'!$A:$A,0)),INDEX(Base!$U:$U,MATCH($A10,Base!$A:$A,0)),IF(CG$1=INDEX('Valo FX'!$R:$R,MATCH($A10,'Valo FX'!$A:$A,0)),INDEX(Base!$V:$V,MATCH($A10,Base!$A:$A,0)),0)))</f>
        <v>5.5328809999999997</v>
      </c>
      <c r="CH10" s="21">
        <f>IF(CH$1&lt;INDEX('Valo FX'!$Q:$Q,MATCH($A10,'Valo FX'!$A:$A,0)),0,IF(CH$1&lt;INDEX('Valo FX'!$R:$R,MATCH($A10,'Valo FX'!$A:$A,0)),INDEX(Base!$U:$U,MATCH($A10,Base!$A:$A,0)),IF(CH$1=INDEX('Valo FX'!$R:$R,MATCH($A10,'Valo FX'!$A:$A,0)),INDEX(Base!$V:$V,MATCH($A10,Base!$A:$A,0)),0)))</f>
        <v>5.5328809999999997</v>
      </c>
      <c r="CI10" s="21">
        <f>IF(CI$1&lt;INDEX('Valo FX'!$Q:$Q,MATCH($A10,'Valo FX'!$A:$A,0)),0,IF(CI$1&lt;INDEX('Valo FX'!$R:$R,MATCH($A10,'Valo FX'!$A:$A,0)),INDEX(Base!$U:$U,MATCH($A10,Base!$A:$A,0)),IF(CI$1=INDEX('Valo FX'!$R:$R,MATCH($A10,'Valo FX'!$A:$A,0)),INDEX(Base!$V:$V,MATCH($A10,Base!$A:$A,0)),0)))</f>
        <v>5.5328809999999997</v>
      </c>
      <c r="CJ10" s="21">
        <f>IF(CJ$1&lt;INDEX('Valo FX'!$Q:$Q,MATCH($A10,'Valo FX'!$A:$A,0)),0,IF(CJ$1&lt;INDEX('Valo FX'!$R:$R,MATCH($A10,'Valo FX'!$A:$A,0)),INDEX(Base!$U:$U,MATCH($A10,Base!$A:$A,0)),IF(CJ$1=INDEX('Valo FX'!$R:$R,MATCH($A10,'Valo FX'!$A:$A,0)),INDEX(Base!$V:$V,MATCH($A10,Base!$A:$A,0)),0)))</f>
        <v>5.5328809999999997</v>
      </c>
      <c r="CK10" s="21">
        <f>IF(CK$1&lt;INDEX('Valo FX'!$Q:$Q,MATCH($A10,'Valo FX'!$A:$A,0)),0,IF(CK$1&lt;INDEX('Valo FX'!$R:$R,MATCH($A10,'Valo FX'!$A:$A,0)),INDEX(Base!$U:$U,MATCH($A10,Base!$A:$A,0)),IF(CK$1=INDEX('Valo FX'!$R:$R,MATCH($A10,'Valo FX'!$A:$A,0)),INDEX(Base!$V:$V,MATCH($A10,Base!$A:$A,0)),0)))</f>
        <v>5.5328809999999997</v>
      </c>
      <c r="CL10" s="21">
        <f>IF(CL$1&lt;INDEX('Valo FX'!$Q:$Q,MATCH($A10,'Valo FX'!$A:$A,0)),0,IF(CL$1&lt;INDEX('Valo FX'!$R:$R,MATCH($A10,'Valo FX'!$A:$A,0)),INDEX(Base!$U:$U,MATCH($A10,Base!$A:$A,0)),IF(CL$1=INDEX('Valo FX'!$R:$R,MATCH($A10,'Valo FX'!$A:$A,0)),INDEX(Base!$V:$V,MATCH($A10,Base!$A:$A,0)),0)))</f>
        <v>5.5328809999999997</v>
      </c>
      <c r="CM10" s="21">
        <f>IF(CM$1&lt;INDEX('Valo FX'!$Q:$Q,MATCH($A10,'Valo FX'!$A:$A,0)),0,IF(CM$1&lt;INDEX('Valo FX'!$R:$R,MATCH($A10,'Valo FX'!$A:$A,0)),INDEX(Base!$U:$U,MATCH($A10,Base!$A:$A,0)),IF(CM$1=INDEX('Valo FX'!$R:$R,MATCH($A10,'Valo FX'!$A:$A,0)),INDEX(Base!$V:$V,MATCH($A10,Base!$A:$A,0)),0)))</f>
        <v>5.5328809999999997</v>
      </c>
      <c r="CN10" s="21">
        <f>IF(CN$1&lt;INDEX('Valo FX'!$Q:$Q,MATCH($A10,'Valo FX'!$A:$A,0)),0,IF(CN$1&lt;INDEX('Valo FX'!$R:$R,MATCH($A10,'Valo FX'!$A:$A,0)),INDEX(Base!$U:$U,MATCH($A10,Base!$A:$A,0)),IF(CN$1=INDEX('Valo FX'!$R:$R,MATCH($A10,'Valo FX'!$A:$A,0)),INDEX(Base!$V:$V,MATCH($A10,Base!$A:$A,0)),0)))</f>
        <v>5.5328809999999997</v>
      </c>
      <c r="CO10" s="21">
        <f>IF(CO$1&lt;INDEX('Valo FX'!$Q:$Q,MATCH($A10,'Valo FX'!$A:$A,0)),0,IF(CO$1&lt;INDEX('Valo FX'!$R:$R,MATCH($A10,'Valo FX'!$A:$A,0)),INDEX(Base!$U:$U,MATCH($A10,Base!$A:$A,0)),IF(CO$1=INDEX('Valo FX'!$R:$R,MATCH($A10,'Valo FX'!$A:$A,0)),INDEX(Base!$V:$V,MATCH($A10,Base!$A:$A,0)),0)))</f>
        <v>5.5328809999999997</v>
      </c>
      <c r="CP10" s="21">
        <f>IF(CP$1&lt;INDEX('Valo FX'!$Q:$Q,MATCH($A10,'Valo FX'!$A:$A,0)),0,IF(CP$1&lt;INDEX('Valo FX'!$R:$R,MATCH($A10,'Valo FX'!$A:$A,0)),INDEX(Base!$U:$U,MATCH($A10,Base!$A:$A,0)),IF(CP$1=INDEX('Valo FX'!$R:$R,MATCH($A10,'Valo FX'!$A:$A,0)),INDEX(Base!$V:$V,MATCH($A10,Base!$A:$A,0)),0)))</f>
        <v>5.5328809999999997</v>
      </c>
      <c r="CQ10" s="21">
        <f>IF(CQ$1&lt;INDEX('Valo FX'!$Q:$Q,MATCH($A10,'Valo FX'!$A:$A,0)),0,IF(CQ$1&lt;INDEX('Valo FX'!$R:$R,MATCH($A10,'Valo FX'!$A:$A,0)),INDEX(Base!$U:$U,MATCH($A10,Base!$A:$A,0)),IF(CQ$1=INDEX('Valo FX'!$R:$R,MATCH($A10,'Valo FX'!$A:$A,0)),INDEX(Base!$V:$V,MATCH($A10,Base!$A:$A,0)),0)))</f>
        <v>5.5328809999999997</v>
      </c>
      <c r="CR10" s="21">
        <f>IF(CR$1&lt;INDEX('Valo FX'!$Q:$Q,MATCH($A10,'Valo FX'!$A:$A,0)),0,IF(CR$1&lt;INDEX('Valo FX'!$R:$R,MATCH($A10,'Valo FX'!$A:$A,0)),INDEX(Base!$U:$U,MATCH($A10,Base!$A:$A,0)),IF(CR$1=INDEX('Valo FX'!$R:$R,MATCH($A10,'Valo FX'!$A:$A,0)),INDEX(Base!$V:$V,MATCH($A10,Base!$A:$A,0)),0)))</f>
        <v>5.5328809999999997</v>
      </c>
      <c r="CS10" s="21">
        <f>IF(CS$1&lt;INDEX('Valo FX'!$Q:$Q,MATCH($A10,'Valo FX'!$A:$A,0)),0,IF(CS$1&lt;INDEX('Valo FX'!$R:$R,MATCH($A10,'Valo FX'!$A:$A,0)),INDEX(Base!$U:$U,MATCH($A10,Base!$A:$A,0)),IF(CS$1=INDEX('Valo FX'!$R:$R,MATCH($A10,'Valo FX'!$A:$A,0)),INDEX(Base!$V:$V,MATCH($A10,Base!$A:$A,0)),0)))</f>
        <v>5.5328809999999997</v>
      </c>
      <c r="CT10" s="21">
        <f>IF(CT$1&lt;INDEX('Valo FX'!$Q:$Q,MATCH($A10,'Valo FX'!$A:$A,0)),0,IF(CT$1&lt;INDEX('Valo FX'!$R:$R,MATCH($A10,'Valo FX'!$A:$A,0)),INDEX(Base!$U:$U,MATCH($A10,Base!$A:$A,0)),IF(CT$1=INDEX('Valo FX'!$R:$R,MATCH($A10,'Valo FX'!$A:$A,0)),INDEX(Base!$V:$V,MATCH($A10,Base!$A:$A,0)),0)))</f>
        <v>5.5328809999999997</v>
      </c>
      <c r="CU10" s="21">
        <f>IF(CU$1&lt;INDEX('Valo FX'!$Q:$Q,MATCH($A10,'Valo FX'!$A:$A,0)),0,IF(CU$1&lt;INDEX('Valo FX'!$R:$R,MATCH($A10,'Valo FX'!$A:$A,0)),INDEX(Base!$U:$U,MATCH($A10,Base!$A:$A,0)),IF(CU$1=INDEX('Valo FX'!$R:$R,MATCH($A10,'Valo FX'!$A:$A,0)),INDEX(Base!$V:$V,MATCH($A10,Base!$A:$A,0)),0)))</f>
        <v>5.5328809999999997</v>
      </c>
      <c r="CV10" s="21">
        <f>IF(CV$1&lt;INDEX('Valo FX'!$Q:$Q,MATCH($A10,'Valo FX'!$A:$A,0)),0,IF(CV$1&lt;INDEX('Valo FX'!$R:$R,MATCH($A10,'Valo FX'!$A:$A,0)),INDEX(Base!$U:$U,MATCH($A10,Base!$A:$A,0)),IF(CV$1=INDEX('Valo FX'!$R:$R,MATCH($A10,'Valo FX'!$A:$A,0)),INDEX(Base!$V:$V,MATCH($A10,Base!$A:$A,0)),0)))</f>
        <v>5.5328809999999997</v>
      </c>
      <c r="CW10" s="21">
        <f>IF(CW$1&lt;INDEX('Valo FX'!$Q:$Q,MATCH($A10,'Valo FX'!$A:$A,0)),0,IF(CW$1&lt;INDEX('Valo FX'!$R:$R,MATCH($A10,'Valo FX'!$A:$A,0)),INDEX(Base!$U:$U,MATCH($A10,Base!$A:$A,0)),IF(CW$1=INDEX('Valo FX'!$R:$R,MATCH($A10,'Valo FX'!$A:$A,0)),INDEX(Base!$V:$V,MATCH($A10,Base!$A:$A,0)),0)))</f>
        <v>5.5328809999999997</v>
      </c>
      <c r="CX10" s="21">
        <f>IF(CX$1&lt;INDEX('Valo FX'!$Q:$Q,MATCH($A10,'Valo FX'!$A:$A,0)),0,IF(CX$1&lt;INDEX('Valo FX'!$R:$R,MATCH($A10,'Valo FX'!$A:$A,0)),INDEX(Base!$U:$U,MATCH($A10,Base!$A:$A,0)),IF(CX$1=INDEX('Valo FX'!$R:$R,MATCH($A10,'Valo FX'!$A:$A,0)),INDEX(Base!$V:$V,MATCH($A10,Base!$A:$A,0)),0)))</f>
        <v>5.5328809999999997</v>
      </c>
      <c r="CY10" s="21">
        <f>IF(CY$1&lt;INDEX('Valo FX'!$Q:$Q,MATCH($A10,'Valo FX'!$A:$A,0)),0,IF(CY$1&lt;INDEX('Valo FX'!$R:$R,MATCH($A10,'Valo FX'!$A:$A,0)),INDEX(Base!$U:$U,MATCH($A10,Base!$A:$A,0)),IF(CY$1=INDEX('Valo FX'!$R:$R,MATCH($A10,'Valo FX'!$A:$A,0)),INDEX(Base!$V:$V,MATCH($A10,Base!$A:$A,0)),0)))</f>
        <v>5.5328809999999997</v>
      </c>
      <c r="CZ10" s="21">
        <f>IF(CZ$1&lt;INDEX('Valo FX'!$Q:$Q,MATCH($A10,'Valo FX'!$A:$A,0)),0,IF(CZ$1&lt;INDEX('Valo FX'!$R:$R,MATCH($A10,'Valo FX'!$A:$A,0)),INDEX(Base!$U:$U,MATCH($A10,Base!$A:$A,0)),IF(CZ$1=INDEX('Valo FX'!$R:$R,MATCH($A10,'Valo FX'!$A:$A,0)),INDEX(Base!$V:$V,MATCH($A10,Base!$A:$A,0)),0)))</f>
        <v>5.5328809999999997</v>
      </c>
      <c r="DA10" s="21">
        <f>IF(DA$1&lt;INDEX('Valo FX'!$Q:$Q,MATCH($A10,'Valo FX'!$A:$A,0)),0,IF(DA$1&lt;INDEX('Valo FX'!$R:$R,MATCH($A10,'Valo FX'!$A:$A,0)),INDEX(Base!$U:$U,MATCH($A10,Base!$A:$A,0)),IF(DA$1=INDEX('Valo FX'!$R:$R,MATCH($A10,'Valo FX'!$A:$A,0)),INDEX(Base!$V:$V,MATCH($A10,Base!$A:$A,0)),0)))</f>
        <v>5.5328809999999997</v>
      </c>
      <c r="DB10" s="21">
        <f>IF(DB$1&lt;INDEX('Valo FX'!$Q:$Q,MATCH($A10,'Valo FX'!$A:$A,0)),0,IF(DB$1&lt;INDEX('Valo FX'!$R:$R,MATCH($A10,'Valo FX'!$A:$A,0)),INDEX(Base!$U:$U,MATCH($A10,Base!$A:$A,0)),IF(DB$1=INDEX('Valo FX'!$R:$R,MATCH($A10,'Valo FX'!$A:$A,0)),INDEX(Base!$V:$V,MATCH($A10,Base!$A:$A,0)),0)))</f>
        <v>5.5328809999999997</v>
      </c>
      <c r="DC10" s="21">
        <f>IF(DC$1&lt;INDEX('Valo FX'!$Q:$Q,MATCH($A10,'Valo FX'!$A:$A,0)),0,IF(DC$1&lt;INDEX('Valo FX'!$R:$R,MATCH($A10,'Valo FX'!$A:$A,0)),INDEX(Base!$U:$U,MATCH($A10,Base!$A:$A,0)),IF(DC$1=INDEX('Valo FX'!$R:$R,MATCH($A10,'Valo FX'!$A:$A,0)),INDEX(Base!$V:$V,MATCH($A10,Base!$A:$A,0)),0)))</f>
        <v>5.5328809999999997</v>
      </c>
      <c r="DD10" s="21">
        <f>IF(DD$1&lt;INDEX('Valo FX'!$Q:$Q,MATCH($A10,'Valo FX'!$A:$A,0)),0,IF(DD$1&lt;INDEX('Valo FX'!$R:$R,MATCH($A10,'Valo FX'!$A:$A,0)),INDEX(Base!$U:$U,MATCH($A10,Base!$A:$A,0)),IF(DD$1=INDEX('Valo FX'!$R:$R,MATCH($A10,'Valo FX'!$A:$A,0)),INDEX(Base!$V:$V,MATCH($A10,Base!$A:$A,0)),0)))</f>
        <v>5.5328809999999997</v>
      </c>
      <c r="DE10" s="21">
        <f>IF(DE$1&lt;INDEX('Valo FX'!$Q:$Q,MATCH($A10,'Valo FX'!$A:$A,0)),0,IF(DE$1&lt;INDEX('Valo FX'!$R:$R,MATCH($A10,'Valo FX'!$A:$A,0)),INDEX(Base!$U:$U,MATCH($A10,Base!$A:$A,0)),IF(DE$1=INDEX('Valo FX'!$R:$R,MATCH($A10,'Valo FX'!$A:$A,0)),INDEX(Base!$V:$V,MATCH($A10,Base!$A:$A,0)),0)))</f>
        <v>5.5328809999999997</v>
      </c>
      <c r="DF10" s="21">
        <f>IF(DF$1&lt;INDEX('Valo FX'!$Q:$Q,MATCH($A10,'Valo FX'!$A:$A,0)),0,IF(DF$1&lt;INDEX('Valo FX'!$R:$R,MATCH($A10,'Valo FX'!$A:$A,0)),INDEX(Base!$U:$U,MATCH($A10,Base!$A:$A,0)),IF(DF$1=INDEX('Valo FX'!$R:$R,MATCH($A10,'Valo FX'!$A:$A,0)),INDEX(Base!$V:$V,MATCH($A10,Base!$A:$A,0)),0)))</f>
        <v>5.5328809999999997</v>
      </c>
      <c r="DG10" s="21">
        <f>IF(DG$1&lt;INDEX('Valo FX'!$Q:$Q,MATCH($A10,'Valo FX'!$A:$A,0)),0,IF(DG$1&lt;INDEX('Valo FX'!$R:$R,MATCH($A10,'Valo FX'!$A:$A,0)),INDEX(Base!$U:$U,MATCH($A10,Base!$A:$A,0)),IF(DG$1=INDEX('Valo FX'!$R:$R,MATCH($A10,'Valo FX'!$A:$A,0)),INDEX(Base!$V:$V,MATCH($A10,Base!$A:$A,0)),0)))</f>
        <v>5.5328809999999997</v>
      </c>
      <c r="DH10" s="21">
        <f>IF(DH$1&lt;INDEX('Valo FX'!$Q:$Q,MATCH($A10,'Valo FX'!$A:$A,0)),0,IF(DH$1&lt;INDEX('Valo FX'!$R:$R,MATCH($A10,'Valo FX'!$A:$A,0)),INDEX(Base!$U:$U,MATCH($A10,Base!$A:$A,0)),IF(DH$1=INDEX('Valo FX'!$R:$R,MATCH($A10,'Valo FX'!$A:$A,0)),INDEX(Base!$V:$V,MATCH($A10,Base!$A:$A,0)),0)))</f>
        <v>5.5328809999999997</v>
      </c>
      <c r="DI10" s="21">
        <f>IF(DI$1&lt;INDEX('Valo FX'!$Q:$Q,MATCH($A10,'Valo FX'!$A:$A,0)),0,IF(DI$1&lt;INDEX('Valo FX'!$R:$R,MATCH($A10,'Valo FX'!$A:$A,0)),INDEX(Base!$U:$U,MATCH($A10,Base!$A:$A,0)),IF(DI$1=INDEX('Valo FX'!$R:$R,MATCH($A10,'Valo FX'!$A:$A,0)),INDEX(Base!$V:$V,MATCH($A10,Base!$A:$A,0)),0)))</f>
        <v>5.5328809999999997</v>
      </c>
      <c r="DJ10" s="21">
        <f>IF(DJ$1&lt;INDEX('Valo FX'!$Q:$Q,MATCH($A10,'Valo FX'!$A:$A,0)),0,IF(DJ$1&lt;INDEX('Valo FX'!$R:$R,MATCH($A10,'Valo FX'!$A:$A,0)),INDEX(Base!$U:$U,MATCH($A10,Base!$A:$A,0)),IF(DJ$1=INDEX('Valo FX'!$R:$R,MATCH($A10,'Valo FX'!$A:$A,0)),INDEX(Base!$V:$V,MATCH($A10,Base!$A:$A,0)),0)))</f>
        <v>5.5328809999999997</v>
      </c>
      <c r="DK10" s="21">
        <f>IF(DK$1&lt;INDEX('Valo FX'!$Q:$Q,MATCH($A10,'Valo FX'!$A:$A,0)),0,IF(DK$1&lt;INDEX('Valo FX'!$R:$R,MATCH($A10,'Valo FX'!$A:$A,0)),INDEX(Base!$U:$U,MATCH($A10,Base!$A:$A,0)),IF(DK$1=INDEX('Valo FX'!$R:$R,MATCH($A10,'Valo FX'!$A:$A,0)),INDEX(Base!$V:$V,MATCH($A10,Base!$A:$A,0)),0)))</f>
        <v>5.5328809999999997</v>
      </c>
      <c r="DL10" s="21">
        <f>IF(DL$1&lt;INDEX('Valo FX'!$Q:$Q,MATCH($A10,'Valo FX'!$A:$A,0)),0,IF(DL$1&lt;INDEX('Valo FX'!$R:$R,MATCH($A10,'Valo FX'!$A:$A,0)),INDEX(Base!$U:$U,MATCH($A10,Base!$A:$A,0)),IF(DL$1=INDEX('Valo FX'!$R:$R,MATCH($A10,'Valo FX'!$A:$A,0)),INDEX(Base!$V:$V,MATCH($A10,Base!$A:$A,0)),0)))</f>
        <v>5.5328809999999997</v>
      </c>
      <c r="DM10" s="21">
        <f>IF(DM$1&lt;INDEX('Valo FX'!$Q:$Q,MATCH($A10,'Valo FX'!$A:$A,0)),0,IF(DM$1&lt;INDEX('Valo FX'!$R:$R,MATCH($A10,'Valo FX'!$A:$A,0)),INDEX(Base!$U:$U,MATCH($A10,Base!$A:$A,0)),IF(DM$1=INDEX('Valo FX'!$R:$R,MATCH($A10,'Valo FX'!$A:$A,0)),INDEX(Base!$V:$V,MATCH($A10,Base!$A:$A,0)),0)))</f>
        <v>5.5328809999999997</v>
      </c>
      <c r="DN10" s="21">
        <f>IF(DN$1&lt;INDEX('Valo FX'!$Q:$Q,MATCH($A10,'Valo FX'!$A:$A,0)),0,IF(DN$1&lt;INDEX('Valo FX'!$R:$R,MATCH($A10,'Valo FX'!$A:$A,0)),INDEX(Base!$U:$U,MATCH($A10,Base!$A:$A,0)),IF(DN$1=INDEX('Valo FX'!$R:$R,MATCH($A10,'Valo FX'!$A:$A,0)),INDEX(Base!$V:$V,MATCH($A10,Base!$A:$A,0)),0)))</f>
        <v>5.5328809999999997</v>
      </c>
      <c r="DO10" s="21">
        <f>IF(DO$1&lt;INDEX('Valo FX'!$Q:$Q,MATCH($A10,'Valo FX'!$A:$A,0)),0,IF(DO$1&lt;INDEX('Valo FX'!$R:$R,MATCH($A10,'Valo FX'!$A:$A,0)),INDEX(Base!$U:$U,MATCH($A10,Base!$A:$A,0)),IF(DO$1=INDEX('Valo FX'!$R:$R,MATCH($A10,'Valo FX'!$A:$A,0)),INDEX(Base!$V:$V,MATCH($A10,Base!$A:$A,0)),0)))</f>
        <v>5.5328809999999997</v>
      </c>
      <c r="DP10" s="21">
        <f>IF(DP$1&lt;INDEX('Valo FX'!$Q:$Q,MATCH($A10,'Valo FX'!$A:$A,0)),0,IF(DP$1&lt;INDEX('Valo FX'!$R:$R,MATCH($A10,'Valo FX'!$A:$A,0)),INDEX(Base!$U:$U,MATCH($A10,Base!$A:$A,0)),IF(DP$1=INDEX('Valo FX'!$R:$R,MATCH($A10,'Valo FX'!$A:$A,0)),INDEX(Base!$V:$V,MATCH($A10,Base!$A:$A,0)),0)))</f>
        <v>5.5328809999999997</v>
      </c>
      <c r="DQ10" s="21">
        <f>IF(DQ$1&lt;INDEX('Valo FX'!$Q:$Q,MATCH($A10,'Valo FX'!$A:$A,0)),0,IF(DQ$1&lt;INDEX('Valo FX'!$R:$R,MATCH($A10,'Valo FX'!$A:$A,0)),INDEX(Base!$U:$U,MATCH($A10,Base!$A:$A,0)),IF(DQ$1=INDEX('Valo FX'!$R:$R,MATCH($A10,'Valo FX'!$A:$A,0)),INDEX(Base!$V:$V,MATCH($A10,Base!$A:$A,0)),0)))</f>
        <v>5.5328809999999997</v>
      </c>
      <c r="DR10" s="21">
        <f>IF(DR$1&lt;INDEX('Valo FX'!$Q:$Q,MATCH($A10,'Valo FX'!$A:$A,0)),0,IF(DR$1&lt;INDEX('Valo FX'!$R:$R,MATCH($A10,'Valo FX'!$A:$A,0)),INDEX(Base!$U:$U,MATCH($A10,Base!$A:$A,0)),IF(DR$1=INDEX('Valo FX'!$R:$R,MATCH($A10,'Valo FX'!$A:$A,0)),INDEX(Base!$V:$V,MATCH($A10,Base!$A:$A,0)),0)))</f>
        <v>5.5328809999999997</v>
      </c>
      <c r="DS10" s="21">
        <f>IF(DS$1&lt;INDEX('Valo FX'!$Q:$Q,MATCH($A10,'Valo FX'!$A:$A,0)),0,IF(DS$1&lt;INDEX('Valo FX'!$R:$R,MATCH($A10,'Valo FX'!$A:$A,0)),INDEX(Base!$U:$U,MATCH($A10,Base!$A:$A,0)),IF(DS$1=INDEX('Valo FX'!$R:$R,MATCH($A10,'Valo FX'!$A:$A,0)),INDEX(Base!$V:$V,MATCH($A10,Base!$A:$A,0)),0)))</f>
        <v>5.5328809999999997</v>
      </c>
      <c r="DT10" s="21">
        <f>IF(DT$1&lt;INDEX('Valo FX'!$Q:$Q,MATCH($A10,'Valo FX'!$A:$A,0)),0,IF(DT$1&lt;INDEX('Valo FX'!$R:$R,MATCH($A10,'Valo FX'!$A:$A,0)),INDEX(Base!$U:$U,MATCH($A10,Base!$A:$A,0)),IF(DT$1=INDEX('Valo FX'!$R:$R,MATCH($A10,'Valo FX'!$A:$A,0)),INDEX(Base!$V:$V,MATCH($A10,Base!$A:$A,0)),0)))</f>
        <v>5.5328809999999997</v>
      </c>
      <c r="DU10" s="21">
        <f>IF(DU$1&lt;INDEX('Valo FX'!$Q:$Q,MATCH($A10,'Valo FX'!$A:$A,0)),0,IF(DU$1&lt;INDEX('Valo FX'!$R:$R,MATCH($A10,'Valo FX'!$A:$A,0)),INDEX(Base!$U:$U,MATCH($A10,Base!$A:$A,0)),IF(DU$1=INDEX('Valo FX'!$R:$R,MATCH($A10,'Valo FX'!$A:$A,0)),INDEX(Base!$V:$V,MATCH($A10,Base!$A:$A,0)),0)))</f>
        <v>5.5328809999999997</v>
      </c>
      <c r="DV10" s="21">
        <f>IF(DV$1&lt;INDEX('Valo FX'!$Q:$Q,MATCH($A10,'Valo FX'!$A:$A,0)),0,IF(DV$1&lt;INDEX('Valo FX'!$R:$R,MATCH($A10,'Valo FX'!$A:$A,0)),INDEX(Base!$U:$U,MATCH($A10,Base!$A:$A,0)),IF(DV$1=INDEX('Valo FX'!$R:$R,MATCH($A10,'Valo FX'!$A:$A,0)),INDEX(Base!$V:$V,MATCH($A10,Base!$A:$A,0)),0)))</f>
        <v>5.5328809999999997</v>
      </c>
      <c r="DW10" s="21">
        <f>IF(DW$1&lt;INDEX('Valo FX'!$Q:$Q,MATCH($A10,'Valo FX'!$A:$A,0)),0,IF(DW$1&lt;INDEX('Valo FX'!$R:$R,MATCH($A10,'Valo FX'!$A:$A,0)),INDEX(Base!$U:$U,MATCH($A10,Base!$A:$A,0)),IF(DW$1=INDEX('Valo FX'!$R:$R,MATCH($A10,'Valo FX'!$A:$A,0)),INDEX(Base!$V:$V,MATCH($A10,Base!$A:$A,0)),0)))</f>
        <v>5.5328809999999997</v>
      </c>
      <c r="DX10" s="21">
        <f>IF(DX$1&lt;INDEX('Valo FX'!$Q:$Q,MATCH($A10,'Valo FX'!$A:$A,0)),0,IF(DX$1&lt;INDEX('Valo FX'!$R:$R,MATCH($A10,'Valo FX'!$A:$A,0)),INDEX(Base!$U:$U,MATCH($A10,Base!$A:$A,0)),IF(DX$1=INDEX('Valo FX'!$R:$R,MATCH($A10,'Valo FX'!$A:$A,0)),INDEX(Base!$V:$V,MATCH($A10,Base!$A:$A,0)),0)))</f>
        <v>5.5328809999999997</v>
      </c>
      <c r="DY10" s="21">
        <f>IF(DY$1&lt;INDEX('Valo FX'!$Q:$Q,MATCH($A10,'Valo FX'!$A:$A,0)),0,IF(DY$1&lt;INDEX('Valo FX'!$R:$R,MATCH($A10,'Valo FX'!$A:$A,0)),INDEX(Base!$U:$U,MATCH($A10,Base!$A:$A,0)),IF(DY$1=INDEX('Valo FX'!$R:$R,MATCH($A10,'Valo FX'!$A:$A,0)),INDEX(Base!$V:$V,MATCH($A10,Base!$A:$A,0)),0)))</f>
        <v>5.5328809999999997</v>
      </c>
      <c r="DZ10" s="21">
        <f>IF(DZ$1&lt;INDEX('Valo FX'!$Q:$Q,MATCH($A10,'Valo FX'!$A:$A,0)),0,IF(DZ$1&lt;INDEX('Valo FX'!$R:$R,MATCH($A10,'Valo FX'!$A:$A,0)),INDEX(Base!$U:$U,MATCH($A10,Base!$A:$A,0)),IF(DZ$1=INDEX('Valo FX'!$R:$R,MATCH($A10,'Valo FX'!$A:$A,0)),INDEX(Base!$V:$V,MATCH($A10,Base!$A:$A,0)),0)))</f>
        <v>5.5328809999999997</v>
      </c>
      <c r="EA10" s="21">
        <f>IF(EA$1&lt;INDEX('Valo FX'!$Q:$Q,MATCH($A10,'Valo FX'!$A:$A,0)),0,IF(EA$1&lt;INDEX('Valo FX'!$R:$R,MATCH($A10,'Valo FX'!$A:$A,0)),INDEX(Base!$U:$U,MATCH($A10,Base!$A:$A,0)),IF(EA$1=INDEX('Valo FX'!$R:$R,MATCH($A10,'Valo FX'!$A:$A,0)),INDEX(Base!$V:$V,MATCH($A10,Base!$A:$A,0)),0)))</f>
        <v>5.5328809999999997</v>
      </c>
      <c r="EB10" s="21">
        <f>IF(EB$1&lt;INDEX('Valo FX'!$Q:$Q,MATCH($A10,'Valo FX'!$A:$A,0)),0,IF(EB$1&lt;INDEX('Valo FX'!$R:$R,MATCH($A10,'Valo FX'!$A:$A,0)),INDEX(Base!$U:$U,MATCH($A10,Base!$A:$A,0)),IF(EB$1=INDEX('Valo FX'!$R:$R,MATCH($A10,'Valo FX'!$A:$A,0)),INDEX(Base!$V:$V,MATCH($A10,Base!$A:$A,0)),0)))</f>
        <v>5.5328809999999997</v>
      </c>
      <c r="EC10" s="21">
        <f>IF(EC$1&lt;INDEX('Valo FX'!$Q:$Q,MATCH($A10,'Valo FX'!$A:$A,0)),0,IF(EC$1&lt;INDEX('Valo FX'!$R:$R,MATCH($A10,'Valo FX'!$A:$A,0)),INDEX(Base!$U:$U,MATCH($A10,Base!$A:$A,0)),IF(EC$1=INDEX('Valo FX'!$R:$R,MATCH($A10,'Valo FX'!$A:$A,0)),INDEX(Base!$V:$V,MATCH($A10,Base!$A:$A,0)),0)))</f>
        <v>5.5328809999999997</v>
      </c>
      <c r="ED10" s="21">
        <f>IF(ED$1&lt;INDEX('Valo FX'!$Q:$Q,MATCH($A10,'Valo FX'!$A:$A,0)),0,IF(ED$1&lt;INDEX('Valo FX'!$R:$R,MATCH($A10,'Valo FX'!$A:$A,0)),INDEX(Base!$U:$U,MATCH($A10,Base!$A:$A,0)),IF(ED$1=INDEX('Valo FX'!$R:$R,MATCH($A10,'Valo FX'!$A:$A,0)),INDEX(Base!$V:$V,MATCH($A10,Base!$A:$A,0)),0)))</f>
        <v>5.5328809999999997</v>
      </c>
      <c r="EE10" s="21">
        <f>IF(EE$1&lt;INDEX('Valo FX'!$Q:$Q,MATCH($A10,'Valo FX'!$A:$A,0)),0,IF(EE$1&lt;INDEX('Valo FX'!$R:$R,MATCH($A10,'Valo FX'!$A:$A,0)),INDEX(Base!$U:$U,MATCH($A10,Base!$A:$A,0)),IF(EE$1=INDEX('Valo FX'!$R:$R,MATCH($A10,'Valo FX'!$A:$A,0)),INDEX(Base!$V:$V,MATCH($A10,Base!$A:$A,0)),0)))</f>
        <v>5.5328809999999997</v>
      </c>
      <c r="EF10" s="21">
        <f>IF(EF$1&lt;INDEX('Valo FX'!$Q:$Q,MATCH($A10,'Valo FX'!$A:$A,0)),0,IF(EF$1&lt;INDEX('Valo FX'!$R:$R,MATCH($A10,'Valo FX'!$A:$A,0)),INDEX(Base!$U:$U,MATCH($A10,Base!$A:$A,0)),IF(EF$1=INDEX('Valo FX'!$R:$R,MATCH($A10,'Valo FX'!$A:$A,0)),INDEX(Base!$V:$V,MATCH($A10,Base!$A:$A,0)),0)))</f>
        <v>5.5328809999999997</v>
      </c>
      <c r="EG10" s="21">
        <f>IF(EG$1&lt;INDEX('Valo FX'!$Q:$Q,MATCH($A10,'Valo FX'!$A:$A,0)),0,IF(EG$1&lt;INDEX('Valo FX'!$R:$R,MATCH($A10,'Valo FX'!$A:$A,0)),INDEX(Base!$U:$U,MATCH($A10,Base!$A:$A,0)),IF(EG$1=INDEX('Valo FX'!$R:$R,MATCH($A10,'Valo FX'!$A:$A,0)),INDEX(Base!$V:$V,MATCH($A10,Base!$A:$A,0)),0)))</f>
        <v>5.5328809999999997</v>
      </c>
      <c r="EH10" s="21">
        <f>IF(EH$1&lt;INDEX('Valo FX'!$Q:$Q,MATCH($A10,'Valo FX'!$A:$A,0)),0,IF(EH$1&lt;INDEX('Valo FX'!$R:$R,MATCH($A10,'Valo FX'!$A:$A,0)),INDEX(Base!$U:$U,MATCH($A10,Base!$A:$A,0)),IF(EH$1=INDEX('Valo FX'!$R:$R,MATCH($A10,'Valo FX'!$A:$A,0)),INDEX(Base!$V:$V,MATCH($A10,Base!$A:$A,0)),0)))</f>
        <v>5.5328809999999997</v>
      </c>
      <c r="EI10" s="21">
        <f>IF(EI$1&lt;INDEX('Valo FX'!$Q:$Q,MATCH($A10,'Valo FX'!$A:$A,0)),0,IF(EI$1&lt;INDEX('Valo FX'!$R:$R,MATCH($A10,'Valo FX'!$A:$A,0)),INDEX(Base!$U:$U,MATCH($A10,Base!$A:$A,0)),IF(EI$1=INDEX('Valo FX'!$R:$R,MATCH($A10,'Valo FX'!$A:$A,0)),INDEX(Base!$V:$V,MATCH($A10,Base!$A:$A,0)),0)))</f>
        <v>5.5328809999999997</v>
      </c>
      <c r="EJ10" s="21">
        <f>IF(EJ$1&lt;INDEX('Valo FX'!$Q:$Q,MATCH($A10,'Valo FX'!$A:$A,0)),0,IF(EJ$1&lt;INDEX('Valo FX'!$R:$R,MATCH($A10,'Valo FX'!$A:$A,0)),INDEX(Base!$U:$U,MATCH($A10,Base!$A:$A,0)),IF(EJ$1=INDEX('Valo FX'!$R:$R,MATCH($A10,'Valo FX'!$A:$A,0)),INDEX(Base!$V:$V,MATCH($A10,Base!$A:$A,0)),0)))</f>
        <v>5.5328809999999997</v>
      </c>
      <c r="EK10" s="21">
        <f>IF(EK$1&lt;INDEX('Valo FX'!$Q:$Q,MATCH($A10,'Valo FX'!$A:$A,0)),0,IF(EK$1&lt;INDEX('Valo FX'!$R:$R,MATCH($A10,'Valo FX'!$A:$A,0)),INDEX(Base!$U:$U,MATCH($A10,Base!$A:$A,0)),IF(EK$1=INDEX('Valo FX'!$R:$R,MATCH($A10,'Valo FX'!$A:$A,0)),INDEX(Base!$V:$V,MATCH($A10,Base!$A:$A,0)),0)))</f>
        <v>5.5328809999999997</v>
      </c>
      <c r="EL10" s="21">
        <f>IF(EL$1&lt;INDEX('Valo FX'!$Q:$Q,MATCH($A10,'Valo FX'!$A:$A,0)),0,IF(EL$1&lt;INDEX('Valo FX'!$R:$R,MATCH($A10,'Valo FX'!$A:$A,0)),INDEX(Base!$U:$U,MATCH($A10,Base!$A:$A,0)),IF(EL$1=INDEX('Valo FX'!$R:$R,MATCH($A10,'Valo FX'!$A:$A,0)),INDEX(Base!$V:$V,MATCH($A10,Base!$A:$A,0)),0)))</f>
        <v>5.5328809999999997</v>
      </c>
      <c r="EM10" s="21">
        <f>IF(EM$1&lt;INDEX('Valo FX'!$Q:$Q,MATCH($A10,'Valo FX'!$A:$A,0)),0,IF(EM$1&lt;INDEX('Valo FX'!$R:$R,MATCH($A10,'Valo FX'!$A:$A,0)),INDEX(Base!$U:$U,MATCH($A10,Base!$A:$A,0)),IF(EM$1=INDEX('Valo FX'!$R:$R,MATCH($A10,'Valo FX'!$A:$A,0)),INDEX(Base!$V:$V,MATCH($A10,Base!$A:$A,0)),0)))</f>
        <v>5.5328809999999997</v>
      </c>
      <c r="EN10" s="21">
        <f>IF(EN$1&lt;INDEX('Valo FX'!$Q:$Q,MATCH($A10,'Valo FX'!$A:$A,0)),0,IF(EN$1&lt;INDEX('Valo FX'!$R:$R,MATCH($A10,'Valo FX'!$A:$A,0)),INDEX(Base!$U:$U,MATCH($A10,Base!$A:$A,0)),IF(EN$1=INDEX('Valo FX'!$R:$R,MATCH($A10,'Valo FX'!$A:$A,0)),INDEX(Base!$V:$V,MATCH($A10,Base!$A:$A,0)),0)))</f>
        <v>5.5328809999999997</v>
      </c>
      <c r="EO10" s="21">
        <f>IF(EO$1&lt;INDEX('Valo FX'!$Q:$Q,MATCH($A10,'Valo FX'!$A:$A,0)),0,IF(EO$1&lt;INDEX('Valo FX'!$R:$R,MATCH($A10,'Valo FX'!$A:$A,0)),INDEX(Base!$U:$U,MATCH($A10,Base!$A:$A,0)),IF(EO$1=INDEX('Valo FX'!$R:$R,MATCH($A10,'Valo FX'!$A:$A,0)),INDEX(Base!$V:$V,MATCH($A10,Base!$A:$A,0)),0)))</f>
        <v>5.5328809999999997</v>
      </c>
      <c r="EP10" s="21">
        <f>IF(EP$1&lt;INDEX('Valo FX'!$Q:$Q,MATCH($A10,'Valo FX'!$A:$A,0)),0,IF(EP$1&lt;INDEX('Valo FX'!$R:$R,MATCH($A10,'Valo FX'!$A:$A,0)),INDEX(Base!$U:$U,MATCH($A10,Base!$A:$A,0)),IF(EP$1=INDEX('Valo FX'!$R:$R,MATCH($A10,'Valo FX'!$A:$A,0)),INDEX(Base!$V:$V,MATCH($A10,Base!$A:$A,0)),0)))</f>
        <v>5.5328809999999997</v>
      </c>
      <c r="EQ10" s="21">
        <f>IF(EQ$1&lt;INDEX('Valo FX'!$Q:$Q,MATCH($A10,'Valo FX'!$A:$A,0)),0,IF(EQ$1&lt;INDEX('Valo FX'!$R:$R,MATCH($A10,'Valo FX'!$A:$A,0)),INDEX(Base!$U:$U,MATCH($A10,Base!$A:$A,0)),IF(EQ$1=INDEX('Valo FX'!$R:$R,MATCH($A10,'Valo FX'!$A:$A,0)),INDEX(Base!$V:$V,MATCH($A10,Base!$A:$A,0)),0)))</f>
        <v>5.5328809999999997</v>
      </c>
      <c r="ER10" s="21">
        <f>IF(ER$1&lt;INDEX('Valo FX'!$Q:$Q,MATCH($A10,'Valo FX'!$A:$A,0)),0,IF(ER$1&lt;INDEX('Valo FX'!$R:$R,MATCH($A10,'Valo FX'!$A:$A,0)),INDEX(Base!$U:$U,MATCH($A10,Base!$A:$A,0)),IF(ER$1=INDEX('Valo FX'!$R:$R,MATCH($A10,'Valo FX'!$A:$A,0)),INDEX(Base!$V:$V,MATCH($A10,Base!$A:$A,0)),0)))</f>
        <v>5.5328809999999997</v>
      </c>
      <c r="ES10" s="21">
        <f>IF(ES$1&lt;INDEX('Valo FX'!$Q:$Q,MATCH($A10,'Valo FX'!$A:$A,0)),0,IF(ES$1&lt;INDEX('Valo FX'!$R:$R,MATCH($A10,'Valo FX'!$A:$A,0)),INDEX(Base!$U:$U,MATCH($A10,Base!$A:$A,0)),IF(ES$1=INDEX('Valo FX'!$R:$R,MATCH($A10,'Valo FX'!$A:$A,0)),INDEX(Base!$V:$V,MATCH($A10,Base!$A:$A,0)),0)))</f>
        <v>5.5328809999999997</v>
      </c>
      <c r="ET10" s="21">
        <f>IF(ET$1&lt;INDEX('Valo FX'!$Q:$Q,MATCH($A10,'Valo FX'!$A:$A,0)),0,IF(ET$1&lt;INDEX('Valo FX'!$R:$R,MATCH($A10,'Valo FX'!$A:$A,0)),INDEX(Base!$U:$U,MATCH($A10,Base!$A:$A,0)),IF(ET$1=INDEX('Valo FX'!$R:$R,MATCH($A10,'Valo FX'!$A:$A,0)),INDEX(Base!$V:$V,MATCH($A10,Base!$A:$A,0)),0)))</f>
        <v>5.5328809999999997</v>
      </c>
      <c r="EU10" s="21">
        <f>IF(EU$1&lt;INDEX('Valo FX'!$Q:$Q,MATCH($A10,'Valo FX'!$A:$A,0)),0,IF(EU$1&lt;INDEX('Valo FX'!$R:$R,MATCH($A10,'Valo FX'!$A:$A,0)),INDEX(Base!$U:$U,MATCH($A10,Base!$A:$A,0)),IF(EU$1=INDEX('Valo FX'!$R:$R,MATCH($A10,'Valo FX'!$A:$A,0)),INDEX(Base!$V:$V,MATCH($A10,Base!$A:$A,0)),0)))</f>
        <v>5.5328809999999997</v>
      </c>
      <c r="EV10" s="21">
        <f>IF(EV$1&lt;INDEX('Valo FX'!$Q:$Q,MATCH($A10,'Valo FX'!$A:$A,0)),0,IF(EV$1&lt;INDEX('Valo FX'!$R:$R,MATCH($A10,'Valo FX'!$A:$A,0)),INDEX(Base!$U:$U,MATCH($A10,Base!$A:$A,0)),IF(EV$1=INDEX('Valo FX'!$R:$R,MATCH($A10,'Valo FX'!$A:$A,0)),INDEX(Base!$V:$V,MATCH($A10,Base!$A:$A,0)),0)))</f>
        <v>5.5328809999999997</v>
      </c>
      <c r="EW10" s="21">
        <f>IF(EW$1&lt;INDEX('Valo FX'!$Q:$Q,MATCH($A10,'Valo FX'!$A:$A,0)),0,IF(EW$1&lt;INDEX('Valo FX'!$R:$R,MATCH($A10,'Valo FX'!$A:$A,0)),INDEX(Base!$U:$U,MATCH($A10,Base!$A:$A,0)),IF(EW$1=INDEX('Valo FX'!$R:$R,MATCH($A10,'Valo FX'!$A:$A,0)),INDEX(Base!$V:$V,MATCH($A10,Base!$A:$A,0)),0)))</f>
        <v>5.5328809999999997</v>
      </c>
      <c r="EX10" s="21">
        <f>IF(EX$1&lt;INDEX('Valo FX'!$Q:$Q,MATCH($A10,'Valo FX'!$A:$A,0)),0,IF(EX$1&lt;INDEX('Valo FX'!$R:$R,MATCH($A10,'Valo FX'!$A:$A,0)),INDEX(Base!$U:$U,MATCH($A10,Base!$A:$A,0)),IF(EX$1=INDEX('Valo FX'!$R:$R,MATCH($A10,'Valo FX'!$A:$A,0)),INDEX(Base!$V:$V,MATCH($A10,Base!$A:$A,0)),0)))</f>
        <v>5.5328809999999997</v>
      </c>
      <c r="EY10" s="21">
        <f>IF(EY$1&lt;INDEX('Valo FX'!$Q:$Q,MATCH($A10,'Valo FX'!$A:$A,0)),0,IF(EY$1&lt;INDEX('Valo FX'!$R:$R,MATCH($A10,'Valo FX'!$A:$A,0)),INDEX(Base!$U:$U,MATCH($A10,Base!$A:$A,0)),IF(EY$1=INDEX('Valo FX'!$R:$R,MATCH($A10,'Valo FX'!$A:$A,0)),INDEX(Base!$V:$V,MATCH($A10,Base!$A:$A,0)),0)))</f>
        <v>5.5328809999999997</v>
      </c>
      <c r="EZ10" s="21">
        <f>IF(EZ$1&lt;INDEX('Valo FX'!$Q:$Q,MATCH($A10,'Valo FX'!$A:$A,0)),0,IF(EZ$1&lt;INDEX('Valo FX'!$R:$R,MATCH($A10,'Valo FX'!$A:$A,0)),INDEX(Base!$U:$U,MATCH($A10,Base!$A:$A,0)),IF(EZ$1=INDEX('Valo FX'!$R:$R,MATCH($A10,'Valo FX'!$A:$A,0)),INDEX(Base!$V:$V,MATCH($A10,Base!$A:$A,0)),0)))</f>
        <v>5.5328809999999997</v>
      </c>
      <c r="FA10" s="21">
        <f>IF(FA$1&lt;INDEX('Valo FX'!$Q:$Q,MATCH($A10,'Valo FX'!$A:$A,0)),0,IF(FA$1&lt;INDEX('Valo FX'!$R:$R,MATCH($A10,'Valo FX'!$A:$A,0)),INDEX(Base!$U:$U,MATCH($A10,Base!$A:$A,0)),IF(FA$1=INDEX('Valo FX'!$R:$R,MATCH($A10,'Valo FX'!$A:$A,0)),INDEX(Base!$V:$V,MATCH($A10,Base!$A:$A,0)),0)))</f>
        <v>5.5328809999999997</v>
      </c>
      <c r="FB10" s="21">
        <f>IF(FB$1&lt;INDEX('Valo FX'!$Q:$Q,MATCH($A10,'Valo FX'!$A:$A,0)),0,IF(FB$1&lt;INDEX('Valo FX'!$R:$R,MATCH($A10,'Valo FX'!$A:$A,0)),INDEX(Base!$U:$U,MATCH($A10,Base!$A:$A,0)),IF(FB$1=INDEX('Valo FX'!$R:$R,MATCH($A10,'Valo FX'!$A:$A,0)),INDEX(Base!$V:$V,MATCH($A10,Base!$A:$A,0)),0)))</f>
        <v>5.5328809999999997</v>
      </c>
      <c r="FC10" s="21">
        <f>IF(FC$1&lt;INDEX('Valo FX'!$Q:$Q,MATCH($A10,'Valo FX'!$A:$A,0)),0,IF(FC$1&lt;INDEX('Valo FX'!$R:$R,MATCH($A10,'Valo FX'!$A:$A,0)),INDEX(Base!$U:$U,MATCH($A10,Base!$A:$A,0)),IF(FC$1=INDEX('Valo FX'!$R:$R,MATCH($A10,'Valo FX'!$A:$A,0)),INDEX(Base!$V:$V,MATCH($A10,Base!$A:$A,0)),0)))</f>
        <v>5.5328809999999997</v>
      </c>
      <c r="FD10" s="21">
        <f>IF(FD$1&lt;INDEX('Valo FX'!$Q:$Q,MATCH($A10,'Valo FX'!$A:$A,0)),0,IF(FD$1&lt;INDEX('Valo FX'!$R:$R,MATCH($A10,'Valo FX'!$A:$A,0)),INDEX(Base!$U:$U,MATCH($A10,Base!$A:$A,0)),IF(FD$1=INDEX('Valo FX'!$R:$R,MATCH($A10,'Valo FX'!$A:$A,0)),INDEX(Base!$V:$V,MATCH($A10,Base!$A:$A,0)),0)))</f>
        <v>5.5328809999999997</v>
      </c>
      <c r="FE10" s="21">
        <f>IF(FE$1&lt;INDEX('Valo FX'!$Q:$Q,MATCH($A10,'Valo FX'!$A:$A,0)),0,IF(FE$1&lt;INDEX('Valo FX'!$R:$R,MATCH($A10,'Valo FX'!$A:$A,0)),INDEX(Base!$U:$U,MATCH($A10,Base!$A:$A,0)),IF(FE$1=INDEX('Valo FX'!$R:$R,MATCH($A10,'Valo FX'!$A:$A,0)),INDEX(Base!$V:$V,MATCH($A10,Base!$A:$A,0)),0)))</f>
        <v>5.5328809999999997</v>
      </c>
      <c r="FF10" s="21">
        <f>IF(FF$1&lt;INDEX('Valo FX'!$Q:$Q,MATCH($A10,'Valo FX'!$A:$A,0)),0,IF(FF$1&lt;INDEX('Valo FX'!$R:$R,MATCH($A10,'Valo FX'!$A:$A,0)),INDEX(Base!$U:$U,MATCH($A10,Base!$A:$A,0)),IF(FF$1=INDEX('Valo FX'!$R:$R,MATCH($A10,'Valo FX'!$A:$A,0)),INDEX(Base!$V:$V,MATCH($A10,Base!$A:$A,0)),0)))</f>
        <v>5.5328809999999997</v>
      </c>
      <c r="FG10" s="21">
        <f>IF(FG$1&lt;INDEX('Valo FX'!$Q:$Q,MATCH($A10,'Valo FX'!$A:$A,0)),0,IF(FG$1&lt;INDEX('Valo FX'!$R:$R,MATCH($A10,'Valo FX'!$A:$A,0)),INDEX(Base!$U:$U,MATCH($A10,Base!$A:$A,0)),IF(FG$1=INDEX('Valo FX'!$R:$R,MATCH($A10,'Valo FX'!$A:$A,0)),INDEX(Base!$V:$V,MATCH($A10,Base!$A:$A,0)),0)))</f>
        <v>5.5328809999999997</v>
      </c>
      <c r="FH10" s="21">
        <f>IF(FH$1&lt;INDEX('Valo FX'!$Q:$Q,MATCH($A10,'Valo FX'!$A:$A,0)),0,IF(FH$1&lt;INDEX('Valo FX'!$R:$R,MATCH($A10,'Valo FX'!$A:$A,0)),INDEX(Base!$U:$U,MATCH($A10,Base!$A:$A,0)),IF(FH$1=INDEX('Valo FX'!$R:$R,MATCH($A10,'Valo FX'!$A:$A,0)),INDEX(Base!$V:$V,MATCH($A10,Base!$A:$A,0)),0)))</f>
        <v>5.5328809999999997</v>
      </c>
      <c r="FI10" s="21">
        <f>IF(FI$1&lt;INDEX('Valo FX'!$Q:$Q,MATCH($A10,'Valo FX'!$A:$A,0)),0,IF(FI$1&lt;INDEX('Valo FX'!$R:$R,MATCH($A10,'Valo FX'!$A:$A,0)),INDEX(Base!$U:$U,MATCH($A10,Base!$A:$A,0)),IF(FI$1=INDEX('Valo FX'!$R:$R,MATCH($A10,'Valo FX'!$A:$A,0)),INDEX(Base!$V:$V,MATCH($A10,Base!$A:$A,0)),0)))</f>
        <v>5.5328809999999997</v>
      </c>
      <c r="FJ10" s="21">
        <f>IF(FJ$1&lt;INDEX('Valo FX'!$Q:$Q,MATCH($A10,'Valo FX'!$A:$A,0)),0,IF(FJ$1&lt;INDEX('Valo FX'!$R:$R,MATCH($A10,'Valo FX'!$A:$A,0)),INDEX(Base!$U:$U,MATCH($A10,Base!$A:$A,0)),IF(FJ$1=INDEX('Valo FX'!$R:$R,MATCH($A10,'Valo FX'!$A:$A,0)),INDEX(Base!$V:$V,MATCH($A10,Base!$A:$A,0)),0)))</f>
        <v>5.5328809999999997</v>
      </c>
      <c r="FK10" s="21">
        <f>IF(FK$1&lt;INDEX('Valo FX'!$Q:$Q,MATCH($A10,'Valo FX'!$A:$A,0)),0,IF(FK$1&lt;INDEX('Valo FX'!$R:$R,MATCH($A10,'Valo FX'!$A:$A,0)),INDEX(Base!$U:$U,MATCH($A10,Base!$A:$A,0)),IF(FK$1=INDEX('Valo FX'!$R:$R,MATCH($A10,'Valo FX'!$A:$A,0)),INDEX(Base!$V:$V,MATCH($A10,Base!$A:$A,0)),0)))</f>
        <v>5.5328809999999997</v>
      </c>
      <c r="FL10" s="21">
        <f>IF(FL$1&lt;INDEX('Valo FX'!$Q:$Q,MATCH($A10,'Valo FX'!$A:$A,0)),0,IF(FL$1&lt;INDEX('Valo FX'!$R:$R,MATCH($A10,'Valo FX'!$A:$A,0)),INDEX(Base!$U:$U,MATCH($A10,Base!$A:$A,0)),IF(FL$1=INDEX('Valo FX'!$R:$R,MATCH($A10,'Valo FX'!$A:$A,0)),INDEX(Base!$V:$V,MATCH($A10,Base!$A:$A,0)),0)))</f>
        <v>5.5328809999999997</v>
      </c>
      <c r="FM10" s="21">
        <f>IF(FM$1&lt;INDEX('Valo FX'!$Q:$Q,MATCH($A10,'Valo FX'!$A:$A,0)),0,IF(FM$1&lt;INDEX('Valo FX'!$R:$R,MATCH($A10,'Valo FX'!$A:$A,0)),INDEX(Base!$U:$U,MATCH($A10,Base!$A:$A,0)),IF(FM$1=INDEX('Valo FX'!$R:$R,MATCH($A10,'Valo FX'!$A:$A,0)),INDEX(Base!$V:$V,MATCH($A10,Base!$A:$A,0)),0)))</f>
        <v>5.5328809999999997</v>
      </c>
      <c r="FN10" s="21">
        <f>IF(FN$1&lt;INDEX('Valo FX'!$Q:$Q,MATCH($A10,'Valo FX'!$A:$A,0)),0,IF(FN$1&lt;INDEX('Valo FX'!$R:$R,MATCH($A10,'Valo FX'!$A:$A,0)),INDEX(Base!$U:$U,MATCH($A10,Base!$A:$A,0)),IF(FN$1=INDEX('Valo FX'!$R:$R,MATCH($A10,'Valo FX'!$A:$A,0)),INDEX(Base!$V:$V,MATCH($A10,Base!$A:$A,0)),0)))</f>
        <v>5.5328809999999997</v>
      </c>
      <c r="FO10" s="21">
        <f>IF(FO$1&lt;INDEX('Valo FX'!$Q:$Q,MATCH($A10,'Valo FX'!$A:$A,0)),0,IF(FO$1&lt;INDEX('Valo FX'!$R:$R,MATCH($A10,'Valo FX'!$A:$A,0)),INDEX(Base!$U:$U,MATCH($A10,Base!$A:$A,0)),IF(FO$1=INDEX('Valo FX'!$R:$R,MATCH($A10,'Valo FX'!$A:$A,0)),INDEX(Base!$V:$V,MATCH($A10,Base!$A:$A,0)),0)))</f>
        <v>5.5328809999999997</v>
      </c>
      <c r="FP10" s="21">
        <f>IF(FP$1&lt;INDEX('Valo FX'!$Q:$Q,MATCH($A10,'Valo FX'!$A:$A,0)),0,IF(FP$1&lt;INDEX('Valo FX'!$R:$R,MATCH($A10,'Valo FX'!$A:$A,0)),INDEX(Base!$U:$U,MATCH($A10,Base!$A:$A,0)),IF(FP$1=INDEX('Valo FX'!$R:$R,MATCH($A10,'Valo FX'!$A:$A,0)),INDEX(Base!$V:$V,MATCH($A10,Base!$A:$A,0)),0)))</f>
        <v>5.5328809999999997</v>
      </c>
      <c r="FQ10" s="21">
        <f>IF(FQ$1&lt;INDEX('Valo FX'!$Q:$Q,MATCH($A10,'Valo FX'!$A:$A,0)),0,IF(FQ$1&lt;INDEX('Valo FX'!$R:$R,MATCH($A10,'Valo FX'!$A:$A,0)),INDEX(Base!$U:$U,MATCH($A10,Base!$A:$A,0)),IF(FQ$1=INDEX('Valo FX'!$R:$R,MATCH($A10,'Valo FX'!$A:$A,0)),INDEX(Base!$V:$V,MATCH($A10,Base!$A:$A,0)),0)))</f>
        <v>5.5328809999999997</v>
      </c>
      <c r="FR10" s="21">
        <f>IF(FR$1&lt;INDEX('Valo FX'!$Q:$Q,MATCH($A10,'Valo FX'!$A:$A,0)),0,IF(FR$1&lt;INDEX('Valo FX'!$R:$R,MATCH($A10,'Valo FX'!$A:$A,0)),INDEX(Base!$U:$U,MATCH($A10,Base!$A:$A,0)),IF(FR$1=INDEX('Valo FX'!$R:$R,MATCH($A10,'Valo FX'!$A:$A,0)),INDEX(Base!$V:$V,MATCH($A10,Base!$A:$A,0)),0)))</f>
        <v>5.5328809999999997</v>
      </c>
      <c r="FS10" s="21">
        <f>IF(FS$1&lt;INDEX('Valo FX'!$Q:$Q,MATCH($A10,'Valo FX'!$A:$A,0)),0,IF(FS$1&lt;INDEX('Valo FX'!$R:$R,MATCH($A10,'Valo FX'!$A:$A,0)),INDEX(Base!$U:$U,MATCH($A10,Base!$A:$A,0)),IF(FS$1=INDEX('Valo FX'!$R:$R,MATCH($A10,'Valo FX'!$A:$A,0)),INDEX(Base!$V:$V,MATCH($A10,Base!$A:$A,0)),0)))</f>
        <v>5.5328809999999997</v>
      </c>
      <c r="FT10" s="21">
        <f>IF(FT$1&lt;INDEX('Valo FX'!$Q:$Q,MATCH($A10,'Valo FX'!$A:$A,0)),0,IF(FT$1&lt;INDEX('Valo FX'!$R:$R,MATCH($A10,'Valo FX'!$A:$A,0)),INDEX(Base!$U:$U,MATCH($A10,Base!$A:$A,0)),IF(FT$1=INDEX('Valo FX'!$R:$R,MATCH($A10,'Valo FX'!$A:$A,0)),INDEX(Base!$V:$V,MATCH($A10,Base!$A:$A,0)),0)))</f>
        <v>5.5328809999999997</v>
      </c>
      <c r="FU10" s="21">
        <f>IF(FU$1&lt;INDEX('Valo FX'!$Q:$Q,MATCH($A10,'Valo FX'!$A:$A,0)),0,IF(FU$1&lt;INDEX('Valo FX'!$R:$R,MATCH($A10,'Valo FX'!$A:$A,0)),INDEX(Base!$U:$U,MATCH($A10,Base!$A:$A,0)),IF(FU$1=INDEX('Valo FX'!$R:$R,MATCH($A10,'Valo FX'!$A:$A,0)),INDEX(Base!$V:$V,MATCH($A10,Base!$A:$A,0)),0)))</f>
        <v>5.5328809999999997</v>
      </c>
      <c r="FV10" s="21">
        <f>IF(FV$1&lt;INDEX('Valo FX'!$Q:$Q,MATCH($A10,'Valo FX'!$A:$A,0)),0,IF(FV$1&lt;INDEX('Valo FX'!$R:$R,MATCH($A10,'Valo FX'!$A:$A,0)),INDEX(Base!$U:$U,MATCH($A10,Base!$A:$A,0)),IF(FV$1=INDEX('Valo FX'!$R:$R,MATCH($A10,'Valo FX'!$A:$A,0)),INDEX(Base!$V:$V,MATCH($A10,Base!$A:$A,0)),0)))</f>
        <v>5.5328809999999997</v>
      </c>
      <c r="FW10" s="21">
        <f>IF(FW$1&lt;INDEX('Valo FX'!$Q:$Q,MATCH($A10,'Valo FX'!$A:$A,0)),0,IF(FW$1&lt;INDEX('Valo FX'!$R:$R,MATCH($A10,'Valo FX'!$A:$A,0)),INDEX(Base!$U:$U,MATCH($A10,Base!$A:$A,0)),IF(FW$1=INDEX('Valo FX'!$R:$R,MATCH($A10,'Valo FX'!$A:$A,0)),INDEX(Base!$V:$V,MATCH($A10,Base!$A:$A,0)),0)))</f>
        <v>5.5328809999999997</v>
      </c>
      <c r="FX10" s="21">
        <f>IF(FX$1&lt;INDEX('Valo FX'!$Q:$Q,MATCH($A10,'Valo FX'!$A:$A,0)),0,IF(FX$1&lt;INDEX('Valo FX'!$R:$R,MATCH($A10,'Valo FX'!$A:$A,0)),INDEX(Base!$U:$U,MATCH($A10,Base!$A:$A,0)),IF(FX$1=INDEX('Valo FX'!$R:$R,MATCH($A10,'Valo FX'!$A:$A,0)),INDEX(Base!$V:$V,MATCH($A10,Base!$A:$A,0)),0)))</f>
        <v>5.5328809999999997</v>
      </c>
      <c r="FY10" s="21">
        <f>IF(FY$1&lt;INDEX('Valo FX'!$Q:$Q,MATCH($A10,'Valo FX'!$A:$A,0)),0,IF(FY$1&lt;INDEX('Valo FX'!$R:$R,MATCH($A10,'Valo FX'!$A:$A,0)),INDEX(Base!$U:$U,MATCH($A10,Base!$A:$A,0)),IF(FY$1=INDEX('Valo FX'!$R:$R,MATCH($A10,'Valo FX'!$A:$A,0)),INDEX(Base!$V:$V,MATCH($A10,Base!$A:$A,0)),0)))</f>
        <v>5.5328809999999997</v>
      </c>
      <c r="FZ10" s="21">
        <f>IF(FZ$1&lt;INDEX('Valo FX'!$Q:$Q,MATCH($A10,'Valo FX'!$A:$A,0)),0,IF(FZ$1&lt;INDEX('Valo FX'!$R:$R,MATCH($A10,'Valo FX'!$A:$A,0)),INDEX(Base!$U:$U,MATCH($A10,Base!$A:$A,0)),IF(FZ$1=INDEX('Valo FX'!$R:$R,MATCH($A10,'Valo FX'!$A:$A,0)),INDEX(Base!$V:$V,MATCH($A10,Base!$A:$A,0)),0)))</f>
        <v>5.5328809999999997</v>
      </c>
      <c r="GA10" s="21">
        <f>IF(GA$1&lt;INDEX('Valo FX'!$Q:$Q,MATCH($A10,'Valo FX'!$A:$A,0)),0,IF(GA$1&lt;INDEX('Valo FX'!$R:$R,MATCH($A10,'Valo FX'!$A:$A,0)),INDEX(Base!$U:$U,MATCH($A10,Base!$A:$A,0)),IF(GA$1=INDEX('Valo FX'!$R:$R,MATCH($A10,'Valo FX'!$A:$A,0)),INDEX(Base!$V:$V,MATCH($A10,Base!$A:$A,0)),0)))</f>
        <v>5.5328809999999997</v>
      </c>
      <c r="GB10" s="21">
        <f>IF(GB$1&lt;INDEX('Valo FX'!$Q:$Q,MATCH($A10,'Valo FX'!$A:$A,0)),0,IF(GB$1&lt;INDEX('Valo FX'!$R:$R,MATCH($A10,'Valo FX'!$A:$A,0)),INDEX(Base!$U:$U,MATCH($A10,Base!$A:$A,0)),IF(GB$1=INDEX('Valo FX'!$R:$R,MATCH($A10,'Valo FX'!$A:$A,0)),INDEX(Base!$V:$V,MATCH($A10,Base!$A:$A,0)),0)))</f>
        <v>5.5328809999999997</v>
      </c>
      <c r="GC10" s="21">
        <f>IF(GC$1&lt;INDEX('Valo FX'!$Q:$Q,MATCH($A10,'Valo FX'!$A:$A,0)),0,IF(GC$1&lt;INDEX('Valo FX'!$R:$R,MATCH($A10,'Valo FX'!$A:$A,0)),INDEX(Base!$U:$U,MATCH($A10,Base!$A:$A,0)),IF(GC$1=INDEX('Valo FX'!$R:$R,MATCH($A10,'Valo FX'!$A:$A,0)),INDEX(Base!$V:$V,MATCH($A10,Base!$A:$A,0)),0)))</f>
        <v>5.5328809999999997</v>
      </c>
      <c r="GD10" s="21">
        <f>IF(GD$1&lt;INDEX('Valo FX'!$Q:$Q,MATCH($A10,'Valo FX'!$A:$A,0)),0,IF(GD$1&lt;INDEX('Valo FX'!$R:$R,MATCH($A10,'Valo FX'!$A:$A,0)),INDEX(Base!$U:$U,MATCH($A10,Base!$A:$A,0)),IF(GD$1=INDEX('Valo FX'!$R:$R,MATCH($A10,'Valo FX'!$A:$A,0)),INDEX(Base!$V:$V,MATCH($A10,Base!$A:$A,0)),0)))</f>
        <v>5.5328809999999997</v>
      </c>
      <c r="GE10" s="21">
        <f>IF(GE$1&lt;INDEX('Valo FX'!$Q:$Q,MATCH($A10,'Valo FX'!$A:$A,0)),0,IF(GE$1&lt;INDEX('Valo FX'!$R:$R,MATCH($A10,'Valo FX'!$A:$A,0)),INDEX(Base!$U:$U,MATCH($A10,Base!$A:$A,0)),IF(GE$1=INDEX('Valo FX'!$R:$R,MATCH($A10,'Valo FX'!$A:$A,0)),INDEX(Base!$V:$V,MATCH($A10,Base!$A:$A,0)),0)))</f>
        <v>5.5328809999999997</v>
      </c>
      <c r="GF10" s="21">
        <f>IF(GF$1&lt;INDEX('Valo FX'!$Q:$Q,MATCH($A10,'Valo FX'!$A:$A,0)),0,IF(GF$1&lt;INDEX('Valo FX'!$R:$R,MATCH($A10,'Valo FX'!$A:$A,0)),INDEX(Base!$U:$U,MATCH($A10,Base!$A:$A,0)),IF(GF$1=INDEX('Valo FX'!$R:$R,MATCH($A10,'Valo FX'!$A:$A,0)),INDEX(Base!$V:$V,MATCH($A10,Base!$A:$A,0)),0)))</f>
        <v>5.5328809999999997</v>
      </c>
      <c r="GG10" s="21">
        <f>IF(GG$1&lt;INDEX('Valo FX'!$Q:$Q,MATCH($A10,'Valo FX'!$A:$A,0)),0,IF(GG$1&lt;INDEX('Valo FX'!$R:$R,MATCH($A10,'Valo FX'!$A:$A,0)),INDEX(Base!$U:$U,MATCH($A10,Base!$A:$A,0)),IF(GG$1=INDEX('Valo FX'!$R:$R,MATCH($A10,'Valo FX'!$A:$A,0)),INDEX(Base!$V:$V,MATCH($A10,Base!$A:$A,0)),0)))</f>
        <v>5.5328809999999997</v>
      </c>
      <c r="GH10" s="21">
        <f>IF(GH$1&lt;INDEX('Valo FX'!$Q:$Q,MATCH($A10,'Valo FX'!$A:$A,0)),0,IF(GH$1&lt;INDEX('Valo FX'!$R:$R,MATCH($A10,'Valo FX'!$A:$A,0)),INDEX(Base!$U:$U,MATCH($A10,Base!$A:$A,0)),IF(GH$1=INDEX('Valo FX'!$R:$R,MATCH($A10,'Valo FX'!$A:$A,0)),INDEX(Base!$V:$V,MATCH($A10,Base!$A:$A,0)),0)))</f>
        <v>5.5328809999999997</v>
      </c>
      <c r="GI10" s="21">
        <f>IF(GI$1&lt;INDEX('Valo FX'!$Q:$Q,MATCH($A10,'Valo FX'!$A:$A,0)),0,IF(GI$1&lt;INDEX('Valo FX'!$R:$R,MATCH($A10,'Valo FX'!$A:$A,0)),INDEX(Base!$U:$U,MATCH($A10,Base!$A:$A,0)),IF(GI$1=INDEX('Valo FX'!$R:$R,MATCH($A10,'Valo FX'!$A:$A,0)),INDEX(Base!$V:$V,MATCH($A10,Base!$A:$A,0)),0)))</f>
        <v>5.5328809999999997</v>
      </c>
      <c r="GJ10" s="21">
        <f>IF(GJ$1&lt;INDEX('Valo FX'!$Q:$Q,MATCH($A10,'Valo FX'!$A:$A,0)),0,IF(GJ$1&lt;INDEX('Valo FX'!$R:$R,MATCH($A10,'Valo FX'!$A:$A,0)),INDEX(Base!$U:$U,MATCH($A10,Base!$A:$A,0)),IF(GJ$1=INDEX('Valo FX'!$R:$R,MATCH($A10,'Valo FX'!$A:$A,0)),INDEX(Base!$V:$V,MATCH($A10,Base!$A:$A,0)),0)))</f>
        <v>5.5328809999999997</v>
      </c>
      <c r="GK10" s="21">
        <f>IF(GK$1&lt;INDEX('Valo FX'!$Q:$Q,MATCH($A10,'Valo FX'!$A:$A,0)),0,IF(GK$1&lt;INDEX('Valo FX'!$R:$R,MATCH($A10,'Valo FX'!$A:$A,0)),INDEX(Base!$U:$U,MATCH($A10,Base!$A:$A,0)),IF(GK$1=INDEX('Valo FX'!$R:$R,MATCH($A10,'Valo FX'!$A:$A,0)),INDEX(Base!$V:$V,MATCH($A10,Base!$A:$A,0)),0)))</f>
        <v>5.5328809999999997</v>
      </c>
      <c r="GL10" s="21">
        <f>IF(GL$1&lt;INDEX('Valo FX'!$Q:$Q,MATCH($A10,'Valo FX'!$A:$A,0)),0,IF(GL$1&lt;INDEX('Valo FX'!$R:$R,MATCH($A10,'Valo FX'!$A:$A,0)),INDEX(Base!$U:$U,MATCH($A10,Base!$A:$A,0)),IF(GL$1=INDEX('Valo FX'!$R:$R,MATCH($A10,'Valo FX'!$A:$A,0)),INDEX(Base!$V:$V,MATCH($A10,Base!$A:$A,0)),0)))</f>
        <v>5.5328809999999997</v>
      </c>
      <c r="GM10" s="21">
        <f>IF(GM$1&lt;INDEX('Valo FX'!$Q:$Q,MATCH($A10,'Valo FX'!$A:$A,0)),0,IF(GM$1&lt;INDEX('Valo FX'!$R:$R,MATCH($A10,'Valo FX'!$A:$A,0)),INDEX(Base!$U:$U,MATCH($A10,Base!$A:$A,0)),IF(GM$1=INDEX('Valo FX'!$R:$R,MATCH($A10,'Valo FX'!$A:$A,0)),INDEX(Base!$V:$V,MATCH($A10,Base!$A:$A,0)),0)))</f>
        <v>5.5328809999999997</v>
      </c>
      <c r="GN10" s="21">
        <f>IF(GN$1&lt;INDEX('Valo FX'!$Q:$Q,MATCH($A10,'Valo FX'!$A:$A,0)),0,IF(GN$1&lt;INDEX('Valo FX'!$R:$R,MATCH($A10,'Valo FX'!$A:$A,0)),INDEX(Base!$U:$U,MATCH($A10,Base!$A:$A,0)),IF(GN$1=INDEX('Valo FX'!$R:$R,MATCH($A10,'Valo FX'!$A:$A,0)),INDEX(Base!$V:$V,MATCH($A10,Base!$A:$A,0)),0)))</f>
        <v>5.5328809999999997</v>
      </c>
      <c r="GO10" s="21">
        <f>IF(GO$1&lt;INDEX('Valo FX'!$Q:$Q,MATCH($A10,'Valo FX'!$A:$A,0)),0,IF(GO$1&lt;INDEX('Valo FX'!$R:$R,MATCH($A10,'Valo FX'!$A:$A,0)),INDEX(Base!$U:$U,MATCH($A10,Base!$A:$A,0)),IF(GO$1=INDEX('Valo FX'!$R:$R,MATCH($A10,'Valo FX'!$A:$A,0)),INDEX(Base!$V:$V,MATCH($A10,Base!$A:$A,0)),0)))</f>
        <v>5.5328809999999997</v>
      </c>
      <c r="GP10" s="21">
        <f>IF(GP$1&lt;INDEX('Valo FX'!$Q:$Q,MATCH($A10,'Valo FX'!$A:$A,0)),0,IF(GP$1&lt;INDEX('Valo FX'!$R:$R,MATCH($A10,'Valo FX'!$A:$A,0)),INDEX(Base!$U:$U,MATCH($A10,Base!$A:$A,0)),IF(GP$1=INDEX('Valo FX'!$R:$R,MATCH($A10,'Valo FX'!$A:$A,0)),INDEX(Base!$V:$V,MATCH($A10,Base!$A:$A,0)),0)))</f>
        <v>5.5328809999999997</v>
      </c>
      <c r="GQ10" s="21">
        <f>IF(GQ$1&lt;INDEX('Valo FX'!$Q:$Q,MATCH($A10,'Valo FX'!$A:$A,0)),0,IF(GQ$1&lt;INDEX('Valo FX'!$R:$R,MATCH($A10,'Valo FX'!$A:$A,0)),INDEX(Base!$U:$U,MATCH($A10,Base!$A:$A,0)),IF(GQ$1=INDEX('Valo FX'!$R:$R,MATCH($A10,'Valo FX'!$A:$A,0)),INDEX(Base!$V:$V,MATCH($A10,Base!$A:$A,0)),0)))</f>
        <v>5.5328809999999997</v>
      </c>
      <c r="GR10" s="21">
        <f>IF(GR$1&lt;INDEX('Valo FX'!$Q:$Q,MATCH($A10,'Valo FX'!$A:$A,0)),0,IF(GR$1&lt;INDEX('Valo FX'!$R:$R,MATCH($A10,'Valo FX'!$A:$A,0)),INDEX(Base!$U:$U,MATCH($A10,Base!$A:$A,0)),IF(GR$1=INDEX('Valo FX'!$R:$R,MATCH($A10,'Valo FX'!$A:$A,0)),INDEX(Base!$V:$V,MATCH($A10,Base!$A:$A,0)),0)))</f>
        <v>5.5328809999999997</v>
      </c>
      <c r="GS10" s="21">
        <f>IF(GS$1&lt;INDEX('Valo FX'!$Q:$Q,MATCH($A10,'Valo FX'!$A:$A,0)),0,IF(GS$1&lt;INDEX('Valo FX'!$R:$R,MATCH($A10,'Valo FX'!$A:$A,0)),INDEX(Base!$U:$U,MATCH($A10,Base!$A:$A,0)),IF(GS$1=INDEX('Valo FX'!$R:$R,MATCH($A10,'Valo FX'!$A:$A,0)),INDEX(Base!$V:$V,MATCH($A10,Base!$A:$A,0)),0)))</f>
        <v>5.5328809999999997</v>
      </c>
      <c r="GT10" s="21">
        <f>IF(GT$1&lt;INDEX('Valo FX'!$Q:$Q,MATCH($A10,'Valo FX'!$A:$A,0)),0,IF(GT$1&lt;INDEX('Valo FX'!$R:$R,MATCH($A10,'Valo FX'!$A:$A,0)),INDEX(Base!$U:$U,MATCH($A10,Base!$A:$A,0)),IF(GT$1=INDEX('Valo FX'!$R:$R,MATCH($A10,'Valo FX'!$A:$A,0)),INDEX(Base!$V:$V,MATCH($A10,Base!$A:$A,0)),0)))</f>
        <v>5.5328809999999997</v>
      </c>
      <c r="GU10" s="21">
        <f>IF(GU$1&lt;INDEX('Valo FX'!$Q:$Q,MATCH($A10,'Valo FX'!$A:$A,0)),0,IF(GU$1&lt;INDEX('Valo FX'!$R:$R,MATCH($A10,'Valo FX'!$A:$A,0)),INDEX(Base!$U:$U,MATCH($A10,Base!$A:$A,0)),IF(GU$1=INDEX('Valo FX'!$R:$R,MATCH($A10,'Valo FX'!$A:$A,0)),INDEX(Base!$V:$V,MATCH($A10,Base!$A:$A,0)),0)))</f>
        <v>5.5328809999999997</v>
      </c>
      <c r="GV10" s="21">
        <f>IF(GV$1&lt;INDEX('Valo FX'!$Q:$Q,MATCH($A10,'Valo FX'!$A:$A,0)),0,IF(GV$1&lt;INDEX('Valo FX'!$R:$R,MATCH($A10,'Valo FX'!$A:$A,0)),INDEX(Base!$U:$U,MATCH($A10,Base!$A:$A,0)),IF(GV$1=INDEX('Valo FX'!$R:$R,MATCH($A10,'Valo FX'!$A:$A,0)),INDEX(Base!$V:$V,MATCH($A10,Base!$A:$A,0)),0)))</f>
        <v>5.5328809999999997</v>
      </c>
      <c r="GW10" s="21">
        <f>IF(GW$1&lt;INDEX('Valo FX'!$Q:$Q,MATCH($A10,'Valo FX'!$A:$A,0)),0,IF(GW$1&lt;INDEX('Valo FX'!$R:$R,MATCH($A10,'Valo FX'!$A:$A,0)),INDEX(Base!$U:$U,MATCH($A10,Base!$A:$A,0)),IF(GW$1=INDEX('Valo FX'!$R:$R,MATCH($A10,'Valo FX'!$A:$A,0)),INDEX(Base!$V:$V,MATCH($A10,Base!$A:$A,0)),0)))</f>
        <v>5.5328809999999997</v>
      </c>
      <c r="GX10" s="21">
        <f>IF(GX$1&lt;INDEX('Valo FX'!$Q:$Q,MATCH($A10,'Valo FX'!$A:$A,0)),0,IF(GX$1&lt;INDEX('Valo FX'!$R:$R,MATCH($A10,'Valo FX'!$A:$A,0)),INDEX(Base!$U:$U,MATCH($A10,Base!$A:$A,0)),IF(GX$1=INDEX('Valo FX'!$R:$R,MATCH($A10,'Valo FX'!$A:$A,0)),INDEX(Base!$V:$V,MATCH($A10,Base!$A:$A,0)),0)))</f>
        <v>5.5328809999999997</v>
      </c>
      <c r="GY10" s="21">
        <f>IF(GY$1&lt;INDEX('Valo FX'!$Q:$Q,MATCH($A10,'Valo FX'!$A:$A,0)),0,IF(GY$1&lt;INDEX('Valo FX'!$R:$R,MATCH($A10,'Valo FX'!$A:$A,0)),INDEX(Base!$U:$U,MATCH($A10,Base!$A:$A,0)),IF(GY$1=INDEX('Valo FX'!$R:$R,MATCH($A10,'Valo FX'!$A:$A,0)),INDEX(Base!$V:$V,MATCH($A10,Base!$A:$A,0)),0)))</f>
        <v>5.5328809999999997</v>
      </c>
      <c r="GZ10" s="21">
        <f>IF(GZ$1&lt;INDEX('Valo FX'!$Q:$Q,MATCH($A10,'Valo FX'!$A:$A,0)),0,IF(GZ$1&lt;INDEX('Valo FX'!$R:$R,MATCH($A10,'Valo FX'!$A:$A,0)),INDEX(Base!$U:$U,MATCH($A10,Base!$A:$A,0)),IF(GZ$1=INDEX('Valo FX'!$R:$R,MATCH($A10,'Valo FX'!$A:$A,0)),INDEX(Base!$V:$V,MATCH($A10,Base!$A:$A,0)),0)))</f>
        <v>5.5328809999999997</v>
      </c>
      <c r="HA10" s="21">
        <f>IF(HA$1&lt;INDEX('Valo FX'!$Q:$Q,MATCH($A10,'Valo FX'!$A:$A,0)),0,IF(HA$1&lt;INDEX('Valo FX'!$R:$R,MATCH($A10,'Valo FX'!$A:$A,0)),INDEX(Base!$U:$U,MATCH($A10,Base!$A:$A,0)),IF(HA$1=INDEX('Valo FX'!$R:$R,MATCH($A10,'Valo FX'!$A:$A,0)),INDEX(Base!$V:$V,MATCH($A10,Base!$A:$A,0)),0)))</f>
        <v>5.5328809999999997</v>
      </c>
      <c r="HB10" s="21">
        <f>IF(HB$1&lt;INDEX('Valo FX'!$Q:$Q,MATCH($A10,'Valo FX'!$A:$A,0)),0,IF(HB$1&lt;INDEX('Valo FX'!$R:$R,MATCH($A10,'Valo FX'!$A:$A,0)),INDEX(Base!$U:$U,MATCH($A10,Base!$A:$A,0)),IF(HB$1=INDEX('Valo FX'!$R:$R,MATCH($A10,'Valo FX'!$A:$A,0)),INDEX(Base!$V:$V,MATCH($A10,Base!$A:$A,0)),0)))</f>
        <v>5.5328809999999997</v>
      </c>
      <c r="HC10" s="21">
        <f>IF(HC$1&lt;INDEX('Valo FX'!$Q:$Q,MATCH($A10,'Valo FX'!$A:$A,0)),0,IF(HC$1&lt;INDEX('Valo FX'!$R:$R,MATCH($A10,'Valo FX'!$A:$A,0)),INDEX(Base!$U:$U,MATCH($A10,Base!$A:$A,0)),IF(HC$1=INDEX('Valo FX'!$R:$R,MATCH($A10,'Valo FX'!$A:$A,0)),INDEX(Base!$V:$V,MATCH($A10,Base!$A:$A,0)),0)))</f>
        <v>5.5328809999999997</v>
      </c>
      <c r="HD10" s="21">
        <f>IF(HD$1&lt;INDEX('Valo FX'!$Q:$Q,MATCH($A10,'Valo FX'!$A:$A,0)),0,IF(HD$1&lt;INDEX('Valo FX'!$R:$R,MATCH($A10,'Valo FX'!$A:$A,0)),INDEX(Base!$U:$U,MATCH($A10,Base!$A:$A,0)),IF(HD$1=INDEX('Valo FX'!$R:$R,MATCH($A10,'Valo FX'!$A:$A,0)),INDEX(Base!$V:$V,MATCH($A10,Base!$A:$A,0)),0)))</f>
        <v>5.5328809999999997</v>
      </c>
      <c r="HE10" s="21">
        <f>IF(HE$1&lt;INDEX('Valo FX'!$Q:$Q,MATCH($A10,'Valo FX'!$A:$A,0)),0,IF(HE$1&lt;INDEX('Valo FX'!$R:$R,MATCH($A10,'Valo FX'!$A:$A,0)),INDEX(Base!$U:$U,MATCH($A10,Base!$A:$A,0)),IF(HE$1=INDEX('Valo FX'!$R:$R,MATCH($A10,'Valo FX'!$A:$A,0)),INDEX(Base!$V:$V,MATCH($A10,Base!$A:$A,0)),0)))</f>
        <v>5.5328809999999997</v>
      </c>
      <c r="HF10" s="21">
        <f>IF(HF$1&lt;INDEX('Valo FX'!$Q:$Q,MATCH($A10,'Valo FX'!$A:$A,0)),0,IF(HF$1&lt;INDEX('Valo FX'!$R:$R,MATCH($A10,'Valo FX'!$A:$A,0)),INDEX(Base!$U:$U,MATCH($A10,Base!$A:$A,0)),IF(HF$1=INDEX('Valo FX'!$R:$R,MATCH($A10,'Valo FX'!$A:$A,0)),INDEX(Base!$V:$V,MATCH($A10,Base!$A:$A,0)),0)))</f>
        <v>5.5328809999999997</v>
      </c>
      <c r="HG10" s="21">
        <f>IF(HG$1&lt;INDEX('Valo FX'!$Q:$Q,MATCH($A10,'Valo FX'!$A:$A,0)),0,IF(HG$1&lt;INDEX('Valo FX'!$R:$R,MATCH($A10,'Valo FX'!$A:$A,0)),INDEX(Base!$U:$U,MATCH($A10,Base!$A:$A,0)),IF(HG$1=INDEX('Valo FX'!$R:$R,MATCH($A10,'Valo FX'!$A:$A,0)),INDEX(Base!$V:$V,MATCH($A10,Base!$A:$A,0)),0)))</f>
        <v>5.5328809999999997</v>
      </c>
      <c r="HH10" s="21">
        <f>IF(HH$1&lt;INDEX('Valo FX'!$Q:$Q,MATCH($A10,'Valo FX'!$A:$A,0)),0,IF(HH$1&lt;INDEX('Valo FX'!$R:$R,MATCH($A10,'Valo FX'!$A:$A,0)),INDEX(Base!$U:$U,MATCH($A10,Base!$A:$A,0)),IF(HH$1=INDEX('Valo FX'!$R:$R,MATCH($A10,'Valo FX'!$A:$A,0)),INDEX(Base!$V:$V,MATCH($A10,Base!$A:$A,0)),0)))</f>
        <v>5.5328809999999997</v>
      </c>
      <c r="HI10" s="21">
        <f>IF(HI$1&lt;INDEX('Valo FX'!$Q:$Q,MATCH($A10,'Valo FX'!$A:$A,0)),0,IF(HI$1&lt;INDEX('Valo FX'!$R:$R,MATCH($A10,'Valo FX'!$A:$A,0)),INDEX(Base!$U:$U,MATCH($A10,Base!$A:$A,0)),IF(HI$1=INDEX('Valo FX'!$R:$R,MATCH($A10,'Valo FX'!$A:$A,0)),INDEX(Base!$V:$V,MATCH($A10,Base!$A:$A,0)),0)))</f>
        <v>5.5328809999999997</v>
      </c>
      <c r="HJ10" s="21">
        <f>IF(HJ$1&lt;INDEX('Valo FX'!$Q:$Q,MATCH($A10,'Valo FX'!$A:$A,0)),0,IF(HJ$1&lt;INDEX('Valo FX'!$R:$R,MATCH($A10,'Valo FX'!$A:$A,0)),INDEX(Base!$U:$U,MATCH($A10,Base!$A:$A,0)),IF(HJ$1=INDEX('Valo FX'!$R:$R,MATCH($A10,'Valo FX'!$A:$A,0)),INDEX(Base!$V:$V,MATCH($A10,Base!$A:$A,0)),0)))</f>
        <v>5.5328809999999997</v>
      </c>
      <c r="HK10" s="21">
        <f>IF(HK$1&lt;INDEX('Valo FX'!$Q:$Q,MATCH($A10,'Valo FX'!$A:$A,0)),0,IF(HK$1&lt;INDEX('Valo FX'!$R:$R,MATCH($A10,'Valo FX'!$A:$A,0)),INDEX(Base!$U:$U,MATCH($A10,Base!$A:$A,0)),IF(HK$1=INDEX('Valo FX'!$R:$R,MATCH($A10,'Valo FX'!$A:$A,0)),INDEX(Base!$V:$V,MATCH($A10,Base!$A:$A,0)),0)))</f>
        <v>5.5328809999999997</v>
      </c>
      <c r="HL10" s="21">
        <f>IF(HL$1&lt;INDEX('Valo FX'!$Q:$Q,MATCH($A10,'Valo FX'!$A:$A,0)),0,IF(HL$1&lt;INDEX('Valo FX'!$R:$R,MATCH($A10,'Valo FX'!$A:$A,0)),INDEX(Base!$U:$U,MATCH($A10,Base!$A:$A,0)),IF(HL$1=INDEX('Valo FX'!$R:$R,MATCH($A10,'Valo FX'!$A:$A,0)),INDEX(Base!$V:$V,MATCH($A10,Base!$A:$A,0)),0)))</f>
        <v>5.5328809999999997</v>
      </c>
      <c r="HM10" s="21">
        <f>IF(HM$1&lt;INDEX('Valo FX'!$Q:$Q,MATCH($A10,'Valo FX'!$A:$A,0)),0,IF(HM$1&lt;INDEX('Valo FX'!$R:$R,MATCH($A10,'Valo FX'!$A:$A,0)),INDEX(Base!$U:$U,MATCH($A10,Base!$A:$A,0)),IF(HM$1=INDEX('Valo FX'!$R:$R,MATCH($A10,'Valo FX'!$A:$A,0)),INDEX(Base!$V:$V,MATCH($A10,Base!$A:$A,0)),0)))</f>
        <v>5.5328809999999997</v>
      </c>
      <c r="HN10" s="21">
        <f>IF(HN$1&lt;INDEX('Valo FX'!$Q:$Q,MATCH($A10,'Valo FX'!$A:$A,0)),0,IF(HN$1&lt;INDEX('Valo FX'!$R:$R,MATCH($A10,'Valo FX'!$A:$A,0)),INDEX(Base!$U:$U,MATCH($A10,Base!$A:$A,0)),IF(HN$1=INDEX('Valo FX'!$R:$R,MATCH($A10,'Valo FX'!$A:$A,0)),INDEX(Base!$V:$V,MATCH($A10,Base!$A:$A,0)),0)))</f>
        <v>5.5328809999999997</v>
      </c>
      <c r="HO10" s="21">
        <f>IF(HO$1&lt;INDEX('Valo FX'!$Q:$Q,MATCH($A10,'Valo FX'!$A:$A,0)),0,IF(HO$1&lt;INDEX('Valo FX'!$R:$R,MATCH($A10,'Valo FX'!$A:$A,0)),INDEX(Base!$U:$U,MATCH($A10,Base!$A:$A,0)),IF(HO$1=INDEX('Valo FX'!$R:$R,MATCH($A10,'Valo FX'!$A:$A,0)),INDEX(Base!$V:$V,MATCH($A10,Base!$A:$A,0)),0)))</f>
        <v>5.5328809999999997</v>
      </c>
      <c r="HP10" s="21">
        <f>IF(HP$1&lt;INDEX('Valo FX'!$Q:$Q,MATCH($A10,'Valo FX'!$A:$A,0)),0,IF(HP$1&lt;INDEX('Valo FX'!$R:$R,MATCH($A10,'Valo FX'!$A:$A,0)),INDEX(Base!$U:$U,MATCH($A10,Base!$A:$A,0)),IF(HP$1=INDEX('Valo FX'!$R:$R,MATCH($A10,'Valo FX'!$A:$A,0)),INDEX(Base!$V:$V,MATCH($A10,Base!$A:$A,0)),0)))</f>
        <v>5.5328809999999997</v>
      </c>
      <c r="HQ10" s="21">
        <f>IF(HQ$1&lt;INDEX('Valo FX'!$Q:$Q,MATCH($A10,'Valo FX'!$A:$A,0)),0,IF(HQ$1&lt;INDEX('Valo FX'!$R:$R,MATCH($A10,'Valo FX'!$A:$A,0)),INDEX(Base!$U:$U,MATCH($A10,Base!$A:$A,0)),IF(HQ$1=INDEX('Valo FX'!$R:$R,MATCH($A10,'Valo FX'!$A:$A,0)),INDEX(Base!$V:$V,MATCH($A10,Base!$A:$A,0)),0)))</f>
        <v>5.5328809999999997</v>
      </c>
      <c r="HR10" s="21">
        <f>IF(HR$1&lt;INDEX('Valo FX'!$Q:$Q,MATCH($A10,'Valo FX'!$A:$A,0)),0,IF(HR$1&lt;INDEX('Valo FX'!$R:$R,MATCH($A10,'Valo FX'!$A:$A,0)),INDEX(Base!$U:$U,MATCH($A10,Base!$A:$A,0)),IF(HR$1=INDEX('Valo FX'!$R:$R,MATCH($A10,'Valo FX'!$A:$A,0)),INDEX(Base!$V:$V,MATCH($A10,Base!$A:$A,0)),0)))</f>
        <v>5.5328809999999997</v>
      </c>
      <c r="HS10" s="21">
        <f>IF(HS$1&lt;INDEX('Valo FX'!$Q:$Q,MATCH($A10,'Valo FX'!$A:$A,0)),0,IF(HS$1&lt;INDEX('Valo FX'!$R:$R,MATCH($A10,'Valo FX'!$A:$A,0)),INDEX(Base!$U:$U,MATCH($A10,Base!$A:$A,0)),IF(HS$1=INDEX('Valo FX'!$R:$R,MATCH($A10,'Valo FX'!$A:$A,0)),INDEX(Base!$V:$V,MATCH($A10,Base!$A:$A,0)),0)))</f>
        <v>5.5328809999999997</v>
      </c>
      <c r="HT10" s="21">
        <f>IF(HT$1&lt;INDEX('Valo FX'!$Q:$Q,MATCH($A10,'Valo FX'!$A:$A,0)),0,IF(HT$1&lt;INDEX('Valo FX'!$R:$R,MATCH($A10,'Valo FX'!$A:$A,0)),INDEX(Base!$U:$U,MATCH($A10,Base!$A:$A,0)),IF(HT$1=INDEX('Valo FX'!$R:$R,MATCH($A10,'Valo FX'!$A:$A,0)),INDEX(Base!$V:$V,MATCH($A10,Base!$A:$A,0)),0)))</f>
        <v>5.5328809999999997</v>
      </c>
      <c r="HU10" s="21">
        <f>IF(HU$1&lt;INDEX('Valo FX'!$Q:$Q,MATCH($A10,'Valo FX'!$A:$A,0)),0,IF(HU$1&lt;INDEX('Valo FX'!$R:$R,MATCH($A10,'Valo FX'!$A:$A,0)),INDEX(Base!$U:$U,MATCH($A10,Base!$A:$A,0)),IF(HU$1=INDEX('Valo FX'!$R:$R,MATCH($A10,'Valo FX'!$A:$A,0)),INDEX(Base!$V:$V,MATCH($A10,Base!$A:$A,0)),0)))</f>
        <v>5.5328809999999997</v>
      </c>
      <c r="HV10" s="21">
        <f>IF(HV$1&lt;INDEX('Valo FX'!$Q:$Q,MATCH($A10,'Valo FX'!$A:$A,0)),0,IF(HV$1&lt;INDEX('Valo FX'!$R:$R,MATCH($A10,'Valo FX'!$A:$A,0)),INDEX(Base!$U:$U,MATCH($A10,Base!$A:$A,0)),IF(HV$1=INDEX('Valo FX'!$R:$R,MATCH($A10,'Valo FX'!$A:$A,0)),INDEX(Base!$V:$V,MATCH($A10,Base!$A:$A,0)),0)))</f>
        <v>5.5328809999999997</v>
      </c>
      <c r="HW10" s="21">
        <f>IF(HW$1&lt;INDEX('Valo FX'!$Q:$Q,MATCH($A10,'Valo FX'!$A:$A,0)),0,IF(HW$1&lt;INDEX('Valo FX'!$R:$R,MATCH($A10,'Valo FX'!$A:$A,0)),INDEX(Base!$U:$U,MATCH($A10,Base!$A:$A,0)),IF(HW$1=INDEX('Valo FX'!$R:$R,MATCH($A10,'Valo FX'!$A:$A,0)),INDEX(Base!$V:$V,MATCH($A10,Base!$A:$A,0)),0)))</f>
        <v>5.5328809999999997</v>
      </c>
      <c r="HX10" s="21">
        <f>IF(HX$1&lt;INDEX('Valo FX'!$Q:$Q,MATCH($A10,'Valo FX'!$A:$A,0)),0,IF(HX$1&lt;INDEX('Valo FX'!$R:$R,MATCH($A10,'Valo FX'!$A:$A,0)),INDEX(Base!$U:$U,MATCH($A10,Base!$A:$A,0)),IF(HX$1=INDEX('Valo FX'!$R:$R,MATCH($A10,'Valo FX'!$A:$A,0)),INDEX(Base!$V:$V,MATCH($A10,Base!$A:$A,0)),0)))</f>
        <v>5.5328809999999997</v>
      </c>
      <c r="HY10" s="21">
        <f>IF(HY$1&lt;INDEX('Valo FX'!$Q:$Q,MATCH($A10,'Valo FX'!$A:$A,0)),0,IF(HY$1&lt;INDEX('Valo FX'!$R:$R,MATCH($A10,'Valo FX'!$A:$A,0)),INDEX(Base!$U:$U,MATCH($A10,Base!$A:$A,0)),IF(HY$1=INDEX('Valo FX'!$R:$R,MATCH($A10,'Valo FX'!$A:$A,0)),INDEX(Base!$V:$V,MATCH($A10,Base!$A:$A,0)),0)))</f>
        <v>5.5328809999999997</v>
      </c>
      <c r="HZ10" s="21">
        <f>IF(HZ$1&lt;INDEX('Valo FX'!$Q:$Q,MATCH($A10,'Valo FX'!$A:$A,0)),0,IF(HZ$1&lt;INDEX('Valo FX'!$R:$R,MATCH($A10,'Valo FX'!$A:$A,0)),INDEX(Base!$U:$U,MATCH($A10,Base!$A:$A,0)),IF(HZ$1=INDEX('Valo FX'!$R:$R,MATCH($A10,'Valo FX'!$A:$A,0)),INDEX(Base!$V:$V,MATCH($A10,Base!$A:$A,0)),0)))</f>
        <v>5.5328809999999997</v>
      </c>
      <c r="IA10" s="21">
        <f>IF(IA$1&lt;INDEX('Valo FX'!$Q:$Q,MATCH($A10,'Valo FX'!$A:$A,0)),0,IF(IA$1&lt;INDEX('Valo FX'!$R:$R,MATCH($A10,'Valo FX'!$A:$A,0)),INDEX(Base!$U:$U,MATCH($A10,Base!$A:$A,0)),IF(IA$1=INDEX('Valo FX'!$R:$R,MATCH($A10,'Valo FX'!$A:$A,0)),INDEX(Base!$V:$V,MATCH($A10,Base!$A:$A,0)),0)))</f>
        <v>5.5328809999999997</v>
      </c>
      <c r="IB10" s="21">
        <f>IF(IB$1&lt;INDEX('Valo FX'!$Q:$Q,MATCH($A10,'Valo FX'!$A:$A,0)),0,IF(IB$1&lt;INDEX('Valo FX'!$R:$R,MATCH($A10,'Valo FX'!$A:$A,0)),INDEX(Base!$U:$U,MATCH($A10,Base!$A:$A,0)),IF(IB$1=INDEX('Valo FX'!$R:$R,MATCH($A10,'Valo FX'!$A:$A,0)),INDEX(Base!$V:$V,MATCH($A10,Base!$A:$A,0)),0)))</f>
        <v>5.5328809999999997</v>
      </c>
      <c r="IC10" s="21">
        <f>IF(IC$1&lt;INDEX('Valo FX'!$Q:$Q,MATCH($A10,'Valo FX'!$A:$A,0)),0,IF(IC$1&lt;INDEX('Valo FX'!$R:$R,MATCH($A10,'Valo FX'!$A:$A,0)),INDEX(Base!$U:$U,MATCH($A10,Base!$A:$A,0)),IF(IC$1=INDEX('Valo FX'!$R:$R,MATCH($A10,'Valo FX'!$A:$A,0)),INDEX(Base!$V:$V,MATCH($A10,Base!$A:$A,0)),0)))</f>
        <v>5.5328809999999997</v>
      </c>
      <c r="ID10" s="21">
        <f>IF(ID$1&lt;INDEX('Valo FX'!$Q:$Q,MATCH($A10,'Valo FX'!$A:$A,0)),0,IF(ID$1&lt;INDEX('Valo FX'!$R:$R,MATCH($A10,'Valo FX'!$A:$A,0)),INDEX(Base!$U:$U,MATCH($A10,Base!$A:$A,0)),IF(ID$1=INDEX('Valo FX'!$R:$R,MATCH($A10,'Valo FX'!$A:$A,0)),INDEX(Base!$V:$V,MATCH($A10,Base!$A:$A,0)),0)))</f>
        <v>5.5328809999999997</v>
      </c>
      <c r="IE10" s="21">
        <f>IF(IE$1&lt;INDEX('Valo FX'!$Q:$Q,MATCH($A10,'Valo FX'!$A:$A,0)),0,IF(IE$1&lt;INDEX('Valo FX'!$R:$R,MATCH($A10,'Valo FX'!$A:$A,0)),INDEX(Base!$U:$U,MATCH($A10,Base!$A:$A,0)),IF(IE$1=INDEX('Valo FX'!$R:$R,MATCH($A10,'Valo FX'!$A:$A,0)),INDEX(Base!$V:$V,MATCH($A10,Base!$A:$A,0)),0)))</f>
        <v>5.5328809999999997</v>
      </c>
      <c r="IF10" s="21">
        <f>IF(IF$1&lt;INDEX('Valo FX'!$Q:$Q,MATCH($A10,'Valo FX'!$A:$A,0)),0,IF(IF$1&lt;INDEX('Valo FX'!$R:$R,MATCH($A10,'Valo FX'!$A:$A,0)),INDEX(Base!$U:$U,MATCH($A10,Base!$A:$A,0)),IF(IF$1=INDEX('Valo FX'!$R:$R,MATCH($A10,'Valo FX'!$A:$A,0)),INDEX(Base!$V:$V,MATCH($A10,Base!$A:$A,0)),0)))</f>
        <v>5.5328809999999997</v>
      </c>
      <c r="IG10" s="21">
        <f>IF(IG$1&lt;INDEX('Valo FX'!$Q:$Q,MATCH($A10,'Valo FX'!$A:$A,0)),0,IF(IG$1&lt;INDEX('Valo FX'!$R:$R,MATCH($A10,'Valo FX'!$A:$A,0)),INDEX(Base!$U:$U,MATCH($A10,Base!$A:$A,0)),IF(IG$1=INDEX('Valo FX'!$R:$R,MATCH($A10,'Valo FX'!$A:$A,0)),INDEX(Base!$V:$V,MATCH($A10,Base!$A:$A,0)),0)))</f>
        <v>5.5328809999999997</v>
      </c>
      <c r="IH10" s="21">
        <f>IF(IH$1&lt;INDEX('Valo FX'!$Q:$Q,MATCH($A10,'Valo FX'!$A:$A,0)),0,IF(IH$1&lt;INDEX('Valo FX'!$R:$R,MATCH($A10,'Valo FX'!$A:$A,0)),INDEX(Base!$U:$U,MATCH($A10,Base!$A:$A,0)),IF(IH$1=INDEX('Valo FX'!$R:$R,MATCH($A10,'Valo FX'!$A:$A,0)),INDEX(Base!$V:$V,MATCH($A10,Base!$A:$A,0)),0)))</f>
        <v>5.5328809999999997</v>
      </c>
      <c r="II10" s="21">
        <f>IF(II$1&lt;INDEX('Valo FX'!$Q:$Q,MATCH($A10,'Valo FX'!$A:$A,0)),0,IF(II$1&lt;INDEX('Valo FX'!$R:$R,MATCH($A10,'Valo FX'!$A:$A,0)),INDEX(Base!$U:$U,MATCH($A10,Base!$A:$A,0)),IF(II$1=INDEX('Valo FX'!$R:$R,MATCH($A10,'Valo FX'!$A:$A,0)),INDEX(Base!$V:$V,MATCH($A10,Base!$A:$A,0)),0)))</f>
        <v>5.5328809999999997</v>
      </c>
      <c r="IJ10" s="21">
        <f>IF(IJ$1&lt;INDEX('Valo FX'!$Q:$Q,MATCH($A10,'Valo FX'!$A:$A,0)),0,IF(IJ$1&lt;INDEX('Valo FX'!$R:$R,MATCH($A10,'Valo FX'!$A:$A,0)),INDEX(Base!$U:$U,MATCH($A10,Base!$A:$A,0)),IF(IJ$1=INDEX('Valo FX'!$R:$R,MATCH($A10,'Valo FX'!$A:$A,0)),INDEX(Base!$V:$V,MATCH($A10,Base!$A:$A,0)),0)))</f>
        <v>5.5328809999999997</v>
      </c>
      <c r="IK10" s="21">
        <f>IF(IK$1&lt;INDEX('Valo FX'!$Q:$Q,MATCH($A10,'Valo FX'!$A:$A,0)),0,IF(IK$1&lt;INDEX('Valo FX'!$R:$R,MATCH($A10,'Valo FX'!$A:$A,0)),INDEX(Base!$U:$U,MATCH($A10,Base!$A:$A,0)),IF(IK$1=INDEX('Valo FX'!$R:$R,MATCH($A10,'Valo FX'!$A:$A,0)),INDEX(Base!$V:$V,MATCH($A10,Base!$A:$A,0)),0)))</f>
        <v>5.5328809999999997</v>
      </c>
      <c r="IL10" s="21">
        <f>IF(IL$1&lt;INDEX('Valo FX'!$Q:$Q,MATCH($A10,'Valo FX'!$A:$A,0)),0,IF(IL$1&lt;INDEX('Valo FX'!$R:$R,MATCH($A10,'Valo FX'!$A:$A,0)),INDEX(Base!$U:$U,MATCH($A10,Base!$A:$A,0)),IF(IL$1=INDEX('Valo FX'!$R:$R,MATCH($A10,'Valo FX'!$A:$A,0)),INDEX(Base!$V:$V,MATCH($A10,Base!$A:$A,0)),0)))</f>
        <v>5.5328809999999997</v>
      </c>
      <c r="IM10" s="21">
        <f>IF(IM$1&lt;INDEX('Valo FX'!$Q:$Q,MATCH($A10,'Valo FX'!$A:$A,0)),0,IF(IM$1&lt;INDEX('Valo FX'!$R:$R,MATCH($A10,'Valo FX'!$A:$A,0)),INDEX(Base!$U:$U,MATCH($A10,Base!$A:$A,0)),IF(IM$1=INDEX('Valo FX'!$R:$R,MATCH($A10,'Valo FX'!$A:$A,0)),INDEX(Base!$V:$V,MATCH($A10,Base!$A:$A,0)),0)))</f>
        <v>5.5328809999999997</v>
      </c>
      <c r="IN10" s="21">
        <f>IF(IN$1&lt;INDEX('Valo FX'!$Q:$Q,MATCH($A10,'Valo FX'!$A:$A,0)),0,IF(IN$1&lt;INDEX('Valo FX'!$R:$R,MATCH($A10,'Valo FX'!$A:$A,0)),INDEX(Base!$U:$U,MATCH($A10,Base!$A:$A,0)),IF(IN$1=INDEX('Valo FX'!$R:$R,MATCH($A10,'Valo FX'!$A:$A,0)),INDEX(Base!$V:$V,MATCH($A10,Base!$A:$A,0)),0)))</f>
        <v>5.5328809999999997</v>
      </c>
      <c r="IO10" s="21">
        <f>IF(IO$1&lt;INDEX('Valo FX'!$Q:$Q,MATCH($A10,'Valo FX'!$A:$A,0)),0,IF(IO$1&lt;INDEX('Valo FX'!$R:$R,MATCH($A10,'Valo FX'!$A:$A,0)),INDEX(Base!$U:$U,MATCH($A10,Base!$A:$A,0)),IF(IO$1=INDEX('Valo FX'!$R:$R,MATCH($A10,'Valo FX'!$A:$A,0)),INDEX(Base!$V:$V,MATCH($A10,Base!$A:$A,0)),0)))</f>
        <v>5.5328809999999997</v>
      </c>
      <c r="IP10" s="21">
        <f>IF(IP$1&lt;INDEX('Valo FX'!$Q:$Q,MATCH($A10,'Valo FX'!$A:$A,0)),0,IF(IP$1&lt;INDEX('Valo FX'!$R:$R,MATCH($A10,'Valo FX'!$A:$A,0)),INDEX(Base!$U:$U,MATCH($A10,Base!$A:$A,0)),IF(IP$1=INDEX('Valo FX'!$R:$R,MATCH($A10,'Valo FX'!$A:$A,0)),INDEX(Base!$V:$V,MATCH($A10,Base!$A:$A,0)),0)))</f>
        <v>5.5328809999999997</v>
      </c>
      <c r="IQ10" s="21">
        <f>IF(IQ$1&lt;INDEX('Valo FX'!$Q:$Q,MATCH($A10,'Valo FX'!$A:$A,0)),0,IF(IQ$1&lt;INDEX('Valo FX'!$R:$R,MATCH($A10,'Valo FX'!$A:$A,0)),INDEX(Base!$U:$U,MATCH($A10,Base!$A:$A,0)),IF(IQ$1=INDEX('Valo FX'!$R:$R,MATCH($A10,'Valo FX'!$A:$A,0)),INDEX(Base!$V:$V,MATCH($A10,Base!$A:$A,0)),0)))</f>
        <v>5.5328809999999997</v>
      </c>
      <c r="IR10" s="21">
        <f>IF(IR$1&lt;INDEX('Valo FX'!$Q:$Q,MATCH($A10,'Valo FX'!$A:$A,0)),0,IF(IR$1&lt;INDEX('Valo FX'!$R:$R,MATCH($A10,'Valo FX'!$A:$A,0)),INDEX(Base!$U:$U,MATCH($A10,Base!$A:$A,0)),IF(IR$1=INDEX('Valo FX'!$R:$R,MATCH($A10,'Valo FX'!$A:$A,0)),INDEX(Base!$V:$V,MATCH($A10,Base!$A:$A,0)),0)))</f>
        <v>5.5328809999999997</v>
      </c>
      <c r="IS10" s="21">
        <f>IF(IS$1&lt;INDEX('Valo FX'!$Q:$Q,MATCH($A10,'Valo FX'!$A:$A,0)),0,IF(IS$1&lt;INDEX('Valo FX'!$R:$R,MATCH($A10,'Valo FX'!$A:$A,0)),INDEX(Base!$U:$U,MATCH($A10,Base!$A:$A,0)),IF(IS$1=INDEX('Valo FX'!$R:$R,MATCH($A10,'Valo FX'!$A:$A,0)),INDEX(Base!$V:$V,MATCH($A10,Base!$A:$A,0)),0)))</f>
        <v>5.5328809999999997</v>
      </c>
      <c r="IT10" s="21">
        <f>IF(IT$1&lt;INDEX('Valo FX'!$Q:$Q,MATCH($A10,'Valo FX'!$A:$A,0)),0,IF(IT$1&lt;INDEX('Valo FX'!$R:$R,MATCH($A10,'Valo FX'!$A:$A,0)),INDEX(Base!$U:$U,MATCH($A10,Base!$A:$A,0)),IF(IT$1=INDEX('Valo FX'!$R:$R,MATCH($A10,'Valo FX'!$A:$A,0)),INDEX(Base!$V:$V,MATCH($A10,Base!$A:$A,0)),0)))</f>
        <v>5.5328809999999997</v>
      </c>
      <c r="IU10" s="21">
        <f>IF(IU$1&lt;INDEX('Valo FX'!$Q:$Q,MATCH($A10,'Valo FX'!$A:$A,0)),0,IF(IU$1&lt;INDEX('Valo FX'!$R:$R,MATCH($A10,'Valo FX'!$A:$A,0)),INDEX(Base!$U:$U,MATCH($A10,Base!$A:$A,0)),IF(IU$1=INDEX('Valo FX'!$R:$R,MATCH($A10,'Valo FX'!$A:$A,0)),INDEX(Base!$V:$V,MATCH($A10,Base!$A:$A,0)),0)))</f>
        <v>5.5328809999999997</v>
      </c>
      <c r="IV10" s="21">
        <f>IF(IV$1&lt;INDEX('Valo FX'!$Q:$Q,MATCH($A10,'Valo FX'!$A:$A,0)),0,IF(IV$1&lt;INDEX('Valo FX'!$R:$R,MATCH($A10,'Valo FX'!$A:$A,0)),INDEX(Base!$U:$U,MATCH($A10,Base!$A:$A,0)),IF(IV$1=INDEX('Valo FX'!$R:$R,MATCH($A10,'Valo FX'!$A:$A,0)),INDEX(Base!$V:$V,MATCH($A10,Base!$A:$A,0)),0)))</f>
        <v>5.5328809999999997</v>
      </c>
      <c r="IW10" s="21">
        <f>IF(IW$1&lt;INDEX('Valo FX'!$Q:$Q,MATCH($A10,'Valo FX'!$A:$A,0)),0,IF(IW$1&lt;INDEX('Valo FX'!$R:$R,MATCH($A10,'Valo FX'!$A:$A,0)),INDEX(Base!$U:$U,MATCH($A10,Base!$A:$A,0)),IF(IW$1=INDEX('Valo FX'!$R:$R,MATCH($A10,'Valo FX'!$A:$A,0)),INDEX(Base!$V:$V,MATCH($A10,Base!$A:$A,0)),0)))</f>
        <v>5.5328809999999997</v>
      </c>
      <c r="IX10" s="21">
        <f>IF(IX$1&lt;INDEX('Valo FX'!$Q:$Q,MATCH($A10,'Valo FX'!$A:$A,0)),0,IF(IX$1&lt;INDEX('Valo FX'!$R:$R,MATCH($A10,'Valo FX'!$A:$A,0)),INDEX(Base!$U:$U,MATCH($A10,Base!$A:$A,0)),IF(IX$1=INDEX('Valo FX'!$R:$R,MATCH($A10,'Valo FX'!$A:$A,0)),INDEX(Base!$V:$V,MATCH($A10,Base!$A:$A,0)),0)))</f>
        <v>5.5328809999999997</v>
      </c>
      <c r="IY10" s="21">
        <f>IF(IY$1&lt;INDEX('Valo FX'!$Q:$Q,MATCH($A10,'Valo FX'!$A:$A,0)),0,IF(IY$1&lt;INDEX('Valo FX'!$R:$R,MATCH($A10,'Valo FX'!$A:$A,0)),INDEX(Base!$U:$U,MATCH($A10,Base!$A:$A,0)),IF(IY$1=INDEX('Valo FX'!$R:$R,MATCH($A10,'Valo FX'!$A:$A,0)),INDEX(Base!$V:$V,MATCH($A10,Base!$A:$A,0)),0)))</f>
        <v>5.5328809999999997</v>
      </c>
      <c r="IZ10" s="21">
        <f>IF(IZ$1&lt;INDEX('Valo FX'!$Q:$Q,MATCH($A10,'Valo FX'!$A:$A,0)),0,IF(IZ$1&lt;INDEX('Valo FX'!$R:$R,MATCH($A10,'Valo FX'!$A:$A,0)),INDEX(Base!$U:$U,MATCH($A10,Base!$A:$A,0)),IF(IZ$1=INDEX('Valo FX'!$R:$R,MATCH($A10,'Valo FX'!$A:$A,0)),INDEX(Base!$V:$V,MATCH($A10,Base!$A:$A,0)),0)))</f>
        <v>5.5328809999999997</v>
      </c>
      <c r="JA10" s="21">
        <f>IF(JA$1&lt;INDEX('Valo FX'!$Q:$Q,MATCH($A10,'Valo FX'!$A:$A,0)),0,IF(JA$1&lt;INDEX('Valo FX'!$R:$R,MATCH($A10,'Valo FX'!$A:$A,0)),INDEX(Base!$U:$U,MATCH($A10,Base!$A:$A,0)),IF(JA$1=INDEX('Valo FX'!$R:$R,MATCH($A10,'Valo FX'!$A:$A,0)),INDEX(Base!$V:$V,MATCH($A10,Base!$A:$A,0)),0)))</f>
        <v>5.5328809999999997</v>
      </c>
      <c r="JB10" s="21">
        <f>IF(JB$1&lt;INDEX('Valo FX'!$Q:$Q,MATCH($A10,'Valo FX'!$A:$A,0)),0,IF(JB$1&lt;INDEX('Valo FX'!$R:$R,MATCH($A10,'Valo FX'!$A:$A,0)),INDEX(Base!$U:$U,MATCH($A10,Base!$A:$A,0)),IF(JB$1=INDEX('Valo FX'!$R:$R,MATCH($A10,'Valo FX'!$A:$A,0)),INDEX(Base!$V:$V,MATCH($A10,Base!$A:$A,0)),0)))</f>
        <v>5.5328809999999997</v>
      </c>
      <c r="JC10" s="21">
        <f>IF(JC$1&lt;INDEX('Valo FX'!$Q:$Q,MATCH($A10,'Valo FX'!$A:$A,0)),0,IF(JC$1&lt;INDEX('Valo FX'!$R:$R,MATCH($A10,'Valo FX'!$A:$A,0)),INDEX(Base!$U:$U,MATCH($A10,Base!$A:$A,0)),IF(JC$1=INDEX('Valo FX'!$R:$R,MATCH($A10,'Valo FX'!$A:$A,0)),INDEX(Base!$V:$V,MATCH($A10,Base!$A:$A,0)),0)))</f>
        <v>5.5328809999999997</v>
      </c>
      <c r="JD10" s="21">
        <f>IF(JD$1&lt;INDEX('Valo FX'!$Q:$Q,MATCH($A10,'Valo FX'!$A:$A,0)),0,IF(JD$1&lt;INDEX('Valo FX'!$R:$R,MATCH($A10,'Valo FX'!$A:$A,0)),INDEX(Base!$U:$U,MATCH($A10,Base!$A:$A,0)),IF(JD$1=INDEX('Valo FX'!$R:$R,MATCH($A10,'Valo FX'!$A:$A,0)),INDEX(Base!$V:$V,MATCH($A10,Base!$A:$A,0)),0)))</f>
        <v>5.5328809999999997</v>
      </c>
      <c r="JE10" s="21">
        <f>IF(JE$1&lt;INDEX('Valo FX'!$Q:$Q,MATCH($A10,'Valo FX'!$A:$A,0)),0,IF(JE$1&lt;INDEX('Valo FX'!$R:$R,MATCH($A10,'Valo FX'!$A:$A,0)),INDEX(Base!$U:$U,MATCH($A10,Base!$A:$A,0)),IF(JE$1=INDEX('Valo FX'!$R:$R,MATCH($A10,'Valo FX'!$A:$A,0)),INDEX(Base!$V:$V,MATCH($A10,Base!$A:$A,0)),0)))</f>
        <v>5.5328809999999997</v>
      </c>
      <c r="JF10" s="21">
        <f>IF(JF$1&lt;INDEX('Valo FX'!$Q:$Q,MATCH($A10,'Valo FX'!$A:$A,0)),0,IF(JF$1&lt;INDEX('Valo FX'!$R:$R,MATCH($A10,'Valo FX'!$A:$A,0)),INDEX(Base!$U:$U,MATCH($A10,Base!$A:$A,0)),IF(JF$1=INDEX('Valo FX'!$R:$R,MATCH($A10,'Valo FX'!$A:$A,0)),INDEX(Base!$V:$V,MATCH($A10,Base!$A:$A,0)),0)))</f>
        <v>5.5328809999999997</v>
      </c>
      <c r="JG10" s="21">
        <f>IF(JG$1&lt;INDEX('Valo FX'!$Q:$Q,MATCH($A10,'Valo FX'!$A:$A,0)),0,IF(JG$1&lt;INDEX('Valo FX'!$R:$R,MATCH($A10,'Valo FX'!$A:$A,0)),INDEX(Base!$U:$U,MATCH($A10,Base!$A:$A,0)),IF(JG$1=INDEX('Valo FX'!$R:$R,MATCH($A10,'Valo FX'!$A:$A,0)),INDEX(Base!$V:$V,MATCH($A10,Base!$A:$A,0)),0)))</f>
        <v>5.5328809999999997</v>
      </c>
      <c r="JH10" s="21">
        <f>IF(JH$1&lt;INDEX('Valo FX'!$Q:$Q,MATCH($A10,'Valo FX'!$A:$A,0)),0,IF(JH$1&lt;INDEX('Valo FX'!$R:$R,MATCH($A10,'Valo FX'!$A:$A,0)),INDEX(Base!$U:$U,MATCH($A10,Base!$A:$A,0)),IF(JH$1=INDEX('Valo FX'!$R:$R,MATCH($A10,'Valo FX'!$A:$A,0)),INDEX(Base!$V:$V,MATCH($A10,Base!$A:$A,0)),0)))</f>
        <v>5.5328809999999997</v>
      </c>
      <c r="JI10" s="21">
        <f>IF(JI$1&lt;INDEX('Valo FX'!$Q:$Q,MATCH($A10,'Valo FX'!$A:$A,0)),0,IF(JI$1&lt;INDEX('Valo FX'!$R:$R,MATCH($A10,'Valo FX'!$A:$A,0)),INDEX(Base!$U:$U,MATCH($A10,Base!$A:$A,0)),IF(JI$1=INDEX('Valo FX'!$R:$R,MATCH($A10,'Valo FX'!$A:$A,0)),INDEX(Base!$V:$V,MATCH($A10,Base!$A:$A,0)),0)))</f>
        <v>5.5328809999999997</v>
      </c>
      <c r="JJ10" s="21">
        <f>IF(JJ$1&lt;INDEX('Valo FX'!$Q:$Q,MATCH($A10,'Valo FX'!$A:$A,0)),0,IF(JJ$1&lt;INDEX('Valo FX'!$R:$R,MATCH($A10,'Valo FX'!$A:$A,0)),INDEX(Base!$U:$U,MATCH($A10,Base!$A:$A,0)),IF(JJ$1=INDEX('Valo FX'!$R:$R,MATCH($A10,'Valo FX'!$A:$A,0)),INDEX(Base!$V:$V,MATCH($A10,Base!$A:$A,0)),0)))</f>
        <v>5.5328809999999997</v>
      </c>
      <c r="JK10" s="21">
        <f>IF(JK$1&lt;INDEX('Valo FX'!$Q:$Q,MATCH($A10,'Valo FX'!$A:$A,0)),0,IF(JK$1&lt;INDEX('Valo FX'!$R:$R,MATCH($A10,'Valo FX'!$A:$A,0)),INDEX(Base!$U:$U,MATCH($A10,Base!$A:$A,0)),IF(JK$1=INDEX('Valo FX'!$R:$R,MATCH($A10,'Valo FX'!$A:$A,0)),INDEX(Base!$V:$V,MATCH($A10,Base!$A:$A,0)),0)))</f>
        <v>5.5328809999999997</v>
      </c>
      <c r="JL10" s="21">
        <f>IF(JL$1&lt;INDEX('Valo FX'!$Q:$Q,MATCH($A10,'Valo FX'!$A:$A,0)),0,IF(JL$1&lt;INDEX('Valo FX'!$R:$R,MATCH($A10,'Valo FX'!$A:$A,0)),INDEX(Base!$U:$U,MATCH($A10,Base!$A:$A,0)),IF(JL$1=INDEX('Valo FX'!$R:$R,MATCH($A10,'Valo FX'!$A:$A,0)),INDEX(Base!$V:$V,MATCH($A10,Base!$A:$A,0)),0)))</f>
        <v>5.5328809999999997</v>
      </c>
      <c r="JM10" s="21">
        <f>IF(JM$1&lt;INDEX('Valo FX'!$Q:$Q,MATCH($A10,'Valo FX'!$A:$A,0)),0,IF(JM$1&lt;INDEX('Valo FX'!$R:$R,MATCH($A10,'Valo FX'!$A:$A,0)),INDEX(Base!$U:$U,MATCH($A10,Base!$A:$A,0)),IF(JM$1=INDEX('Valo FX'!$R:$R,MATCH($A10,'Valo FX'!$A:$A,0)),INDEX(Base!$V:$V,MATCH($A10,Base!$A:$A,0)),0)))</f>
        <v>5.5328809999999997</v>
      </c>
      <c r="JN10" s="21">
        <f>IF(JN$1&lt;INDEX('Valo FX'!$Q:$Q,MATCH($A10,'Valo FX'!$A:$A,0)),0,IF(JN$1&lt;INDEX('Valo FX'!$R:$R,MATCH($A10,'Valo FX'!$A:$A,0)),INDEX(Base!$U:$U,MATCH($A10,Base!$A:$A,0)),IF(JN$1=INDEX('Valo FX'!$R:$R,MATCH($A10,'Valo FX'!$A:$A,0)),INDEX(Base!$V:$V,MATCH($A10,Base!$A:$A,0)),0)))</f>
        <v>5.5328809999999997</v>
      </c>
      <c r="JO10" s="21">
        <f>IF(JO$1&lt;INDEX('Valo FX'!$Q:$Q,MATCH($A10,'Valo FX'!$A:$A,0)),0,IF(JO$1&lt;INDEX('Valo FX'!$R:$R,MATCH($A10,'Valo FX'!$A:$A,0)),INDEX(Base!$U:$U,MATCH($A10,Base!$A:$A,0)),IF(JO$1=INDEX('Valo FX'!$R:$R,MATCH($A10,'Valo FX'!$A:$A,0)),INDEX(Base!$V:$V,MATCH($A10,Base!$A:$A,0)),0)))</f>
        <v>5.5328809999999997</v>
      </c>
      <c r="JP10" s="21">
        <f>IF(JP$1&lt;INDEX('Valo FX'!$Q:$Q,MATCH($A10,'Valo FX'!$A:$A,0)),0,IF(JP$1&lt;INDEX('Valo FX'!$R:$R,MATCH($A10,'Valo FX'!$A:$A,0)),INDEX(Base!$U:$U,MATCH($A10,Base!$A:$A,0)),IF(JP$1=INDEX('Valo FX'!$R:$R,MATCH($A10,'Valo FX'!$A:$A,0)),INDEX(Base!$V:$V,MATCH($A10,Base!$A:$A,0)),0)))</f>
        <v>5.5328809999999997</v>
      </c>
      <c r="JQ10" s="21">
        <f>IF(JQ$1&lt;INDEX('Valo FX'!$Q:$Q,MATCH($A10,'Valo FX'!$A:$A,0)),0,IF(JQ$1&lt;INDEX('Valo FX'!$R:$R,MATCH($A10,'Valo FX'!$A:$A,0)),INDEX(Base!$U:$U,MATCH($A10,Base!$A:$A,0)),IF(JQ$1=INDEX('Valo FX'!$R:$R,MATCH($A10,'Valo FX'!$A:$A,0)),INDEX(Base!$V:$V,MATCH($A10,Base!$A:$A,0)),0)))</f>
        <v>5.5328809999999997</v>
      </c>
      <c r="JR10" s="21">
        <f>IF(JR$1&lt;INDEX('Valo FX'!$Q:$Q,MATCH($A10,'Valo FX'!$A:$A,0)),0,IF(JR$1&lt;INDEX('Valo FX'!$R:$R,MATCH($A10,'Valo FX'!$A:$A,0)),INDEX(Base!$U:$U,MATCH($A10,Base!$A:$A,0)),IF(JR$1=INDEX('Valo FX'!$R:$R,MATCH($A10,'Valo FX'!$A:$A,0)),INDEX(Base!$V:$V,MATCH($A10,Base!$A:$A,0)),0)))</f>
        <v>5.5328809999999997</v>
      </c>
      <c r="JS10" s="21">
        <f>IF(JS$1&lt;INDEX('Valo FX'!$Q:$Q,MATCH($A10,'Valo FX'!$A:$A,0)),0,IF(JS$1&lt;INDEX('Valo FX'!$R:$R,MATCH($A10,'Valo FX'!$A:$A,0)),INDEX(Base!$U:$U,MATCH($A10,Base!$A:$A,0)),IF(JS$1=INDEX('Valo FX'!$R:$R,MATCH($A10,'Valo FX'!$A:$A,0)),INDEX(Base!$V:$V,MATCH($A10,Base!$A:$A,0)),0)))</f>
        <v>5.5328809999999997</v>
      </c>
      <c r="JT10" s="21">
        <f>IF(JT$1&lt;INDEX('Valo FX'!$Q:$Q,MATCH($A10,'Valo FX'!$A:$A,0)),0,IF(JT$1&lt;INDEX('Valo FX'!$R:$R,MATCH($A10,'Valo FX'!$A:$A,0)),INDEX(Base!$U:$U,MATCH($A10,Base!$A:$A,0)),IF(JT$1=INDEX('Valo FX'!$R:$R,MATCH($A10,'Valo FX'!$A:$A,0)),INDEX(Base!$V:$V,MATCH($A10,Base!$A:$A,0)),0)))</f>
        <v>5.5328809999999997</v>
      </c>
      <c r="JU10" s="21">
        <f>IF(JU$1&lt;INDEX('Valo FX'!$Q:$Q,MATCH($A10,'Valo FX'!$A:$A,0)),0,IF(JU$1&lt;INDEX('Valo FX'!$R:$R,MATCH($A10,'Valo FX'!$A:$A,0)),INDEX(Base!$U:$U,MATCH($A10,Base!$A:$A,0)),IF(JU$1=INDEX('Valo FX'!$R:$R,MATCH($A10,'Valo FX'!$A:$A,0)),INDEX(Base!$V:$V,MATCH($A10,Base!$A:$A,0)),0)))</f>
        <v>5.5328809999999997</v>
      </c>
      <c r="JV10" s="21">
        <f>IF(JV$1&lt;INDEX('Valo FX'!$Q:$Q,MATCH($A10,'Valo FX'!$A:$A,0)),0,IF(JV$1&lt;INDEX('Valo FX'!$R:$R,MATCH($A10,'Valo FX'!$A:$A,0)),INDEX(Base!$U:$U,MATCH($A10,Base!$A:$A,0)),IF(JV$1=INDEX('Valo FX'!$R:$R,MATCH($A10,'Valo FX'!$A:$A,0)),INDEX(Base!$V:$V,MATCH($A10,Base!$A:$A,0)),0)))</f>
        <v>5.5328809999999997</v>
      </c>
      <c r="JW10" s="21">
        <f>IF(JW$1&lt;INDEX('Valo FX'!$Q:$Q,MATCH($A10,'Valo FX'!$A:$A,0)),0,IF(JW$1&lt;INDEX('Valo FX'!$R:$R,MATCH($A10,'Valo FX'!$A:$A,0)),INDEX(Base!$U:$U,MATCH($A10,Base!$A:$A,0)),IF(JW$1=INDEX('Valo FX'!$R:$R,MATCH($A10,'Valo FX'!$A:$A,0)),INDEX(Base!$V:$V,MATCH($A10,Base!$A:$A,0)),0)))</f>
        <v>5.5328809999999997</v>
      </c>
      <c r="JX10" s="21">
        <f>IF(JX$1&lt;INDEX('Valo FX'!$Q:$Q,MATCH($A10,'Valo FX'!$A:$A,0)),0,IF(JX$1&lt;INDEX('Valo FX'!$R:$R,MATCH($A10,'Valo FX'!$A:$A,0)),INDEX(Base!$U:$U,MATCH($A10,Base!$A:$A,0)),IF(JX$1=INDEX('Valo FX'!$R:$R,MATCH($A10,'Valo FX'!$A:$A,0)),INDEX(Base!$V:$V,MATCH($A10,Base!$A:$A,0)),0)))</f>
        <v>5.5328809999999997</v>
      </c>
      <c r="JY10" s="21">
        <f>IF(JY$1&lt;INDEX('Valo FX'!$Q:$Q,MATCH($A10,'Valo FX'!$A:$A,0)),0,IF(JY$1&lt;INDEX('Valo FX'!$R:$R,MATCH($A10,'Valo FX'!$A:$A,0)),INDEX(Base!$U:$U,MATCH($A10,Base!$A:$A,0)),IF(JY$1=INDEX('Valo FX'!$R:$R,MATCH($A10,'Valo FX'!$A:$A,0)),INDEX(Base!$V:$V,MATCH($A10,Base!$A:$A,0)),0)))</f>
        <v>5.5328809999999997</v>
      </c>
      <c r="JZ10" s="21">
        <f>IF(JZ$1&lt;INDEX('Valo FX'!$Q:$Q,MATCH($A10,'Valo FX'!$A:$A,0)),0,IF(JZ$1&lt;INDEX('Valo FX'!$R:$R,MATCH($A10,'Valo FX'!$A:$A,0)),INDEX(Base!$U:$U,MATCH($A10,Base!$A:$A,0)),IF(JZ$1=INDEX('Valo FX'!$R:$R,MATCH($A10,'Valo FX'!$A:$A,0)),INDEX(Base!$V:$V,MATCH($A10,Base!$A:$A,0)),0)))</f>
        <v>5.5328809999999997</v>
      </c>
      <c r="KA10" s="21">
        <f>IF(KA$1&lt;INDEX('Valo FX'!$Q:$Q,MATCH($A10,'Valo FX'!$A:$A,0)),0,IF(KA$1&lt;INDEX('Valo FX'!$R:$R,MATCH($A10,'Valo FX'!$A:$A,0)),INDEX(Base!$U:$U,MATCH($A10,Base!$A:$A,0)),IF(KA$1=INDEX('Valo FX'!$R:$R,MATCH($A10,'Valo FX'!$A:$A,0)),INDEX(Base!$V:$V,MATCH($A10,Base!$A:$A,0)),0)))</f>
        <v>5.5328809999999997</v>
      </c>
      <c r="KB10" s="21">
        <f>IF(KB$1&lt;INDEX('Valo FX'!$Q:$Q,MATCH($A10,'Valo FX'!$A:$A,0)),0,IF(KB$1&lt;INDEX('Valo FX'!$R:$R,MATCH($A10,'Valo FX'!$A:$A,0)),INDEX(Base!$U:$U,MATCH($A10,Base!$A:$A,0)),IF(KB$1=INDEX('Valo FX'!$R:$R,MATCH($A10,'Valo FX'!$A:$A,0)),INDEX(Base!$V:$V,MATCH($A10,Base!$A:$A,0)),0)))</f>
        <v>5.5328809999999997</v>
      </c>
      <c r="KC10" s="21">
        <f>IF(KC$1&lt;INDEX('Valo FX'!$Q:$Q,MATCH($A10,'Valo FX'!$A:$A,0)),0,IF(KC$1&lt;INDEX('Valo FX'!$R:$R,MATCH($A10,'Valo FX'!$A:$A,0)),INDEX(Base!$U:$U,MATCH($A10,Base!$A:$A,0)),IF(KC$1=INDEX('Valo FX'!$R:$R,MATCH($A10,'Valo FX'!$A:$A,0)),INDEX(Base!$V:$V,MATCH($A10,Base!$A:$A,0)),0)))</f>
        <v>5.5328809999999997</v>
      </c>
      <c r="KD10" s="21">
        <f>IF(KD$1&lt;INDEX('Valo FX'!$Q:$Q,MATCH($A10,'Valo FX'!$A:$A,0)),0,IF(KD$1&lt;INDEX('Valo FX'!$R:$R,MATCH($A10,'Valo FX'!$A:$A,0)),INDEX(Base!$U:$U,MATCH($A10,Base!$A:$A,0)),IF(KD$1=INDEX('Valo FX'!$R:$R,MATCH($A10,'Valo FX'!$A:$A,0)),INDEX(Base!$V:$V,MATCH($A10,Base!$A:$A,0)),0)))</f>
        <v>5.5328809999999997</v>
      </c>
      <c r="KE10" s="21">
        <f>IF(KE$1&lt;INDEX('Valo FX'!$Q:$Q,MATCH($A10,'Valo FX'!$A:$A,0)),0,IF(KE$1&lt;INDEX('Valo FX'!$R:$R,MATCH($A10,'Valo FX'!$A:$A,0)),INDEX(Base!$U:$U,MATCH($A10,Base!$A:$A,0)),IF(KE$1=INDEX('Valo FX'!$R:$R,MATCH($A10,'Valo FX'!$A:$A,0)),INDEX(Base!$V:$V,MATCH($A10,Base!$A:$A,0)),0)))</f>
        <v>5.5328809999999997</v>
      </c>
      <c r="KF10" s="21">
        <f>IF(KF$1&lt;INDEX('Valo FX'!$Q:$Q,MATCH($A10,'Valo FX'!$A:$A,0)),0,IF(KF$1&lt;INDEX('Valo FX'!$R:$R,MATCH($A10,'Valo FX'!$A:$A,0)),INDEX(Base!$U:$U,MATCH($A10,Base!$A:$A,0)),IF(KF$1=INDEX('Valo FX'!$R:$R,MATCH($A10,'Valo FX'!$A:$A,0)),INDEX(Base!$V:$V,MATCH($A10,Base!$A:$A,0)),0)))</f>
        <v>5.5328809999999997</v>
      </c>
      <c r="KG10" s="21">
        <f>IF(KG$1&lt;INDEX('Valo FX'!$Q:$Q,MATCH($A10,'Valo FX'!$A:$A,0)),0,IF(KG$1&lt;INDEX('Valo FX'!$R:$R,MATCH($A10,'Valo FX'!$A:$A,0)),INDEX(Base!$U:$U,MATCH($A10,Base!$A:$A,0)),IF(KG$1=INDEX('Valo FX'!$R:$R,MATCH($A10,'Valo FX'!$A:$A,0)),INDEX(Base!$V:$V,MATCH($A10,Base!$A:$A,0)),0)))</f>
        <v>5.5328809999999997</v>
      </c>
      <c r="KH10" s="21">
        <f>IF(KH$1&lt;INDEX('Valo FX'!$Q:$Q,MATCH($A10,'Valo FX'!$A:$A,0)),0,IF(KH$1&lt;INDEX('Valo FX'!$R:$R,MATCH($A10,'Valo FX'!$A:$A,0)),INDEX(Base!$U:$U,MATCH($A10,Base!$A:$A,0)),IF(KH$1=INDEX('Valo FX'!$R:$R,MATCH($A10,'Valo FX'!$A:$A,0)),INDEX(Base!$V:$V,MATCH($A10,Base!$A:$A,0)),0)))</f>
        <v>5.5328809999999997</v>
      </c>
      <c r="KI10" s="21">
        <f>IF(KI$1&lt;INDEX('Valo FX'!$Q:$Q,MATCH($A10,'Valo FX'!$A:$A,0)),0,IF(KI$1&lt;INDEX('Valo FX'!$R:$R,MATCH($A10,'Valo FX'!$A:$A,0)),INDEX(Base!$U:$U,MATCH($A10,Base!$A:$A,0)),IF(KI$1=INDEX('Valo FX'!$R:$R,MATCH($A10,'Valo FX'!$A:$A,0)),INDEX(Base!$V:$V,MATCH($A10,Base!$A:$A,0)),0)))</f>
        <v>5.5328809999999997</v>
      </c>
      <c r="KJ10" s="21">
        <f>IF(KJ$1&lt;INDEX('Valo FX'!$Q:$Q,MATCH($A10,'Valo FX'!$A:$A,0)),0,IF(KJ$1&lt;INDEX('Valo FX'!$R:$R,MATCH($A10,'Valo FX'!$A:$A,0)),INDEX(Base!$U:$U,MATCH($A10,Base!$A:$A,0)),IF(KJ$1=INDEX('Valo FX'!$R:$R,MATCH($A10,'Valo FX'!$A:$A,0)),INDEX(Base!$V:$V,MATCH($A10,Base!$A:$A,0)),0)))</f>
        <v>5.5328809999999997</v>
      </c>
      <c r="KK10" s="21">
        <f>IF(KK$1&lt;INDEX('Valo FX'!$Q:$Q,MATCH($A10,'Valo FX'!$A:$A,0)),0,IF(KK$1&lt;INDEX('Valo FX'!$R:$R,MATCH($A10,'Valo FX'!$A:$A,0)),INDEX(Base!$U:$U,MATCH($A10,Base!$A:$A,0)),IF(KK$1=INDEX('Valo FX'!$R:$R,MATCH($A10,'Valo FX'!$A:$A,0)),INDEX(Base!$V:$V,MATCH($A10,Base!$A:$A,0)),0)))</f>
        <v>5.5328809999999997</v>
      </c>
      <c r="KL10" s="21">
        <f>IF(KL$1&lt;INDEX('Valo FX'!$Q:$Q,MATCH($A10,'Valo FX'!$A:$A,0)),0,IF(KL$1&lt;INDEX('Valo FX'!$R:$R,MATCH($A10,'Valo FX'!$A:$A,0)),INDEX(Base!$U:$U,MATCH($A10,Base!$A:$A,0)),IF(KL$1=INDEX('Valo FX'!$R:$R,MATCH($A10,'Valo FX'!$A:$A,0)),INDEX(Base!$V:$V,MATCH($A10,Base!$A:$A,0)),0)))</f>
        <v>5.5328809999999997</v>
      </c>
      <c r="KM10" s="21">
        <f>IF(KM$1&lt;INDEX('Valo FX'!$Q:$Q,MATCH($A10,'Valo FX'!$A:$A,0)),0,IF(KM$1&lt;INDEX('Valo FX'!$R:$R,MATCH($A10,'Valo FX'!$A:$A,0)),INDEX(Base!$U:$U,MATCH($A10,Base!$A:$A,0)),IF(KM$1=INDEX('Valo FX'!$R:$R,MATCH($A10,'Valo FX'!$A:$A,0)),INDEX(Base!$V:$V,MATCH($A10,Base!$A:$A,0)),0)))</f>
        <v>5.5328809999999997</v>
      </c>
      <c r="KN10" s="21">
        <f>IF(KN$1&lt;INDEX('Valo FX'!$Q:$Q,MATCH($A10,'Valo FX'!$A:$A,0)),0,IF(KN$1&lt;INDEX('Valo FX'!$R:$R,MATCH($A10,'Valo FX'!$A:$A,0)),INDEX(Base!$U:$U,MATCH($A10,Base!$A:$A,0)),IF(KN$1=INDEX('Valo FX'!$R:$R,MATCH($A10,'Valo FX'!$A:$A,0)),INDEX(Base!$V:$V,MATCH($A10,Base!$A:$A,0)),0)))</f>
        <v>5.5328809999999997</v>
      </c>
      <c r="KO10" s="21">
        <f>IF(KO$1&lt;INDEX('Valo FX'!$Q:$Q,MATCH($A10,'Valo FX'!$A:$A,0)),0,IF(KO$1&lt;INDEX('Valo FX'!$R:$R,MATCH($A10,'Valo FX'!$A:$A,0)),INDEX(Base!$U:$U,MATCH($A10,Base!$A:$A,0)),IF(KO$1=INDEX('Valo FX'!$R:$R,MATCH($A10,'Valo FX'!$A:$A,0)),INDEX(Base!$V:$V,MATCH($A10,Base!$A:$A,0)),0)))</f>
        <v>5.5328809999999997</v>
      </c>
      <c r="KP10" s="21">
        <f>IF(KP$1&lt;INDEX('Valo FX'!$Q:$Q,MATCH($A10,'Valo FX'!$A:$A,0)),0,IF(KP$1&lt;INDEX('Valo FX'!$R:$R,MATCH($A10,'Valo FX'!$A:$A,0)),INDEX(Base!$U:$U,MATCH($A10,Base!$A:$A,0)),IF(KP$1=INDEX('Valo FX'!$R:$R,MATCH($A10,'Valo FX'!$A:$A,0)),INDEX(Base!$V:$V,MATCH($A10,Base!$A:$A,0)),0)))</f>
        <v>5.5328809999999997</v>
      </c>
      <c r="KQ10" s="21">
        <f>IF(KQ$1&lt;INDEX('Valo FX'!$Q:$Q,MATCH($A10,'Valo FX'!$A:$A,0)),0,IF(KQ$1&lt;INDEX('Valo FX'!$R:$R,MATCH($A10,'Valo FX'!$A:$A,0)),INDEX(Base!$U:$U,MATCH($A10,Base!$A:$A,0)),IF(KQ$1=INDEX('Valo FX'!$R:$R,MATCH($A10,'Valo FX'!$A:$A,0)),INDEX(Base!$V:$V,MATCH($A10,Base!$A:$A,0)),0)))</f>
        <v>5.5328809999999997</v>
      </c>
      <c r="KR10" s="21">
        <f>IF(KR$1&lt;INDEX('Valo FX'!$Q:$Q,MATCH($A10,'Valo FX'!$A:$A,0)),0,IF(KR$1&lt;INDEX('Valo FX'!$R:$R,MATCH($A10,'Valo FX'!$A:$A,0)),INDEX(Base!$U:$U,MATCH($A10,Base!$A:$A,0)),IF(KR$1=INDEX('Valo FX'!$R:$R,MATCH($A10,'Valo FX'!$A:$A,0)),INDEX(Base!$V:$V,MATCH($A10,Base!$A:$A,0)),0)))</f>
        <v>5.5328809999999997</v>
      </c>
      <c r="KS10" s="21">
        <f>IF(KS$1&lt;INDEX('Valo FX'!$Q:$Q,MATCH($A10,'Valo FX'!$A:$A,0)),0,IF(KS$1&lt;INDEX('Valo FX'!$R:$R,MATCH($A10,'Valo FX'!$A:$A,0)),INDEX(Base!$U:$U,MATCH($A10,Base!$A:$A,0)),IF(KS$1=INDEX('Valo FX'!$R:$R,MATCH($A10,'Valo FX'!$A:$A,0)),INDEX(Base!$V:$V,MATCH($A10,Base!$A:$A,0)),0)))</f>
        <v>5.5328809999999997</v>
      </c>
      <c r="KT10" s="21">
        <f>IF(KT$1&lt;INDEX('Valo FX'!$Q:$Q,MATCH($A10,'Valo FX'!$A:$A,0)),0,IF(KT$1&lt;INDEX('Valo FX'!$R:$R,MATCH($A10,'Valo FX'!$A:$A,0)),INDEX(Base!$U:$U,MATCH($A10,Base!$A:$A,0)),IF(KT$1=INDEX('Valo FX'!$R:$R,MATCH($A10,'Valo FX'!$A:$A,0)),INDEX(Base!$V:$V,MATCH($A10,Base!$A:$A,0)),0)))</f>
        <v>5.5328809999999997</v>
      </c>
      <c r="KU10" s="21">
        <f>IF(KU$1&lt;INDEX('Valo FX'!$Q:$Q,MATCH($A10,'Valo FX'!$A:$A,0)),0,IF(KU$1&lt;INDEX('Valo FX'!$R:$R,MATCH($A10,'Valo FX'!$A:$A,0)),INDEX(Base!$U:$U,MATCH($A10,Base!$A:$A,0)),IF(KU$1=INDEX('Valo FX'!$R:$R,MATCH($A10,'Valo FX'!$A:$A,0)),INDEX(Base!$V:$V,MATCH($A10,Base!$A:$A,0)),0)))</f>
        <v>5.5328809999999997</v>
      </c>
      <c r="KV10" s="21">
        <f>IF(KV$1&lt;INDEX('Valo FX'!$Q:$Q,MATCH($A10,'Valo FX'!$A:$A,0)),0,IF(KV$1&lt;INDEX('Valo FX'!$R:$R,MATCH($A10,'Valo FX'!$A:$A,0)),INDEX(Base!$U:$U,MATCH($A10,Base!$A:$A,0)),IF(KV$1=INDEX('Valo FX'!$R:$R,MATCH($A10,'Valo FX'!$A:$A,0)),INDEX(Base!$V:$V,MATCH($A10,Base!$A:$A,0)),0)))</f>
        <v>5.5328809999999997</v>
      </c>
      <c r="KW10" s="21">
        <f>IF(KW$1&lt;INDEX('Valo FX'!$Q:$Q,MATCH($A10,'Valo FX'!$A:$A,0)),0,IF(KW$1&lt;INDEX('Valo FX'!$R:$R,MATCH($A10,'Valo FX'!$A:$A,0)),INDEX(Base!$U:$U,MATCH($A10,Base!$A:$A,0)),IF(KW$1=INDEX('Valo FX'!$R:$R,MATCH($A10,'Valo FX'!$A:$A,0)),INDEX(Base!$V:$V,MATCH($A10,Base!$A:$A,0)),0)))</f>
        <v>5.5328809999999997</v>
      </c>
      <c r="KX10" s="21">
        <f>IF(KX$1&lt;INDEX('Valo FX'!$Q:$Q,MATCH($A10,'Valo FX'!$A:$A,0)),0,IF(KX$1&lt;INDEX('Valo FX'!$R:$R,MATCH($A10,'Valo FX'!$A:$A,0)),INDEX(Base!$U:$U,MATCH($A10,Base!$A:$A,0)),IF(KX$1=INDEX('Valo FX'!$R:$R,MATCH($A10,'Valo FX'!$A:$A,0)),INDEX(Base!$V:$V,MATCH($A10,Base!$A:$A,0)),0)))</f>
        <v>5.5328809999999997</v>
      </c>
      <c r="KY10" s="21">
        <f>IF(KY$1&lt;INDEX('Valo FX'!$Q:$Q,MATCH($A10,'Valo FX'!$A:$A,0)),0,IF(KY$1&lt;INDEX('Valo FX'!$R:$R,MATCH($A10,'Valo FX'!$A:$A,0)),INDEX(Base!$U:$U,MATCH($A10,Base!$A:$A,0)),IF(KY$1=INDEX('Valo FX'!$R:$R,MATCH($A10,'Valo FX'!$A:$A,0)),INDEX(Base!$V:$V,MATCH($A10,Base!$A:$A,0)),0)))</f>
        <v>5.5328809999999997</v>
      </c>
      <c r="KZ10" s="21">
        <f>IF(KZ$1&lt;INDEX('Valo FX'!$Q:$Q,MATCH($A10,'Valo FX'!$A:$A,0)),0,IF(KZ$1&lt;INDEX('Valo FX'!$R:$R,MATCH($A10,'Valo FX'!$A:$A,0)),INDEX(Base!$U:$U,MATCH($A10,Base!$A:$A,0)),IF(KZ$1=INDEX('Valo FX'!$R:$R,MATCH($A10,'Valo FX'!$A:$A,0)),INDEX(Base!$V:$V,MATCH($A10,Base!$A:$A,0)),0)))</f>
        <v>5.5328809999999997</v>
      </c>
      <c r="LA10" s="21">
        <f>IF(LA$1&lt;INDEX('Valo FX'!$Q:$Q,MATCH($A10,'Valo FX'!$A:$A,0)),0,IF(LA$1&lt;INDEX('Valo FX'!$R:$R,MATCH($A10,'Valo FX'!$A:$A,0)),INDEX(Base!$U:$U,MATCH($A10,Base!$A:$A,0)),IF(LA$1=INDEX('Valo FX'!$R:$R,MATCH($A10,'Valo FX'!$A:$A,0)),INDEX(Base!$V:$V,MATCH($A10,Base!$A:$A,0)),0)))</f>
        <v>5.5328809999999997</v>
      </c>
      <c r="LB10" s="21">
        <f>IF(LB$1&lt;INDEX('Valo FX'!$Q:$Q,MATCH($A10,'Valo FX'!$A:$A,0)),0,IF(LB$1&lt;INDEX('Valo FX'!$R:$R,MATCH($A10,'Valo FX'!$A:$A,0)),INDEX(Base!$U:$U,MATCH($A10,Base!$A:$A,0)),IF(LB$1=INDEX('Valo FX'!$R:$R,MATCH($A10,'Valo FX'!$A:$A,0)),INDEX(Base!$V:$V,MATCH($A10,Base!$A:$A,0)),0)))</f>
        <v>5.5328809999999997</v>
      </c>
      <c r="LC10" s="21">
        <f>IF(LC$1&lt;INDEX('Valo FX'!$Q:$Q,MATCH($A10,'Valo FX'!$A:$A,0)),0,IF(LC$1&lt;INDEX('Valo FX'!$R:$R,MATCH($A10,'Valo FX'!$A:$A,0)),INDEX(Base!$U:$U,MATCH($A10,Base!$A:$A,0)),IF(LC$1=INDEX('Valo FX'!$R:$R,MATCH($A10,'Valo FX'!$A:$A,0)),INDEX(Base!$V:$V,MATCH($A10,Base!$A:$A,0)),0)))</f>
        <v>5.5328809999999997</v>
      </c>
      <c r="LD10" s="21">
        <f>IF(LD$1&lt;INDEX('Valo FX'!$Q:$Q,MATCH($A10,'Valo FX'!$A:$A,0)),0,IF(LD$1&lt;INDEX('Valo FX'!$R:$R,MATCH($A10,'Valo FX'!$A:$A,0)),INDEX(Base!$U:$U,MATCH($A10,Base!$A:$A,0)),IF(LD$1=INDEX('Valo FX'!$R:$R,MATCH($A10,'Valo FX'!$A:$A,0)),INDEX(Base!$V:$V,MATCH($A10,Base!$A:$A,0)),0)))</f>
        <v>5.5328809999999997</v>
      </c>
      <c r="LE10" s="21">
        <f>IF(LE$1&lt;INDEX('Valo FX'!$Q:$Q,MATCH($A10,'Valo FX'!$A:$A,0)),0,IF(LE$1&lt;INDEX('Valo FX'!$R:$R,MATCH($A10,'Valo FX'!$A:$A,0)),INDEX(Base!$U:$U,MATCH($A10,Base!$A:$A,0)),IF(LE$1=INDEX('Valo FX'!$R:$R,MATCH($A10,'Valo FX'!$A:$A,0)),INDEX(Base!$V:$V,MATCH($A10,Base!$A:$A,0)),0)))</f>
        <v>5.5328809999999997</v>
      </c>
      <c r="LF10" s="21">
        <f>IF(LF$1&lt;INDEX('Valo FX'!$Q:$Q,MATCH($A10,'Valo FX'!$A:$A,0)),0,IF(LF$1&lt;INDEX('Valo FX'!$R:$R,MATCH($A10,'Valo FX'!$A:$A,0)),INDEX(Base!$U:$U,MATCH($A10,Base!$A:$A,0)),IF(LF$1=INDEX('Valo FX'!$R:$R,MATCH($A10,'Valo FX'!$A:$A,0)),INDEX(Base!$V:$V,MATCH($A10,Base!$A:$A,0)),0)))</f>
        <v>5.5328809999999997</v>
      </c>
      <c r="LG10" s="21">
        <f>IF(LG$1&lt;INDEX('Valo FX'!$Q:$Q,MATCH($A10,'Valo FX'!$A:$A,0)),0,IF(LG$1&lt;INDEX('Valo FX'!$R:$R,MATCH($A10,'Valo FX'!$A:$A,0)),INDEX(Base!$U:$U,MATCH($A10,Base!$A:$A,0)),IF(LG$1=INDEX('Valo FX'!$R:$R,MATCH($A10,'Valo FX'!$A:$A,0)),INDEX(Base!$V:$V,MATCH($A10,Base!$A:$A,0)),0)))</f>
        <v>5.5328809999999997</v>
      </c>
      <c r="LH10" s="21">
        <f>IF(LH$1&lt;INDEX('Valo FX'!$Q:$Q,MATCH($A10,'Valo FX'!$A:$A,0)),0,IF(LH$1&lt;INDEX('Valo FX'!$R:$R,MATCH($A10,'Valo FX'!$A:$A,0)),INDEX(Base!$U:$U,MATCH($A10,Base!$A:$A,0)),IF(LH$1=INDEX('Valo FX'!$R:$R,MATCH($A10,'Valo FX'!$A:$A,0)),INDEX(Base!$V:$V,MATCH($A10,Base!$A:$A,0)),0)))</f>
        <v>5.5328809999999997</v>
      </c>
      <c r="LI10" s="21">
        <f>IF(LI$1&lt;INDEX('Valo FX'!$Q:$Q,MATCH($A10,'Valo FX'!$A:$A,0)),0,IF(LI$1&lt;INDEX('Valo FX'!$R:$R,MATCH($A10,'Valo FX'!$A:$A,0)),INDEX(Base!$U:$U,MATCH($A10,Base!$A:$A,0)),IF(LI$1=INDEX('Valo FX'!$R:$R,MATCH($A10,'Valo FX'!$A:$A,0)),INDEX(Base!$V:$V,MATCH($A10,Base!$A:$A,0)),0)))</f>
        <v>5.5328809999999997</v>
      </c>
      <c r="LJ10" s="21">
        <f>IF(LJ$1&lt;INDEX('Valo FX'!$Q:$Q,MATCH($A10,'Valo FX'!$A:$A,0)),0,IF(LJ$1&lt;INDEX('Valo FX'!$R:$R,MATCH($A10,'Valo FX'!$A:$A,0)),INDEX(Base!$U:$U,MATCH($A10,Base!$A:$A,0)),IF(LJ$1=INDEX('Valo FX'!$R:$R,MATCH($A10,'Valo FX'!$A:$A,0)),INDEX(Base!$V:$V,MATCH($A10,Base!$A:$A,0)),0)))</f>
        <v>5.5328809999999997</v>
      </c>
      <c r="LK10" s="21">
        <f>IF(LK$1&lt;INDEX('Valo FX'!$Q:$Q,MATCH($A10,'Valo FX'!$A:$A,0)),0,IF(LK$1&lt;INDEX('Valo FX'!$R:$R,MATCH($A10,'Valo FX'!$A:$A,0)),INDEX(Base!$U:$U,MATCH($A10,Base!$A:$A,0)),IF(LK$1=INDEX('Valo FX'!$R:$R,MATCH($A10,'Valo FX'!$A:$A,0)),INDEX(Base!$V:$V,MATCH($A10,Base!$A:$A,0)),0)))</f>
        <v>5.5328809999999997</v>
      </c>
      <c r="LL10" s="21">
        <f>IF(LL$1&lt;INDEX('Valo FX'!$Q:$Q,MATCH($A10,'Valo FX'!$A:$A,0)),0,IF(LL$1&lt;INDEX('Valo FX'!$R:$R,MATCH($A10,'Valo FX'!$A:$A,0)),INDEX(Base!$U:$U,MATCH($A10,Base!$A:$A,0)),IF(LL$1=INDEX('Valo FX'!$R:$R,MATCH($A10,'Valo FX'!$A:$A,0)),INDEX(Base!$V:$V,MATCH($A10,Base!$A:$A,0)),0)))</f>
        <v>5.5328809999999997</v>
      </c>
      <c r="LM10" s="21">
        <f>IF(LM$1&lt;INDEX('Valo FX'!$Q:$Q,MATCH($A10,'Valo FX'!$A:$A,0)),0,IF(LM$1&lt;INDEX('Valo FX'!$R:$R,MATCH($A10,'Valo FX'!$A:$A,0)),INDEX(Base!$U:$U,MATCH($A10,Base!$A:$A,0)),IF(LM$1=INDEX('Valo FX'!$R:$R,MATCH($A10,'Valo FX'!$A:$A,0)),INDEX(Base!$V:$V,MATCH($A10,Base!$A:$A,0)),0)))</f>
        <v>5.5328809999999997</v>
      </c>
      <c r="LN10" s="21">
        <f>IF(LN$1&lt;INDEX('Valo FX'!$Q:$Q,MATCH($A10,'Valo FX'!$A:$A,0)),0,IF(LN$1&lt;INDEX('Valo FX'!$R:$R,MATCH($A10,'Valo FX'!$A:$A,0)),INDEX(Base!$U:$U,MATCH($A10,Base!$A:$A,0)),IF(LN$1=INDEX('Valo FX'!$R:$R,MATCH($A10,'Valo FX'!$A:$A,0)),INDEX(Base!$V:$V,MATCH($A10,Base!$A:$A,0)),0)))</f>
        <v>5.5328809999999997</v>
      </c>
      <c r="LO10" s="21">
        <f>IF(LO$1&lt;INDEX('Valo FX'!$Q:$Q,MATCH($A10,'Valo FX'!$A:$A,0)),0,IF(LO$1&lt;INDEX('Valo FX'!$R:$R,MATCH($A10,'Valo FX'!$A:$A,0)),INDEX(Base!$U:$U,MATCH($A10,Base!$A:$A,0)),IF(LO$1=INDEX('Valo FX'!$R:$R,MATCH($A10,'Valo FX'!$A:$A,0)),INDEX(Base!$V:$V,MATCH($A10,Base!$A:$A,0)),0)))</f>
        <v>5.5328809999999997</v>
      </c>
      <c r="LP10" s="21">
        <f>IF(LP$1&lt;INDEX('Valo FX'!$Q:$Q,MATCH($A10,'Valo FX'!$A:$A,0)),0,IF(LP$1&lt;INDEX('Valo FX'!$R:$R,MATCH($A10,'Valo FX'!$A:$A,0)),INDEX(Base!$U:$U,MATCH($A10,Base!$A:$A,0)),IF(LP$1=INDEX('Valo FX'!$R:$R,MATCH($A10,'Valo FX'!$A:$A,0)),INDEX(Base!$V:$V,MATCH($A10,Base!$A:$A,0)),0)))</f>
        <v>5.5328809999999997</v>
      </c>
      <c r="LQ10" s="21">
        <f>IF(LQ$1&lt;INDEX('Valo FX'!$Q:$Q,MATCH($A10,'Valo FX'!$A:$A,0)),0,IF(LQ$1&lt;INDEX('Valo FX'!$R:$R,MATCH($A10,'Valo FX'!$A:$A,0)),INDEX(Base!$U:$U,MATCH($A10,Base!$A:$A,0)),IF(LQ$1=INDEX('Valo FX'!$R:$R,MATCH($A10,'Valo FX'!$A:$A,0)),INDEX(Base!$V:$V,MATCH($A10,Base!$A:$A,0)),0)))</f>
        <v>5.5328809999999997</v>
      </c>
      <c r="LR10" s="21">
        <f>IF(LR$1&lt;INDEX('Valo FX'!$Q:$Q,MATCH($A10,'Valo FX'!$A:$A,0)),0,IF(LR$1&lt;INDEX('Valo FX'!$R:$R,MATCH($A10,'Valo FX'!$A:$A,0)),INDEX(Base!$U:$U,MATCH($A10,Base!$A:$A,0)),IF(LR$1=INDEX('Valo FX'!$R:$R,MATCH($A10,'Valo FX'!$A:$A,0)),INDEX(Base!$V:$V,MATCH($A10,Base!$A:$A,0)),0)))</f>
        <v>5.5328809999999997</v>
      </c>
      <c r="LS10" s="21">
        <f>IF(LS$1&lt;INDEX('Valo FX'!$Q:$Q,MATCH($A10,'Valo FX'!$A:$A,0)),0,IF(LS$1&lt;INDEX('Valo FX'!$R:$R,MATCH($A10,'Valo FX'!$A:$A,0)),INDEX(Base!$U:$U,MATCH($A10,Base!$A:$A,0)),IF(LS$1=INDEX('Valo FX'!$R:$R,MATCH($A10,'Valo FX'!$A:$A,0)),INDEX(Base!$V:$V,MATCH($A10,Base!$A:$A,0)),0)))</f>
        <v>5.5328809999999997</v>
      </c>
      <c r="LT10" s="21">
        <f>IF(LT$1&lt;INDEX('Valo FX'!$Q:$Q,MATCH($A10,'Valo FX'!$A:$A,0)),0,IF(LT$1&lt;INDEX('Valo FX'!$R:$R,MATCH($A10,'Valo FX'!$A:$A,0)),INDEX(Base!$U:$U,MATCH($A10,Base!$A:$A,0)),IF(LT$1=INDEX('Valo FX'!$R:$R,MATCH($A10,'Valo FX'!$A:$A,0)),INDEX(Base!$V:$V,MATCH($A10,Base!$A:$A,0)),0)))</f>
        <v>5.5328809999999997</v>
      </c>
      <c r="LU10" s="21">
        <f>IF(LU$1&lt;INDEX('Valo FX'!$Q:$Q,MATCH($A10,'Valo FX'!$A:$A,0)),0,IF(LU$1&lt;INDEX('Valo FX'!$R:$R,MATCH($A10,'Valo FX'!$A:$A,0)),INDEX(Base!$U:$U,MATCH($A10,Base!$A:$A,0)),IF(LU$1=INDEX('Valo FX'!$R:$R,MATCH($A10,'Valo FX'!$A:$A,0)),INDEX(Base!$V:$V,MATCH($A10,Base!$A:$A,0)),0)))</f>
        <v>5.5328809999999997</v>
      </c>
      <c r="LV10" s="21">
        <f>IF(LV$1&lt;INDEX('Valo FX'!$Q:$Q,MATCH($A10,'Valo FX'!$A:$A,0)),0,IF(LV$1&lt;INDEX('Valo FX'!$R:$R,MATCH($A10,'Valo FX'!$A:$A,0)),INDEX(Base!$U:$U,MATCH($A10,Base!$A:$A,0)),IF(LV$1=INDEX('Valo FX'!$R:$R,MATCH($A10,'Valo FX'!$A:$A,0)),INDEX(Base!$V:$V,MATCH($A10,Base!$A:$A,0)),0)))</f>
        <v>5.5328809999999997</v>
      </c>
      <c r="LW10" s="21">
        <f>IF(LW$1&lt;INDEX('Valo FX'!$Q:$Q,MATCH($A10,'Valo FX'!$A:$A,0)),0,IF(LW$1&lt;INDEX('Valo FX'!$R:$R,MATCH($A10,'Valo FX'!$A:$A,0)),INDEX(Base!$U:$U,MATCH($A10,Base!$A:$A,0)),IF(LW$1=INDEX('Valo FX'!$R:$R,MATCH($A10,'Valo FX'!$A:$A,0)),INDEX(Base!$V:$V,MATCH($A10,Base!$A:$A,0)),0)))</f>
        <v>5.5328809999999997</v>
      </c>
      <c r="LX10" s="21">
        <f>IF(LX$1&lt;INDEX('Valo FX'!$Q:$Q,MATCH($A10,'Valo FX'!$A:$A,0)),0,IF(LX$1&lt;INDEX('Valo FX'!$R:$R,MATCH($A10,'Valo FX'!$A:$A,0)),INDEX(Base!$U:$U,MATCH($A10,Base!$A:$A,0)),IF(LX$1=INDEX('Valo FX'!$R:$R,MATCH($A10,'Valo FX'!$A:$A,0)),INDEX(Base!$V:$V,MATCH($A10,Base!$A:$A,0)),0)))</f>
        <v>5.5328809999999997</v>
      </c>
      <c r="LY10" s="21">
        <f>IF(LY$1&lt;INDEX('Valo FX'!$Q:$Q,MATCH($A10,'Valo FX'!$A:$A,0)),0,IF(LY$1&lt;INDEX('Valo FX'!$R:$R,MATCH($A10,'Valo FX'!$A:$A,0)),INDEX(Base!$U:$U,MATCH($A10,Base!$A:$A,0)),IF(LY$1=INDEX('Valo FX'!$R:$R,MATCH($A10,'Valo FX'!$A:$A,0)),INDEX(Base!$V:$V,MATCH($A10,Base!$A:$A,0)),0)))</f>
        <v>5.5328809999999997</v>
      </c>
      <c r="LZ10" s="21">
        <f>IF(LZ$1&lt;INDEX('Valo FX'!$Q:$Q,MATCH($A10,'Valo FX'!$A:$A,0)),0,IF(LZ$1&lt;INDEX('Valo FX'!$R:$R,MATCH($A10,'Valo FX'!$A:$A,0)),INDEX(Base!$U:$U,MATCH($A10,Base!$A:$A,0)),IF(LZ$1=INDEX('Valo FX'!$R:$R,MATCH($A10,'Valo FX'!$A:$A,0)),INDEX(Base!$V:$V,MATCH($A10,Base!$A:$A,0)),0)))</f>
        <v>5.5328809999999997</v>
      </c>
      <c r="MA10" s="21">
        <f>IF(MA$1&lt;INDEX('Valo FX'!$Q:$Q,MATCH($A10,'Valo FX'!$A:$A,0)),0,IF(MA$1&lt;INDEX('Valo FX'!$R:$R,MATCH($A10,'Valo FX'!$A:$A,0)),INDEX(Base!$U:$U,MATCH($A10,Base!$A:$A,0)),IF(MA$1=INDEX('Valo FX'!$R:$R,MATCH($A10,'Valo FX'!$A:$A,0)),INDEX(Base!$V:$V,MATCH($A10,Base!$A:$A,0)),0)))</f>
        <v>5.5328809999999997</v>
      </c>
      <c r="MB10" s="21">
        <f>IF(MB$1&lt;INDEX('Valo FX'!$Q:$Q,MATCH($A10,'Valo FX'!$A:$A,0)),0,IF(MB$1&lt;INDEX('Valo FX'!$R:$R,MATCH($A10,'Valo FX'!$A:$A,0)),INDEX(Base!$U:$U,MATCH($A10,Base!$A:$A,0)),IF(MB$1=INDEX('Valo FX'!$R:$R,MATCH($A10,'Valo FX'!$A:$A,0)),INDEX(Base!$V:$V,MATCH($A10,Base!$A:$A,0)),0)))</f>
        <v>5.5328809999999997</v>
      </c>
      <c r="MC10" s="21">
        <f>IF(MC$1&lt;INDEX('Valo FX'!$Q:$Q,MATCH($A10,'Valo FX'!$A:$A,0)),0,IF(MC$1&lt;INDEX('Valo FX'!$R:$R,MATCH($A10,'Valo FX'!$A:$A,0)),INDEX(Base!$U:$U,MATCH($A10,Base!$A:$A,0)),IF(MC$1=INDEX('Valo FX'!$R:$R,MATCH($A10,'Valo FX'!$A:$A,0)),INDEX(Base!$V:$V,MATCH($A10,Base!$A:$A,0)),0)))</f>
        <v>5.5328809999999997</v>
      </c>
      <c r="MD10" s="21">
        <f>IF(MD$1&lt;INDEX('Valo FX'!$Q:$Q,MATCH($A10,'Valo FX'!$A:$A,0)),0,IF(MD$1&lt;INDEX('Valo FX'!$R:$R,MATCH($A10,'Valo FX'!$A:$A,0)),INDEX(Base!$U:$U,MATCH($A10,Base!$A:$A,0)),IF(MD$1=INDEX('Valo FX'!$R:$R,MATCH($A10,'Valo FX'!$A:$A,0)),INDEX(Base!$V:$V,MATCH($A10,Base!$A:$A,0)),0)))</f>
        <v>5.5328809999999997</v>
      </c>
      <c r="ME10" s="21">
        <f>IF(ME$1&lt;INDEX('Valo FX'!$Q:$Q,MATCH($A10,'Valo FX'!$A:$A,0)),0,IF(ME$1&lt;INDEX('Valo FX'!$R:$R,MATCH($A10,'Valo FX'!$A:$A,0)),INDEX(Base!$U:$U,MATCH($A10,Base!$A:$A,0)),IF(ME$1=INDEX('Valo FX'!$R:$R,MATCH($A10,'Valo FX'!$A:$A,0)),INDEX(Base!$V:$V,MATCH($A10,Base!$A:$A,0)),0)))</f>
        <v>5.5328809999999997</v>
      </c>
      <c r="MF10" s="21">
        <f>IF(MF$1&lt;INDEX('Valo FX'!$Q:$Q,MATCH($A10,'Valo FX'!$A:$A,0)),0,IF(MF$1&lt;INDEX('Valo FX'!$R:$R,MATCH($A10,'Valo FX'!$A:$A,0)),INDEX(Base!$U:$U,MATCH($A10,Base!$A:$A,0)),IF(MF$1=INDEX('Valo FX'!$R:$R,MATCH($A10,'Valo FX'!$A:$A,0)),INDEX(Base!$V:$V,MATCH($A10,Base!$A:$A,0)),0)))</f>
        <v>5.5328809999999997</v>
      </c>
      <c r="MG10" s="21">
        <f>IF(MG$1&lt;INDEX('Valo FX'!$Q:$Q,MATCH($A10,'Valo FX'!$A:$A,0)),0,IF(MG$1&lt;INDEX('Valo FX'!$R:$R,MATCH($A10,'Valo FX'!$A:$A,0)),INDEX(Base!$U:$U,MATCH($A10,Base!$A:$A,0)),IF(MG$1=INDEX('Valo FX'!$R:$R,MATCH($A10,'Valo FX'!$A:$A,0)),INDEX(Base!$V:$V,MATCH($A10,Base!$A:$A,0)),0)))</f>
        <v>5.5328809999999997</v>
      </c>
      <c r="MH10" s="21">
        <f>IF(MH$1&lt;INDEX('Valo FX'!$Q:$Q,MATCH($A10,'Valo FX'!$A:$A,0)),0,IF(MH$1&lt;INDEX('Valo FX'!$R:$R,MATCH($A10,'Valo FX'!$A:$A,0)),INDEX(Base!$U:$U,MATCH($A10,Base!$A:$A,0)),IF(MH$1=INDEX('Valo FX'!$R:$R,MATCH($A10,'Valo FX'!$A:$A,0)),INDEX(Base!$V:$V,MATCH($A10,Base!$A:$A,0)),0)))</f>
        <v>5.5328809999999997</v>
      </c>
      <c r="MI10" s="21">
        <f>IF(MI$1&lt;INDEX('Valo FX'!$Q:$Q,MATCH($A10,'Valo FX'!$A:$A,0)),0,IF(MI$1&lt;INDEX('Valo FX'!$R:$R,MATCH($A10,'Valo FX'!$A:$A,0)),INDEX(Base!$U:$U,MATCH($A10,Base!$A:$A,0)),IF(MI$1=INDEX('Valo FX'!$R:$R,MATCH($A10,'Valo FX'!$A:$A,0)),INDEX(Base!$V:$V,MATCH($A10,Base!$A:$A,0)),0)))</f>
        <v>5.5328809999999997</v>
      </c>
      <c r="MJ10" s="21">
        <f>IF(MJ$1&lt;INDEX('Valo FX'!$Q:$Q,MATCH($A10,'Valo FX'!$A:$A,0)),0,IF(MJ$1&lt;INDEX('Valo FX'!$R:$R,MATCH($A10,'Valo FX'!$A:$A,0)),INDEX(Base!$U:$U,MATCH($A10,Base!$A:$A,0)),IF(MJ$1=INDEX('Valo FX'!$R:$R,MATCH($A10,'Valo FX'!$A:$A,0)),INDEX(Base!$V:$V,MATCH($A10,Base!$A:$A,0)),0)))</f>
        <v>5.5328809999999997</v>
      </c>
      <c r="MK10" s="21">
        <f>IF(MK$1&lt;INDEX('Valo FX'!$Q:$Q,MATCH($A10,'Valo FX'!$A:$A,0)),0,IF(MK$1&lt;INDEX('Valo FX'!$R:$R,MATCH($A10,'Valo FX'!$A:$A,0)),INDEX(Base!$U:$U,MATCH($A10,Base!$A:$A,0)),IF(MK$1=INDEX('Valo FX'!$R:$R,MATCH($A10,'Valo FX'!$A:$A,0)),INDEX(Base!$V:$V,MATCH($A10,Base!$A:$A,0)),0)))</f>
        <v>5.5328809999999997</v>
      </c>
      <c r="ML10" s="21">
        <f>IF(ML$1&lt;INDEX('Valo FX'!$Q:$Q,MATCH($A10,'Valo FX'!$A:$A,0)),0,IF(ML$1&lt;INDEX('Valo FX'!$R:$R,MATCH($A10,'Valo FX'!$A:$A,0)),INDEX(Base!$U:$U,MATCH($A10,Base!$A:$A,0)),IF(ML$1=INDEX('Valo FX'!$R:$R,MATCH($A10,'Valo FX'!$A:$A,0)),INDEX(Base!$V:$V,MATCH($A10,Base!$A:$A,0)),0)))</f>
        <v>5.5328809999999997</v>
      </c>
      <c r="MM10" s="21">
        <f>IF(MM$1&lt;INDEX('Valo FX'!$Q:$Q,MATCH($A10,'Valo FX'!$A:$A,0)),0,IF(MM$1&lt;INDEX('Valo FX'!$R:$R,MATCH($A10,'Valo FX'!$A:$A,0)),INDEX(Base!$U:$U,MATCH($A10,Base!$A:$A,0)),IF(MM$1=INDEX('Valo FX'!$R:$R,MATCH($A10,'Valo FX'!$A:$A,0)),INDEX(Base!$V:$V,MATCH($A10,Base!$A:$A,0)),0)))</f>
        <v>5.5328809999999997</v>
      </c>
      <c r="MN10" s="21">
        <f>IF(MN$1&lt;INDEX('Valo FX'!$Q:$Q,MATCH($A10,'Valo FX'!$A:$A,0)),0,IF(MN$1&lt;INDEX('Valo FX'!$R:$R,MATCH($A10,'Valo FX'!$A:$A,0)),INDEX(Base!$U:$U,MATCH($A10,Base!$A:$A,0)),IF(MN$1=INDEX('Valo FX'!$R:$R,MATCH($A10,'Valo FX'!$A:$A,0)),INDEX(Base!$V:$V,MATCH($A10,Base!$A:$A,0)),0)))</f>
        <v>5.5328809999999997</v>
      </c>
      <c r="MO10" s="21">
        <f>IF(MO$1&lt;INDEX('Valo FX'!$Q:$Q,MATCH($A10,'Valo FX'!$A:$A,0)),0,IF(MO$1&lt;INDEX('Valo FX'!$R:$R,MATCH($A10,'Valo FX'!$A:$A,0)),INDEX(Base!$U:$U,MATCH($A10,Base!$A:$A,0)),IF(MO$1=INDEX('Valo FX'!$R:$R,MATCH($A10,'Valo FX'!$A:$A,0)),INDEX(Base!$V:$V,MATCH($A10,Base!$A:$A,0)),0)))</f>
        <v>5.5328809999999997</v>
      </c>
      <c r="MP10" s="21">
        <f>IF(MP$1&lt;INDEX('Valo FX'!$Q:$Q,MATCH($A10,'Valo FX'!$A:$A,0)),0,IF(MP$1&lt;INDEX('Valo FX'!$R:$R,MATCH($A10,'Valo FX'!$A:$A,0)),INDEX(Base!$U:$U,MATCH($A10,Base!$A:$A,0)),IF(MP$1=INDEX('Valo FX'!$R:$R,MATCH($A10,'Valo FX'!$A:$A,0)),INDEX(Base!$V:$V,MATCH($A10,Base!$A:$A,0)),0)))</f>
        <v>5.5328809999999997</v>
      </c>
      <c r="MQ10" s="21">
        <f>IF(MQ$1&lt;INDEX('Valo FX'!$Q:$Q,MATCH($A10,'Valo FX'!$A:$A,0)),0,IF(MQ$1&lt;INDEX('Valo FX'!$R:$R,MATCH($A10,'Valo FX'!$A:$A,0)),INDEX(Base!$U:$U,MATCH($A10,Base!$A:$A,0)),IF(MQ$1=INDEX('Valo FX'!$R:$R,MATCH($A10,'Valo FX'!$A:$A,0)),INDEX(Base!$V:$V,MATCH($A10,Base!$A:$A,0)),0)))</f>
        <v>5.5328809999999997</v>
      </c>
      <c r="MR10" s="21">
        <f>IF(MR$1&lt;INDEX('Valo FX'!$Q:$Q,MATCH($A10,'Valo FX'!$A:$A,0)),0,IF(MR$1&lt;INDEX('Valo FX'!$R:$R,MATCH($A10,'Valo FX'!$A:$A,0)),INDEX(Base!$U:$U,MATCH($A10,Base!$A:$A,0)),IF(MR$1=INDEX('Valo FX'!$R:$R,MATCH($A10,'Valo FX'!$A:$A,0)),INDEX(Base!$V:$V,MATCH($A10,Base!$A:$A,0)),0)))</f>
        <v>5.5328809999999997</v>
      </c>
      <c r="MS10" s="21">
        <f>IF(MS$1&lt;INDEX('Valo FX'!$Q:$Q,MATCH($A10,'Valo FX'!$A:$A,0)),0,IF(MS$1&lt;INDEX('Valo FX'!$R:$R,MATCH($A10,'Valo FX'!$A:$A,0)),INDEX(Base!$U:$U,MATCH($A10,Base!$A:$A,0)),IF(MS$1=INDEX('Valo FX'!$R:$R,MATCH($A10,'Valo FX'!$A:$A,0)),INDEX(Base!$V:$V,MATCH($A10,Base!$A:$A,0)),0)))</f>
        <v>5.5328809999999997</v>
      </c>
      <c r="MT10" s="21">
        <f>IF(MT$1&lt;INDEX('Valo FX'!$Q:$Q,MATCH($A10,'Valo FX'!$A:$A,0)),0,IF(MT$1&lt;INDEX('Valo FX'!$R:$R,MATCH($A10,'Valo FX'!$A:$A,0)),INDEX(Base!$U:$U,MATCH($A10,Base!$A:$A,0)),IF(MT$1=INDEX('Valo FX'!$R:$R,MATCH($A10,'Valo FX'!$A:$A,0)),INDEX(Base!$V:$V,MATCH($A10,Base!$A:$A,0)),0)))</f>
        <v>5.5328809999999997</v>
      </c>
      <c r="MU10" s="21">
        <f>IF(MU$1&lt;INDEX('Valo FX'!$Q:$Q,MATCH($A10,'Valo FX'!$A:$A,0)),0,IF(MU$1&lt;INDEX('Valo FX'!$R:$R,MATCH($A10,'Valo FX'!$A:$A,0)),INDEX(Base!$U:$U,MATCH($A10,Base!$A:$A,0)),IF(MU$1=INDEX('Valo FX'!$R:$R,MATCH($A10,'Valo FX'!$A:$A,0)),INDEX(Base!$V:$V,MATCH($A10,Base!$A:$A,0)),0)))</f>
        <v>5.5328809999999997</v>
      </c>
      <c r="MV10" s="21">
        <f>IF(MV$1&lt;INDEX('Valo FX'!$Q:$Q,MATCH($A10,'Valo FX'!$A:$A,0)),0,IF(MV$1&lt;INDEX('Valo FX'!$R:$R,MATCH($A10,'Valo FX'!$A:$A,0)),INDEX(Base!$U:$U,MATCH($A10,Base!$A:$A,0)),IF(MV$1=INDEX('Valo FX'!$R:$R,MATCH($A10,'Valo FX'!$A:$A,0)),INDEX(Base!$V:$V,MATCH($A10,Base!$A:$A,0)),0)))</f>
        <v>5.5328809999999997</v>
      </c>
      <c r="MW10" s="21">
        <f>IF(MW$1&lt;INDEX('Valo FX'!$Q:$Q,MATCH($A10,'Valo FX'!$A:$A,0)),0,IF(MW$1&lt;INDEX('Valo FX'!$R:$R,MATCH($A10,'Valo FX'!$A:$A,0)),INDEX(Base!$U:$U,MATCH($A10,Base!$A:$A,0)),IF(MW$1=INDEX('Valo FX'!$R:$R,MATCH($A10,'Valo FX'!$A:$A,0)),INDEX(Base!$V:$V,MATCH($A10,Base!$A:$A,0)),0)))</f>
        <v>5.5328809999999997</v>
      </c>
      <c r="MX10" s="21">
        <f>IF(MX$1&lt;INDEX('Valo FX'!$Q:$Q,MATCH($A10,'Valo FX'!$A:$A,0)),0,IF(MX$1&lt;INDEX('Valo FX'!$R:$R,MATCH($A10,'Valo FX'!$A:$A,0)),INDEX(Base!$U:$U,MATCH($A10,Base!$A:$A,0)),IF(MX$1=INDEX('Valo FX'!$R:$R,MATCH($A10,'Valo FX'!$A:$A,0)),INDEX(Base!$V:$V,MATCH($A10,Base!$A:$A,0)),0)))</f>
        <v>5.5328809999999997</v>
      </c>
      <c r="MY10" s="21">
        <f>IF(MY$1&lt;INDEX('Valo FX'!$Q:$Q,MATCH($A10,'Valo FX'!$A:$A,0)),0,IF(MY$1&lt;INDEX('Valo FX'!$R:$R,MATCH($A10,'Valo FX'!$A:$A,0)),INDEX(Base!$U:$U,MATCH($A10,Base!$A:$A,0)),IF(MY$1=INDEX('Valo FX'!$R:$R,MATCH($A10,'Valo FX'!$A:$A,0)),INDEX(Base!$V:$V,MATCH($A10,Base!$A:$A,0)),0)))</f>
        <v>5.6797789999999999</v>
      </c>
    </row>
    <row r="11" spans="1:363" x14ac:dyDescent="0.2">
      <c r="A11" s="7">
        <f>+'Valo FX'!A12</f>
        <v>9</v>
      </c>
      <c r="B11" s="58">
        <f>-'Valo FX'!T12</f>
        <v>-781.43863500200575</v>
      </c>
      <c r="C11" s="21">
        <f>IF(C$1&lt;INDEX('Valo FX'!$Q:$Q,MATCH($A11,'Valo FX'!$A:$A,0)),0,IF(C$1&lt;INDEX('Valo FX'!$R:$R,MATCH($A11,'Valo FX'!$A:$A,0)),INDEX(Base!$U:$U,MATCH($A11,Base!$A:$A,0)),IF(C$1=INDEX('Valo FX'!$R:$R,MATCH($A11,'Valo FX'!$A:$A,0)),INDEX(Base!$V:$V,MATCH($A11,Base!$A:$A,0)),0)))</f>
        <v>0</v>
      </c>
      <c r="D11" s="21">
        <f>IF(D$1&lt;INDEX('Valo FX'!$Q:$Q,MATCH($A11,'Valo FX'!$A:$A,0)),0,IF(D$1&lt;INDEX('Valo FX'!$R:$R,MATCH($A11,'Valo FX'!$A:$A,0)),INDEX(Base!$U:$U,MATCH($A11,Base!$A:$A,0)),IF(D$1=INDEX('Valo FX'!$R:$R,MATCH($A11,'Valo FX'!$A:$A,0)),INDEX(Base!$V:$V,MATCH($A11,Base!$A:$A,0)),0)))</f>
        <v>0</v>
      </c>
      <c r="E11" s="21">
        <f>IF(E$1&lt;INDEX('Valo FX'!$Q:$Q,MATCH($A11,'Valo FX'!$A:$A,0)),0,IF(E$1&lt;INDEX('Valo FX'!$R:$R,MATCH($A11,'Valo FX'!$A:$A,0)),INDEX(Base!$U:$U,MATCH($A11,Base!$A:$A,0)),IF(E$1=INDEX('Valo FX'!$R:$R,MATCH($A11,'Valo FX'!$A:$A,0)),INDEX(Base!$V:$V,MATCH($A11,Base!$A:$A,0)),0)))</f>
        <v>0</v>
      </c>
      <c r="F11" s="21">
        <f>IF(F$1&lt;INDEX('Valo FX'!$Q:$Q,MATCH($A11,'Valo FX'!$A:$A,0)),0,IF(F$1&lt;INDEX('Valo FX'!$R:$R,MATCH($A11,'Valo FX'!$A:$A,0)),INDEX(Base!$U:$U,MATCH($A11,Base!$A:$A,0)),IF(F$1=INDEX('Valo FX'!$R:$R,MATCH($A11,'Valo FX'!$A:$A,0)),INDEX(Base!$V:$V,MATCH($A11,Base!$A:$A,0)),0)))</f>
        <v>0</v>
      </c>
      <c r="G11" s="21">
        <f>IF(G$1&lt;INDEX('Valo FX'!$Q:$Q,MATCH($A11,'Valo FX'!$A:$A,0)),0,IF(G$1&lt;INDEX('Valo FX'!$R:$R,MATCH($A11,'Valo FX'!$A:$A,0)),INDEX(Base!$U:$U,MATCH($A11,Base!$A:$A,0)),IF(G$1=INDEX('Valo FX'!$R:$R,MATCH($A11,'Valo FX'!$A:$A,0)),INDEX(Base!$V:$V,MATCH($A11,Base!$A:$A,0)),0)))</f>
        <v>0</v>
      </c>
      <c r="H11" s="21">
        <f>IF(H$1&lt;INDEX('Valo FX'!$Q:$Q,MATCH($A11,'Valo FX'!$A:$A,0)),0,IF(H$1&lt;INDEX('Valo FX'!$R:$R,MATCH($A11,'Valo FX'!$A:$A,0)),INDEX(Base!$U:$U,MATCH($A11,Base!$A:$A,0)),IF(H$1=INDEX('Valo FX'!$R:$R,MATCH($A11,'Valo FX'!$A:$A,0)),INDEX(Base!$V:$V,MATCH($A11,Base!$A:$A,0)),0)))</f>
        <v>0</v>
      </c>
      <c r="I11" s="21">
        <f>IF(I$1&lt;INDEX('Valo FX'!$Q:$Q,MATCH($A11,'Valo FX'!$A:$A,0)),0,IF(I$1&lt;INDEX('Valo FX'!$R:$R,MATCH($A11,'Valo FX'!$A:$A,0)),INDEX(Base!$U:$U,MATCH($A11,Base!$A:$A,0)),IF(I$1=INDEX('Valo FX'!$R:$R,MATCH($A11,'Valo FX'!$A:$A,0)),INDEX(Base!$V:$V,MATCH($A11,Base!$A:$A,0)),0)))</f>
        <v>6.593</v>
      </c>
      <c r="J11" s="21">
        <f>IF(J$1&lt;INDEX('Valo FX'!$Q:$Q,MATCH($A11,'Valo FX'!$A:$A,0)),0,IF(J$1&lt;INDEX('Valo FX'!$R:$R,MATCH($A11,'Valo FX'!$A:$A,0)),INDEX(Base!$U:$U,MATCH($A11,Base!$A:$A,0)),IF(J$1=INDEX('Valo FX'!$R:$R,MATCH($A11,'Valo FX'!$A:$A,0)),INDEX(Base!$V:$V,MATCH($A11,Base!$A:$A,0)),0)))</f>
        <v>6.593</v>
      </c>
      <c r="K11" s="21">
        <f>IF(K$1&lt;INDEX('Valo FX'!$Q:$Q,MATCH($A11,'Valo FX'!$A:$A,0)),0,IF(K$1&lt;INDEX('Valo FX'!$R:$R,MATCH($A11,'Valo FX'!$A:$A,0)),INDEX(Base!$U:$U,MATCH($A11,Base!$A:$A,0)),IF(K$1=INDEX('Valo FX'!$R:$R,MATCH($A11,'Valo FX'!$A:$A,0)),INDEX(Base!$V:$V,MATCH($A11,Base!$A:$A,0)),0)))</f>
        <v>6.593</v>
      </c>
      <c r="L11" s="21">
        <f>IF(L$1&lt;INDEX('Valo FX'!$Q:$Q,MATCH($A11,'Valo FX'!$A:$A,0)),0,IF(L$1&lt;INDEX('Valo FX'!$R:$R,MATCH($A11,'Valo FX'!$A:$A,0)),INDEX(Base!$U:$U,MATCH($A11,Base!$A:$A,0)),IF(L$1=INDEX('Valo FX'!$R:$R,MATCH($A11,'Valo FX'!$A:$A,0)),INDEX(Base!$V:$V,MATCH($A11,Base!$A:$A,0)),0)))</f>
        <v>6.593</v>
      </c>
      <c r="M11" s="21">
        <f>IF(M$1&lt;INDEX('Valo FX'!$Q:$Q,MATCH($A11,'Valo FX'!$A:$A,0)),0,IF(M$1&lt;INDEX('Valo FX'!$R:$R,MATCH($A11,'Valo FX'!$A:$A,0)),INDEX(Base!$U:$U,MATCH($A11,Base!$A:$A,0)),IF(M$1=INDEX('Valo FX'!$R:$R,MATCH($A11,'Valo FX'!$A:$A,0)),INDEX(Base!$V:$V,MATCH($A11,Base!$A:$A,0)),0)))</f>
        <v>6.593</v>
      </c>
      <c r="N11" s="21">
        <f>IF(N$1&lt;INDEX('Valo FX'!$Q:$Q,MATCH($A11,'Valo FX'!$A:$A,0)),0,IF(N$1&lt;INDEX('Valo FX'!$R:$R,MATCH($A11,'Valo FX'!$A:$A,0)),INDEX(Base!$U:$U,MATCH($A11,Base!$A:$A,0)),IF(N$1=INDEX('Valo FX'!$R:$R,MATCH($A11,'Valo FX'!$A:$A,0)),INDEX(Base!$V:$V,MATCH($A11,Base!$A:$A,0)),0)))</f>
        <v>6.593</v>
      </c>
      <c r="O11" s="21">
        <f>IF(O$1&lt;INDEX('Valo FX'!$Q:$Q,MATCH($A11,'Valo FX'!$A:$A,0)),0,IF(O$1&lt;INDEX('Valo FX'!$R:$R,MATCH($A11,'Valo FX'!$A:$A,0)),INDEX(Base!$U:$U,MATCH($A11,Base!$A:$A,0)),IF(O$1=INDEX('Valo FX'!$R:$R,MATCH($A11,'Valo FX'!$A:$A,0)),INDEX(Base!$V:$V,MATCH($A11,Base!$A:$A,0)),0)))</f>
        <v>6.593</v>
      </c>
      <c r="P11" s="21">
        <f>IF(P$1&lt;INDEX('Valo FX'!$Q:$Q,MATCH($A11,'Valo FX'!$A:$A,0)),0,IF(P$1&lt;INDEX('Valo FX'!$R:$R,MATCH($A11,'Valo FX'!$A:$A,0)),INDEX(Base!$U:$U,MATCH($A11,Base!$A:$A,0)),IF(P$1=INDEX('Valo FX'!$R:$R,MATCH($A11,'Valo FX'!$A:$A,0)),INDEX(Base!$V:$V,MATCH($A11,Base!$A:$A,0)),0)))</f>
        <v>6.593</v>
      </c>
      <c r="Q11" s="21">
        <f>IF(Q$1&lt;INDEX('Valo FX'!$Q:$Q,MATCH($A11,'Valo FX'!$A:$A,0)),0,IF(Q$1&lt;INDEX('Valo FX'!$R:$R,MATCH($A11,'Valo FX'!$A:$A,0)),INDEX(Base!$U:$U,MATCH($A11,Base!$A:$A,0)),IF(Q$1=INDEX('Valo FX'!$R:$R,MATCH($A11,'Valo FX'!$A:$A,0)),INDEX(Base!$V:$V,MATCH($A11,Base!$A:$A,0)),0)))</f>
        <v>6.593</v>
      </c>
      <c r="R11" s="21">
        <f>IF(R$1&lt;INDEX('Valo FX'!$Q:$Q,MATCH($A11,'Valo FX'!$A:$A,0)),0,IF(R$1&lt;INDEX('Valo FX'!$R:$R,MATCH($A11,'Valo FX'!$A:$A,0)),INDEX(Base!$U:$U,MATCH($A11,Base!$A:$A,0)),IF(R$1=INDEX('Valo FX'!$R:$R,MATCH($A11,'Valo FX'!$A:$A,0)),INDEX(Base!$V:$V,MATCH($A11,Base!$A:$A,0)),0)))</f>
        <v>6.593</v>
      </c>
      <c r="S11" s="21">
        <f>IF(S$1&lt;INDEX('Valo FX'!$Q:$Q,MATCH($A11,'Valo FX'!$A:$A,0)),0,IF(S$1&lt;INDEX('Valo FX'!$R:$R,MATCH($A11,'Valo FX'!$A:$A,0)),INDEX(Base!$U:$U,MATCH($A11,Base!$A:$A,0)),IF(S$1=INDEX('Valo FX'!$R:$R,MATCH($A11,'Valo FX'!$A:$A,0)),INDEX(Base!$V:$V,MATCH($A11,Base!$A:$A,0)),0)))</f>
        <v>6.593</v>
      </c>
      <c r="T11" s="21">
        <f>IF(T$1&lt;INDEX('Valo FX'!$Q:$Q,MATCH($A11,'Valo FX'!$A:$A,0)),0,IF(T$1&lt;INDEX('Valo FX'!$R:$R,MATCH($A11,'Valo FX'!$A:$A,0)),INDEX(Base!$U:$U,MATCH($A11,Base!$A:$A,0)),IF(T$1=INDEX('Valo FX'!$R:$R,MATCH($A11,'Valo FX'!$A:$A,0)),INDEX(Base!$V:$V,MATCH($A11,Base!$A:$A,0)),0)))</f>
        <v>6.593</v>
      </c>
      <c r="U11" s="21">
        <f>IF(U$1&lt;INDEX('Valo FX'!$Q:$Q,MATCH($A11,'Valo FX'!$A:$A,0)),0,IF(U$1&lt;INDEX('Valo FX'!$R:$R,MATCH($A11,'Valo FX'!$A:$A,0)),INDEX(Base!$U:$U,MATCH($A11,Base!$A:$A,0)),IF(U$1=INDEX('Valo FX'!$R:$R,MATCH($A11,'Valo FX'!$A:$A,0)),INDEX(Base!$V:$V,MATCH($A11,Base!$A:$A,0)),0)))</f>
        <v>6.593</v>
      </c>
      <c r="V11" s="21">
        <f>IF(V$1&lt;INDEX('Valo FX'!$Q:$Q,MATCH($A11,'Valo FX'!$A:$A,0)),0,IF(V$1&lt;INDEX('Valo FX'!$R:$R,MATCH($A11,'Valo FX'!$A:$A,0)),INDEX(Base!$U:$U,MATCH($A11,Base!$A:$A,0)),IF(V$1=INDEX('Valo FX'!$R:$R,MATCH($A11,'Valo FX'!$A:$A,0)),INDEX(Base!$V:$V,MATCH($A11,Base!$A:$A,0)),0)))</f>
        <v>6.593</v>
      </c>
      <c r="W11" s="21">
        <f>IF(W$1&lt;INDEX('Valo FX'!$Q:$Q,MATCH($A11,'Valo FX'!$A:$A,0)),0,IF(W$1&lt;INDEX('Valo FX'!$R:$R,MATCH($A11,'Valo FX'!$A:$A,0)),INDEX(Base!$U:$U,MATCH($A11,Base!$A:$A,0)),IF(W$1=INDEX('Valo FX'!$R:$R,MATCH($A11,'Valo FX'!$A:$A,0)),INDEX(Base!$V:$V,MATCH($A11,Base!$A:$A,0)),0)))</f>
        <v>6.593</v>
      </c>
      <c r="X11" s="21">
        <f>IF(X$1&lt;INDEX('Valo FX'!$Q:$Q,MATCH($A11,'Valo FX'!$A:$A,0)),0,IF(X$1&lt;INDEX('Valo FX'!$R:$R,MATCH($A11,'Valo FX'!$A:$A,0)),INDEX(Base!$U:$U,MATCH($A11,Base!$A:$A,0)),IF(X$1=INDEX('Valo FX'!$R:$R,MATCH($A11,'Valo FX'!$A:$A,0)),INDEX(Base!$V:$V,MATCH($A11,Base!$A:$A,0)),0)))</f>
        <v>6.593</v>
      </c>
      <c r="Y11" s="21">
        <f>IF(Y$1&lt;INDEX('Valo FX'!$Q:$Q,MATCH($A11,'Valo FX'!$A:$A,0)),0,IF(Y$1&lt;INDEX('Valo FX'!$R:$R,MATCH($A11,'Valo FX'!$A:$A,0)),INDEX(Base!$U:$U,MATCH($A11,Base!$A:$A,0)),IF(Y$1=INDEX('Valo FX'!$R:$R,MATCH($A11,'Valo FX'!$A:$A,0)),INDEX(Base!$V:$V,MATCH($A11,Base!$A:$A,0)),0)))</f>
        <v>6.593</v>
      </c>
      <c r="Z11" s="21">
        <f>IF(Z$1&lt;INDEX('Valo FX'!$Q:$Q,MATCH($A11,'Valo FX'!$A:$A,0)),0,IF(Z$1&lt;INDEX('Valo FX'!$R:$R,MATCH($A11,'Valo FX'!$A:$A,0)),INDEX(Base!$U:$U,MATCH($A11,Base!$A:$A,0)),IF(Z$1=INDEX('Valo FX'!$R:$R,MATCH($A11,'Valo FX'!$A:$A,0)),INDEX(Base!$V:$V,MATCH($A11,Base!$A:$A,0)),0)))</f>
        <v>6.593</v>
      </c>
      <c r="AA11" s="21">
        <f>IF(AA$1&lt;INDEX('Valo FX'!$Q:$Q,MATCH($A11,'Valo FX'!$A:$A,0)),0,IF(AA$1&lt;INDEX('Valo FX'!$R:$R,MATCH($A11,'Valo FX'!$A:$A,0)),INDEX(Base!$U:$U,MATCH($A11,Base!$A:$A,0)),IF(AA$1=INDEX('Valo FX'!$R:$R,MATCH($A11,'Valo FX'!$A:$A,0)),INDEX(Base!$V:$V,MATCH($A11,Base!$A:$A,0)),0)))</f>
        <v>6.593</v>
      </c>
      <c r="AB11" s="21">
        <f>IF(AB$1&lt;INDEX('Valo FX'!$Q:$Q,MATCH($A11,'Valo FX'!$A:$A,0)),0,IF(AB$1&lt;INDEX('Valo FX'!$R:$R,MATCH($A11,'Valo FX'!$A:$A,0)),INDEX(Base!$U:$U,MATCH($A11,Base!$A:$A,0)),IF(AB$1=INDEX('Valo FX'!$R:$R,MATCH($A11,'Valo FX'!$A:$A,0)),INDEX(Base!$V:$V,MATCH($A11,Base!$A:$A,0)),0)))</f>
        <v>6.593</v>
      </c>
      <c r="AC11" s="21">
        <f>IF(AC$1&lt;INDEX('Valo FX'!$Q:$Q,MATCH($A11,'Valo FX'!$A:$A,0)),0,IF(AC$1&lt;INDEX('Valo FX'!$R:$R,MATCH($A11,'Valo FX'!$A:$A,0)),INDEX(Base!$U:$U,MATCH($A11,Base!$A:$A,0)),IF(AC$1=INDEX('Valo FX'!$R:$R,MATCH($A11,'Valo FX'!$A:$A,0)),INDEX(Base!$V:$V,MATCH($A11,Base!$A:$A,0)),0)))</f>
        <v>6.593</v>
      </c>
      <c r="AD11" s="21">
        <f>IF(AD$1&lt;INDEX('Valo FX'!$Q:$Q,MATCH($A11,'Valo FX'!$A:$A,0)),0,IF(AD$1&lt;INDEX('Valo FX'!$R:$R,MATCH($A11,'Valo FX'!$A:$A,0)),INDEX(Base!$U:$U,MATCH($A11,Base!$A:$A,0)),IF(AD$1=INDEX('Valo FX'!$R:$R,MATCH($A11,'Valo FX'!$A:$A,0)),INDEX(Base!$V:$V,MATCH($A11,Base!$A:$A,0)),0)))</f>
        <v>6.593</v>
      </c>
      <c r="AE11" s="21">
        <f>IF(AE$1&lt;INDEX('Valo FX'!$Q:$Q,MATCH($A11,'Valo FX'!$A:$A,0)),0,IF(AE$1&lt;INDEX('Valo FX'!$R:$R,MATCH($A11,'Valo FX'!$A:$A,0)),INDEX(Base!$U:$U,MATCH($A11,Base!$A:$A,0)),IF(AE$1=INDEX('Valo FX'!$R:$R,MATCH($A11,'Valo FX'!$A:$A,0)),INDEX(Base!$V:$V,MATCH($A11,Base!$A:$A,0)),0)))</f>
        <v>6.593</v>
      </c>
      <c r="AF11" s="21">
        <f>IF(AF$1&lt;INDEX('Valo FX'!$Q:$Q,MATCH($A11,'Valo FX'!$A:$A,0)),0,IF(AF$1&lt;INDEX('Valo FX'!$R:$R,MATCH($A11,'Valo FX'!$A:$A,0)),INDEX(Base!$U:$U,MATCH($A11,Base!$A:$A,0)),IF(AF$1=INDEX('Valo FX'!$R:$R,MATCH($A11,'Valo FX'!$A:$A,0)),INDEX(Base!$V:$V,MATCH($A11,Base!$A:$A,0)),0)))</f>
        <v>6.593</v>
      </c>
      <c r="AG11" s="21">
        <f>IF(AG$1&lt;INDEX('Valo FX'!$Q:$Q,MATCH($A11,'Valo FX'!$A:$A,0)),0,IF(AG$1&lt;INDEX('Valo FX'!$R:$R,MATCH($A11,'Valo FX'!$A:$A,0)),INDEX(Base!$U:$U,MATCH($A11,Base!$A:$A,0)),IF(AG$1=INDEX('Valo FX'!$R:$R,MATCH($A11,'Valo FX'!$A:$A,0)),INDEX(Base!$V:$V,MATCH($A11,Base!$A:$A,0)),0)))</f>
        <v>6.593</v>
      </c>
      <c r="AH11" s="21">
        <f>IF(AH$1&lt;INDEX('Valo FX'!$Q:$Q,MATCH($A11,'Valo FX'!$A:$A,0)),0,IF(AH$1&lt;INDEX('Valo FX'!$R:$R,MATCH($A11,'Valo FX'!$A:$A,0)),INDEX(Base!$U:$U,MATCH($A11,Base!$A:$A,0)),IF(AH$1=INDEX('Valo FX'!$R:$R,MATCH($A11,'Valo FX'!$A:$A,0)),INDEX(Base!$V:$V,MATCH($A11,Base!$A:$A,0)),0)))</f>
        <v>6.593</v>
      </c>
      <c r="AI11" s="21">
        <f>IF(AI$1&lt;INDEX('Valo FX'!$Q:$Q,MATCH($A11,'Valo FX'!$A:$A,0)),0,IF(AI$1&lt;INDEX('Valo FX'!$R:$R,MATCH($A11,'Valo FX'!$A:$A,0)),INDEX(Base!$U:$U,MATCH($A11,Base!$A:$A,0)),IF(AI$1=INDEX('Valo FX'!$R:$R,MATCH($A11,'Valo FX'!$A:$A,0)),INDEX(Base!$V:$V,MATCH($A11,Base!$A:$A,0)),0)))</f>
        <v>6.593</v>
      </c>
      <c r="AJ11" s="21">
        <f>IF(AJ$1&lt;INDEX('Valo FX'!$Q:$Q,MATCH($A11,'Valo FX'!$A:$A,0)),0,IF(AJ$1&lt;INDEX('Valo FX'!$R:$R,MATCH($A11,'Valo FX'!$A:$A,0)),INDEX(Base!$U:$U,MATCH($A11,Base!$A:$A,0)),IF(AJ$1=INDEX('Valo FX'!$R:$R,MATCH($A11,'Valo FX'!$A:$A,0)),INDEX(Base!$V:$V,MATCH($A11,Base!$A:$A,0)),0)))</f>
        <v>6.593</v>
      </c>
      <c r="AK11" s="21">
        <f>IF(AK$1&lt;INDEX('Valo FX'!$Q:$Q,MATCH($A11,'Valo FX'!$A:$A,0)),0,IF(AK$1&lt;INDEX('Valo FX'!$R:$R,MATCH($A11,'Valo FX'!$A:$A,0)),INDEX(Base!$U:$U,MATCH($A11,Base!$A:$A,0)),IF(AK$1=INDEX('Valo FX'!$R:$R,MATCH($A11,'Valo FX'!$A:$A,0)),INDEX(Base!$V:$V,MATCH($A11,Base!$A:$A,0)),0)))</f>
        <v>6.593</v>
      </c>
      <c r="AL11" s="21">
        <f>IF(AL$1&lt;INDEX('Valo FX'!$Q:$Q,MATCH($A11,'Valo FX'!$A:$A,0)),0,IF(AL$1&lt;INDEX('Valo FX'!$R:$R,MATCH($A11,'Valo FX'!$A:$A,0)),INDEX(Base!$U:$U,MATCH($A11,Base!$A:$A,0)),IF(AL$1=INDEX('Valo FX'!$R:$R,MATCH($A11,'Valo FX'!$A:$A,0)),INDEX(Base!$V:$V,MATCH($A11,Base!$A:$A,0)),0)))</f>
        <v>6.593</v>
      </c>
      <c r="AM11" s="21">
        <f>IF(AM$1&lt;INDEX('Valo FX'!$Q:$Q,MATCH($A11,'Valo FX'!$A:$A,0)),0,IF(AM$1&lt;INDEX('Valo FX'!$R:$R,MATCH($A11,'Valo FX'!$A:$A,0)),INDEX(Base!$U:$U,MATCH($A11,Base!$A:$A,0)),IF(AM$1=INDEX('Valo FX'!$R:$R,MATCH($A11,'Valo FX'!$A:$A,0)),INDEX(Base!$V:$V,MATCH($A11,Base!$A:$A,0)),0)))</f>
        <v>6.593</v>
      </c>
      <c r="AN11" s="21">
        <f>IF(AN$1&lt;INDEX('Valo FX'!$Q:$Q,MATCH($A11,'Valo FX'!$A:$A,0)),0,IF(AN$1&lt;INDEX('Valo FX'!$R:$R,MATCH($A11,'Valo FX'!$A:$A,0)),INDEX(Base!$U:$U,MATCH($A11,Base!$A:$A,0)),IF(AN$1=INDEX('Valo FX'!$R:$R,MATCH($A11,'Valo FX'!$A:$A,0)),INDEX(Base!$V:$V,MATCH($A11,Base!$A:$A,0)),0)))</f>
        <v>6.593</v>
      </c>
      <c r="AO11" s="21">
        <f>IF(AO$1&lt;INDEX('Valo FX'!$Q:$Q,MATCH($A11,'Valo FX'!$A:$A,0)),0,IF(AO$1&lt;INDEX('Valo FX'!$R:$R,MATCH($A11,'Valo FX'!$A:$A,0)),INDEX(Base!$U:$U,MATCH($A11,Base!$A:$A,0)),IF(AO$1=INDEX('Valo FX'!$R:$R,MATCH($A11,'Valo FX'!$A:$A,0)),INDEX(Base!$V:$V,MATCH($A11,Base!$A:$A,0)),0)))</f>
        <v>6.593</v>
      </c>
      <c r="AP11" s="21">
        <f>IF(AP$1&lt;INDEX('Valo FX'!$Q:$Q,MATCH($A11,'Valo FX'!$A:$A,0)),0,IF(AP$1&lt;INDEX('Valo FX'!$R:$R,MATCH($A11,'Valo FX'!$A:$A,0)),INDEX(Base!$U:$U,MATCH($A11,Base!$A:$A,0)),IF(AP$1=INDEX('Valo FX'!$R:$R,MATCH($A11,'Valo FX'!$A:$A,0)),INDEX(Base!$V:$V,MATCH($A11,Base!$A:$A,0)),0)))</f>
        <v>6.593</v>
      </c>
      <c r="AQ11" s="21">
        <f>IF(AQ$1&lt;INDEX('Valo FX'!$Q:$Q,MATCH($A11,'Valo FX'!$A:$A,0)),0,IF(AQ$1&lt;INDEX('Valo FX'!$R:$R,MATCH($A11,'Valo FX'!$A:$A,0)),INDEX(Base!$U:$U,MATCH($A11,Base!$A:$A,0)),IF(AQ$1=INDEX('Valo FX'!$R:$R,MATCH($A11,'Valo FX'!$A:$A,0)),INDEX(Base!$V:$V,MATCH($A11,Base!$A:$A,0)),0)))</f>
        <v>6.593</v>
      </c>
      <c r="AR11" s="21">
        <f>IF(AR$1&lt;INDEX('Valo FX'!$Q:$Q,MATCH($A11,'Valo FX'!$A:$A,0)),0,IF(AR$1&lt;INDEX('Valo FX'!$R:$R,MATCH($A11,'Valo FX'!$A:$A,0)),INDEX(Base!$U:$U,MATCH($A11,Base!$A:$A,0)),IF(AR$1=INDEX('Valo FX'!$R:$R,MATCH($A11,'Valo FX'!$A:$A,0)),INDEX(Base!$V:$V,MATCH($A11,Base!$A:$A,0)),0)))</f>
        <v>6.593</v>
      </c>
      <c r="AS11" s="21">
        <f>IF(AS$1&lt;INDEX('Valo FX'!$Q:$Q,MATCH($A11,'Valo FX'!$A:$A,0)),0,IF(AS$1&lt;INDEX('Valo FX'!$R:$R,MATCH($A11,'Valo FX'!$A:$A,0)),INDEX(Base!$U:$U,MATCH($A11,Base!$A:$A,0)),IF(AS$1=INDEX('Valo FX'!$R:$R,MATCH($A11,'Valo FX'!$A:$A,0)),INDEX(Base!$V:$V,MATCH($A11,Base!$A:$A,0)),0)))</f>
        <v>6.593</v>
      </c>
      <c r="AT11" s="21">
        <f>IF(AT$1&lt;INDEX('Valo FX'!$Q:$Q,MATCH($A11,'Valo FX'!$A:$A,0)),0,IF(AT$1&lt;INDEX('Valo FX'!$R:$R,MATCH($A11,'Valo FX'!$A:$A,0)),INDEX(Base!$U:$U,MATCH($A11,Base!$A:$A,0)),IF(AT$1=INDEX('Valo FX'!$R:$R,MATCH($A11,'Valo FX'!$A:$A,0)),INDEX(Base!$V:$V,MATCH($A11,Base!$A:$A,0)),0)))</f>
        <v>6.593</v>
      </c>
      <c r="AU11" s="21">
        <f>IF(AU$1&lt;INDEX('Valo FX'!$Q:$Q,MATCH($A11,'Valo FX'!$A:$A,0)),0,IF(AU$1&lt;INDEX('Valo FX'!$R:$R,MATCH($A11,'Valo FX'!$A:$A,0)),INDEX(Base!$U:$U,MATCH($A11,Base!$A:$A,0)),IF(AU$1=INDEX('Valo FX'!$R:$R,MATCH($A11,'Valo FX'!$A:$A,0)),INDEX(Base!$V:$V,MATCH($A11,Base!$A:$A,0)),0)))</f>
        <v>6.593</v>
      </c>
      <c r="AV11" s="21">
        <f>IF(AV$1&lt;INDEX('Valo FX'!$Q:$Q,MATCH($A11,'Valo FX'!$A:$A,0)),0,IF(AV$1&lt;INDEX('Valo FX'!$R:$R,MATCH($A11,'Valo FX'!$A:$A,0)),INDEX(Base!$U:$U,MATCH($A11,Base!$A:$A,0)),IF(AV$1=INDEX('Valo FX'!$R:$R,MATCH($A11,'Valo FX'!$A:$A,0)),INDEX(Base!$V:$V,MATCH($A11,Base!$A:$A,0)),0)))</f>
        <v>6.593</v>
      </c>
      <c r="AW11" s="21">
        <f>IF(AW$1&lt;INDEX('Valo FX'!$Q:$Q,MATCH($A11,'Valo FX'!$A:$A,0)),0,IF(AW$1&lt;INDEX('Valo FX'!$R:$R,MATCH($A11,'Valo FX'!$A:$A,0)),INDEX(Base!$U:$U,MATCH($A11,Base!$A:$A,0)),IF(AW$1=INDEX('Valo FX'!$R:$R,MATCH($A11,'Valo FX'!$A:$A,0)),INDEX(Base!$V:$V,MATCH($A11,Base!$A:$A,0)),0)))</f>
        <v>6.593</v>
      </c>
      <c r="AX11" s="21">
        <f>IF(AX$1&lt;INDEX('Valo FX'!$Q:$Q,MATCH($A11,'Valo FX'!$A:$A,0)),0,IF(AX$1&lt;INDEX('Valo FX'!$R:$R,MATCH($A11,'Valo FX'!$A:$A,0)),INDEX(Base!$U:$U,MATCH($A11,Base!$A:$A,0)),IF(AX$1=INDEX('Valo FX'!$R:$R,MATCH($A11,'Valo FX'!$A:$A,0)),INDEX(Base!$V:$V,MATCH($A11,Base!$A:$A,0)),0)))</f>
        <v>6.593</v>
      </c>
      <c r="AY11" s="21">
        <f>IF(AY$1&lt;INDEX('Valo FX'!$Q:$Q,MATCH($A11,'Valo FX'!$A:$A,0)),0,IF(AY$1&lt;INDEX('Valo FX'!$R:$R,MATCH($A11,'Valo FX'!$A:$A,0)),INDEX(Base!$U:$U,MATCH($A11,Base!$A:$A,0)),IF(AY$1=INDEX('Valo FX'!$R:$R,MATCH($A11,'Valo FX'!$A:$A,0)),INDEX(Base!$V:$V,MATCH($A11,Base!$A:$A,0)),0)))</f>
        <v>6.593</v>
      </c>
      <c r="AZ11" s="21">
        <f>IF(AZ$1&lt;INDEX('Valo FX'!$Q:$Q,MATCH($A11,'Valo FX'!$A:$A,0)),0,IF(AZ$1&lt;INDEX('Valo FX'!$R:$R,MATCH($A11,'Valo FX'!$A:$A,0)),INDEX(Base!$U:$U,MATCH($A11,Base!$A:$A,0)),IF(AZ$1=INDEX('Valo FX'!$R:$R,MATCH($A11,'Valo FX'!$A:$A,0)),INDEX(Base!$V:$V,MATCH($A11,Base!$A:$A,0)),0)))</f>
        <v>6.593</v>
      </c>
      <c r="BA11" s="21">
        <f>IF(BA$1&lt;INDEX('Valo FX'!$Q:$Q,MATCH($A11,'Valo FX'!$A:$A,0)),0,IF(BA$1&lt;INDEX('Valo FX'!$R:$R,MATCH($A11,'Valo FX'!$A:$A,0)),INDEX(Base!$U:$U,MATCH($A11,Base!$A:$A,0)),IF(BA$1=INDEX('Valo FX'!$R:$R,MATCH($A11,'Valo FX'!$A:$A,0)),INDEX(Base!$V:$V,MATCH($A11,Base!$A:$A,0)),0)))</f>
        <v>6.593</v>
      </c>
      <c r="BB11" s="21">
        <f>IF(BB$1&lt;INDEX('Valo FX'!$Q:$Q,MATCH($A11,'Valo FX'!$A:$A,0)),0,IF(BB$1&lt;INDEX('Valo FX'!$R:$R,MATCH($A11,'Valo FX'!$A:$A,0)),INDEX(Base!$U:$U,MATCH($A11,Base!$A:$A,0)),IF(BB$1=INDEX('Valo FX'!$R:$R,MATCH($A11,'Valo FX'!$A:$A,0)),INDEX(Base!$V:$V,MATCH($A11,Base!$A:$A,0)),0)))</f>
        <v>6.593</v>
      </c>
      <c r="BC11" s="21">
        <f>IF(BC$1&lt;INDEX('Valo FX'!$Q:$Q,MATCH($A11,'Valo FX'!$A:$A,0)),0,IF(BC$1&lt;INDEX('Valo FX'!$R:$R,MATCH($A11,'Valo FX'!$A:$A,0)),INDEX(Base!$U:$U,MATCH($A11,Base!$A:$A,0)),IF(BC$1=INDEX('Valo FX'!$R:$R,MATCH($A11,'Valo FX'!$A:$A,0)),INDEX(Base!$V:$V,MATCH($A11,Base!$A:$A,0)),0)))</f>
        <v>6.593</v>
      </c>
      <c r="BD11" s="21">
        <f>IF(BD$1&lt;INDEX('Valo FX'!$Q:$Q,MATCH($A11,'Valo FX'!$A:$A,0)),0,IF(BD$1&lt;INDEX('Valo FX'!$R:$R,MATCH($A11,'Valo FX'!$A:$A,0)),INDEX(Base!$U:$U,MATCH($A11,Base!$A:$A,0)),IF(BD$1=INDEX('Valo FX'!$R:$R,MATCH($A11,'Valo FX'!$A:$A,0)),INDEX(Base!$V:$V,MATCH($A11,Base!$A:$A,0)),0)))</f>
        <v>6.593</v>
      </c>
      <c r="BE11" s="21">
        <f>IF(BE$1&lt;INDEX('Valo FX'!$Q:$Q,MATCH($A11,'Valo FX'!$A:$A,0)),0,IF(BE$1&lt;INDEX('Valo FX'!$R:$R,MATCH($A11,'Valo FX'!$A:$A,0)),INDEX(Base!$U:$U,MATCH($A11,Base!$A:$A,0)),IF(BE$1=INDEX('Valo FX'!$R:$R,MATCH($A11,'Valo FX'!$A:$A,0)),INDEX(Base!$V:$V,MATCH($A11,Base!$A:$A,0)),0)))</f>
        <v>6.593</v>
      </c>
      <c r="BF11" s="21">
        <f>IF(BF$1&lt;INDEX('Valo FX'!$Q:$Q,MATCH($A11,'Valo FX'!$A:$A,0)),0,IF(BF$1&lt;INDEX('Valo FX'!$R:$R,MATCH($A11,'Valo FX'!$A:$A,0)),INDEX(Base!$U:$U,MATCH($A11,Base!$A:$A,0)),IF(BF$1=INDEX('Valo FX'!$R:$R,MATCH($A11,'Valo FX'!$A:$A,0)),INDEX(Base!$V:$V,MATCH($A11,Base!$A:$A,0)),0)))</f>
        <v>6.593</v>
      </c>
      <c r="BG11" s="21">
        <f>IF(BG$1&lt;INDEX('Valo FX'!$Q:$Q,MATCH($A11,'Valo FX'!$A:$A,0)),0,IF(BG$1&lt;INDEX('Valo FX'!$R:$R,MATCH($A11,'Valo FX'!$A:$A,0)),INDEX(Base!$U:$U,MATCH($A11,Base!$A:$A,0)),IF(BG$1=INDEX('Valo FX'!$R:$R,MATCH($A11,'Valo FX'!$A:$A,0)),INDEX(Base!$V:$V,MATCH($A11,Base!$A:$A,0)),0)))</f>
        <v>6.593</v>
      </c>
      <c r="BH11" s="21">
        <f>IF(BH$1&lt;INDEX('Valo FX'!$Q:$Q,MATCH($A11,'Valo FX'!$A:$A,0)),0,IF(BH$1&lt;INDEX('Valo FX'!$R:$R,MATCH($A11,'Valo FX'!$A:$A,0)),INDEX(Base!$U:$U,MATCH($A11,Base!$A:$A,0)),IF(BH$1=INDEX('Valo FX'!$R:$R,MATCH($A11,'Valo FX'!$A:$A,0)),INDEX(Base!$V:$V,MATCH($A11,Base!$A:$A,0)),0)))</f>
        <v>6.593</v>
      </c>
      <c r="BI11" s="21">
        <f>IF(BI$1&lt;INDEX('Valo FX'!$Q:$Q,MATCH($A11,'Valo FX'!$A:$A,0)),0,IF(BI$1&lt;INDEX('Valo FX'!$R:$R,MATCH($A11,'Valo FX'!$A:$A,0)),INDEX(Base!$U:$U,MATCH($A11,Base!$A:$A,0)),IF(BI$1=INDEX('Valo FX'!$R:$R,MATCH($A11,'Valo FX'!$A:$A,0)),INDEX(Base!$V:$V,MATCH($A11,Base!$A:$A,0)),0)))</f>
        <v>6.593</v>
      </c>
      <c r="BJ11" s="21">
        <f>IF(BJ$1&lt;INDEX('Valo FX'!$Q:$Q,MATCH($A11,'Valo FX'!$A:$A,0)),0,IF(BJ$1&lt;INDEX('Valo FX'!$R:$R,MATCH($A11,'Valo FX'!$A:$A,0)),INDEX(Base!$U:$U,MATCH($A11,Base!$A:$A,0)),IF(BJ$1=INDEX('Valo FX'!$R:$R,MATCH($A11,'Valo FX'!$A:$A,0)),INDEX(Base!$V:$V,MATCH($A11,Base!$A:$A,0)),0)))</f>
        <v>6.593</v>
      </c>
      <c r="BK11" s="21">
        <f>IF(BK$1&lt;INDEX('Valo FX'!$Q:$Q,MATCH($A11,'Valo FX'!$A:$A,0)),0,IF(BK$1&lt;INDEX('Valo FX'!$R:$R,MATCH($A11,'Valo FX'!$A:$A,0)),INDEX(Base!$U:$U,MATCH($A11,Base!$A:$A,0)),IF(BK$1=INDEX('Valo FX'!$R:$R,MATCH($A11,'Valo FX'!$A:$A,0)),INDEX(Base!$V:$V,MATCH($A11,Base!$A:$A,0)),0)))</f>
        <v>6.593</v>
      </c>
      <c r="BL11" s="21">
        <f>IF(BL$1&lt;INDEX('Valo FX'!$Q:$Q,MATCH($A11,'Valo FX'!$A:$A,0)),0,IF(BL$1&lt;INDEX('Valo FX'!$R:$R,MATCH($A11,'Valo FX'!$A:$A,0)),INDEX(Base!$U:$U,MATCH($A11,Base!$A:$A,0)),IF(BL$1=INDEX('Valo FX'!$R:$R,MATCH($A11,'Valo FX'!$A:$A,0)),INDEX(Base!$V:$V,MATCH($A11,Base!$A:$A,0)),0)))</f>
        <v>6.593</v>
      </c>
      <c r="BM11" s="21">
        <f>IF(BM$1&lt;INDEX('Valo FX'!$Q:$Q,MATCH($A11,'Valo FX'!$A:$A,0)),0,IF(BM$1&lt;INDEX('Valo FX'!$R:$R,MATCH($A11,'Valo FX'!$A:$A,0)),INDEX(Base!$U:$U,MATCH($A11,Base!$A:$A,0)),IF(BM$1=INDEX('Valo FX'!$R:$R,MATCH($A11,'Valo FX'!$A:$A,0)),INDEX(Base!$V:$V,MATCH($A11,Base!$A:$A,0)),0)))</f>
        <v>6.593</v>
      </c>
      <c r="BN11" s="21">
        <f>IF(BN$1&lt;INDEX('Valo FX'!$Q:$Q,MATCH($A11,'Valo FX'!$A:$A,0)),0,IF(BN$1&lt;INDEX('Valo FX'!$R:$R,MATCH($A11,'Valo FX'!$A:$A,0)),INDEX(Base!$U:$U,MATCH($A11,Base!$A:$A,0)),IF(BN$1=INDEX('Valo FX'!$R:$R,MATCH($A11,'Valo FX'!$A:$A,0)),INDEX(Base!$V:$V,MATCH($A11,Base!$A:$A,0)),0)))</f>
        <v>6.593</v>
      </c>
      <c r="BO11" s="21">
        <f>IF(BO$1&lt;INDEX('Valo FX'!$Q:$Q,MATCH($A11,'Valo FX'!$A:$A,0)),0,IF(BO$1&lt;INDEX('Valo FX'!$R:$R,MATCH($A11,'Valo FX'!$A:$A,0)),INDEX(Base!$U:$U,MATCH($A11,Base!$A:$A,0)),IF(BO$1=INDEX('Valo FX'!$R:$R,MATCH($A11,'Valo FX'!$A:$A,0)),INDEX(Base!$V:$V,MATCH($A11,Base!$A:$A,0)),0)))</f>
        <v>6.593</v>
      </c>
      <c r="BP11" s="21">
        <f>IF(BP$1&lt;INDEX('Valo FX'!$Q:$Q,MATCH($A11,'Valo FX'!$A:$A,0)),0,IF(BP$1&lt;INDEX('Valo FX'!$R:$R,MATCH($A11,'Valo FX'!$A:$A,0)),INDEX(Base!$U:$U,MATCH($A11,Base!$A:$A,0)),IF(BP$1=INDEX('Valo FX'!$R:$R,MATCH($A11,'Valo FX'!$A:$A,0)),INDEX(Base!$V:$V,MATCH($A11,Base!$A:$A,0)),0)))</f>
        <v>6.593</v>
      </c>
      <c r="BQ11" s="21">
        <f>IF(BQ$1&lt;INDEX('Valo FX'!$Q:$Q,MATCH($A11,'Valo FX'!$A:$A,0)),0,IF(BQ$1&lt;INDEX('Valo FX'!$R:$R,MATCH($A11,'Valo FX'!$A:$A,0)),INDEX(Base!$U:$U,MATCH($A11,Base!$A:$A,0)),IF(BQ$1=INDEX('Valo FX'!$R:$R,MATCH($A11,'Valo FX'!$A:$A,0)),INDEX(Base!$V:$V,MATCH($A11,Base!$A:$A,0)),0)))</f>
        <v>6.593</v>
      </c>
      <c r="BR11" s="21">
        <f>IF(BR$1&lt;INDEX('Valo FX'!$Q:$Q,MATCH($A11,'Valo FX'!$A:$A,0)),0,IF(BR$1&lt;INDEX('Valo FX'!$R:$R,MATCH($A11,'Valo FX'!$A:$A,0)),INDEX(Base!$U:$U,MATCH($A11,Base!$A:$A,0)),IF(BR$1=INDEX('Valo FX'!$R:$R,MATCH($A11,'Valo FX'!$A:$A,0)),INDEX(Base!$V:$V,MATCH($A11,Base!$A:$A,0)),0)))</f>
        <v>6.593</v>
      </c>
      <c r="BS11" s="21">
        <f>IF(BS$1&lt;INDEX('Valo FX'!$Q:$Q,MATCH($A11,'Valo FX'!$A:$A,0)),0,IF(BS$1&lt;INDEX('Valo FX'!$R:$R,MATCH($A11,'Valo FX'!$A:$A,0)),INDEX(Base!$U:$U,MATCH($A11,Base!$A:$A,0)),IF(BS$1=INDEX('Valo FX'!$R:$R,MATCH($A11,'Valo FX'!$A:$A,0)),INDEX(Base!$V:$V,MATCH($A11,Base!$A:$A,0)),0)))</f>
        <v>6.593</v>
      </c>
      <c r="BT11" s="21">
        <f>IF(BT$1&lt;INDEX('Valo FX'!$Q:$Q,MATCH($A11,'Valo FX'!$A:$A,0)),0,IF(BT$1&lt;INDEX('Valo FX'!$R:$R,MATCH($A11,'Valo FX'!$A:$A,0)),INDEX(Base!$U:$U,MATCH($A11,Base!$A:$A,0)),IF(BT$1=INDEX('Valo FX'!$R:$R,MATCH($A11,'Valo FX'!$A:$A,0)),INDEX(Base!$V:$V,MATCH($A11,Base!$A:$A,0)),0)))</f>
        <v>6.593</v>
      </c>
      <c r="BU11" s="21">
        <f>IF(BU$1&lt;INDEX('Valo FX'!$Q:$Q,MATCH($A11,'Valo FX'!$A:$A,0)),0,IF(BU$1&lt;INDEX('Valo FX'!$R:$R,MATCH($A11,'Valo FX'!$A:$A,0)),INDEX(Base!$U:$U,MATCH($A11,Base!$A:$A,0)),IF(BU$1=INDEX('Valo FX'!$R:$R,MATCH($A11,'Valo FX'!$A:$A,0)),INDEX(Base!$V:$V,MATCH($A11,Base!$A:$A,0)),0)))</f>
        <v>6.593</v>
      </c>
      <c r="BV11" s="21">
        <f>IF(BV$1&lt;INDEX('Valo FX'!$Q:$Q,MATCH($A11,'Valo FX'!$A:$A,0)),0,IF(BV$1&lt;INDEX('Valo FX'!$R:$R,MATCH($A11,'Valo FX'!$A:$A,0)),INDEX(Base!$U:$U,MATCH($A11,Base!$A:$A,0)),IF(BV$1=INDEX('Valo FX'!$R:$R,MATCH($A11,'Valo FX'!$A:$A,0)),INDEX(Base!$V:$V,MATCH($A11,Base!$A:$A,0)),0)))</f>
        <v>6.593</v>
      </c>
      <c r="BW11" s="21">
        <f>IF(BW$1&lt;INDEX('Valo FX'!$Q:$Q,MATCH($A11,'Valo FX'!$A:$A,0)),0,IF(BW$1&lt;INDEX('Valo FX'!$R:$R,MATCH($A11,'Valo FX'!$A:$A,0)),INDEX(Base!$U:$U,MATCH($A11,Base!$A:$A,0)),IF(BW$1=INDEX('Valo FX'!$R:$R,MATCH($A11,'Valo FX'!$A:$A,0)),INDEX(Base!$V:$V,MATCH($A11,Base!$A:$A,0)),0)))</f>
        <v>6.593</v>
      </c>
      <c r="BX11" s="21">
        <f>IF(BX$1&lt;INDEX('Valo FX'!$Q:$Q,MATCH($A11,'Valo FX'!$A:$A,0)),0,IF(BX$1&lt;INDEX('Valo FX'!$R:$R,MATCH($A11,'Valo FX'!$A:$A,0)),INDEX(Base!$U:$U,MATCH($A11,Base!$A:$A,0)),IF(BX$1=INDEX('Valo FX'!$R:$R,MATCH($A11,'Valo FX'!$A:$A,0)),INDEX(Base!$V:$V,MATCH($A11,Base!$A:$A,0)),0)))</f>
        <v>6.593</v>
      </c>
      <c r="BY11" s="21">
        <f>IF(BY$1&lt;INDEX('Valo FX'!$Q:$Q,MATCH($A11,'Valo FX'!$A:$A,0)),0,IF(BY$1&lt;INDEX('Valo FX'!$R:$R,MATCH($A11,'Valo FX'!$A:$A,0)),INDEX(Base!$U:$U,MATCH($A11,Base!$A:$A,0)),IF(BY$1=INDEX('Valo FX'!$R:$R,MATCH($A11,'Valo FX'!$A:$A,0)),INDEX(Base!$V:$V,MATCH($A11,Base!$A:$A,0)),0)))</f>
        <v>6.593</v>
      </c>
      <c r="BZ11" s="21">
        <f>IF(BZ$1&lt;INDEX('Valo FX'!$Q:$Q,MATCH($A11,'Valo FX'!$A:$A,0)),0,IF(BZ$1&lt;INDEX('Valo FX'!$R:$R,MATCH($A11,'Valo FX'!$A:$A,0)),INDEX(Base!$U:$U,MATCH($A11,Base!$A:$A,0)),IF(BZ$1=INDEX('Valo FX'!$R:$R,MATCH($A11,'Valo FX'!$A:$A,0)),INDEX(Base!$V:$V,MATCH($A11,Base!$A:$A,0)),0)))</f>
        <v>6.593</v>
      </c>
      <c r="CA11" s="21">
        <f>IF(CA$1&lt;INDEX('Valo FX'!$Q:$Q,MATCH($A11,'Valo FX'!$A:$A,0)),0,IF(CA$1&lt;INDEX('Valo FX'!$R:$R,MATCH($A11,'Valo FX'!$A:$A,0)),INDEX(Base!$U:$U,MATCH($A11,Base!$A:$A,0)),IF(CA$1=INDEX('Valo FX'!$R:$R,MATCH($A11,'Valo FX'!$A:$A,0)),INDEX(Base!$V:$V,MATCH($A11,Base!$A:$A,0)),0)))</f>
        <v>6.593</v>
      </c>
      <c r="CB11" s="21">
        <f>IF(CB$1&lt;INDEX('Valo FX'!$Q:$Q,MATCH($A11,'Valo FX'!$A:$A,0)),0,IF(CB$1&lt;INDEX('Valo FX'!$R:$R,MATCH($A11,'Valo FX'!$A:$A,0)),INDEX(Base!$U:$U,MATCH($A11,Base!$A:$A,0)),IF(CB$1=INDEX('Valo FX'!$R:$R,MATCH($A11,'Valo FX'!$A:$A,0)),INDEX(Base!$V:$V,MATCH($A11,Base!$A:$A,0)),0)))</f>
        <v>6.593</v>
      </c>
      <c r="CC11" s="21">
        <f>IF(CC$1&lt;INDEX('Valo FX'!$Q:$Q,MATCH($A11,'Valo FX'!$A:$A,0)),0,IF(CC$1&lt;INDEX('Valo FX'!$R:$R,MATCH($A11,'Valo FX'!$A:$A,0)),INDEX(Base!$U:$U,MATCH($A11,Base!$A:$A,0)),IF(CC$1=INDEX('Valo FX'!$R:$R,MATCH($A11,'Valo FX'!$A:$A,0)),INDEX(Base!$V:$V,MATCH($A11,Base!$A:$A,0)),0)))</f>
        <v>6.593</v>
      </c>
      <c r="CD11" s="21">
        <f>IF(CD$1&lt;INDEX('Valo FX'!$Q:$Q,MATCH($A11,'Valo FX'!$A:$A,0)),0,IF(CD$1&lt;INDEX('Valo FX'!$R:$R,MATCH($A11,'Valo FX'!$A:$A,0)),INDEX(Base!$U:$U,MATCH($A11,Base!$A:$A,0)),IF(CD$1=INDEX('Valo FX'!$R:$R,MATCH($A11,'Valo FX'!$A:$A,0)),INDEX(Base!$V:$V,MATCH($A11,Base!$A:$A,0)),0)))</f>
        <v>6.593</v>
      </c>
      <c r="CE11" s="21">
        <f>IF(CE$1&lt;INDEX('Valo FX'!$Q:$Q,MATCH($A11,'Valo FX'!$A:$A,0)),0,IF(CE$1&lt;INDEX('Valo FX'!$R:$R,MATCH($A11,'Valo FX'!$A:$A,0)),INDEX(Base!$U:$U,MATCH($A11,Base!$A:$A,0)),IF(CE$1=INDEX('Valo FX'!$R:$R,MATCH($A11,'Valo FX'!$A:$A,0)),INDEX(Base!$V:$V,MATCH($A11,Base!$A:$A,0)),0)))</f>
        <v>6.593</v>
      </c>
      <c r="CF11" s="21">
        <f>IF(CF$1&lt;INDEX('Valo FX'!$Q:$Q,MATCH($A11,'Valo FX'!$A:$A,0)),0,IF(CF$1&lt;INDEX('Valo FX'!$R:$R,MATCH($A11,'Valo FX'!$A:$A,0)),INDEX(Base!$U:$U,MATCH($A11,Base!$A:$A,0)),IF(CF$1=INDEX('Valo FX'!$R:$R,MATCH($A11,'Valo FX'!$A:$A,0)),INDEX(Base!$V:$V,MATCH($A11,Base!$A:$A,0)),0)))</f>
        <v>6.593</v>
      </c>
      <c r="CG11" s="21">
        <f>IF(CG$1&lt;INDEX('Valo FX'!$Q:$Q,MATCH($A11,'Valo FX'!$A:$A,0)),0,IF(CG$1&lt;INDEX('Valo FX'!$R:$R,MATCH($A11,'Valo FX'!$A:$A,0)),INDEX(Base!$U:$U,MATCH($A11,Base!$A:$A,0)),IF(CG$1=INDEX('Valo FX'!$R:$R,MATCH($A11,'Valo FX'!$A:$A,0)),INDEX(Base!$V:$V,MATCH($A11,Base!$A:$A,0)),0)))</f>
        <v>6.593</v>
      </c>
      <c r="CH11" s="21">
        <f>IF(CH$1&lt;INDEX('Valo FX'!$Q:$Q,MATCH($A11,'Valo FX'!$A:$A,0)),0,IF(CH$1&lt;INDEX('Valo FX'!$R:$R,MATCH($A11,'Valo FX'!$A:$A,0)),INDEX(Base!$U:$U,MATCH($A11,Base!$A:$A,0)),IF(CH$1=INDEX('Valo FX'!$R:$R,MATCH($A11,'Valo FX'!$A:$A,0)),INDEX(Base!$V:$V,MATCH($A11,Base!$A:$A,0)),0)))</f>
        <v>6.593</v>
      </c>
      <c r="CI11" s="21">
        <f>IF(CI$1&lt;INDEX('Valo FX'!$Q:$Q,MATCH($A11,'Valo FX'!$A:$A,0)),0,IF(CI$1&lt;INDEX('Valo FX'!$R:$R,MATCH($A11,'Valo FX'!$A:$A,0)),INDEX(Base!$U:$U,MATCH($A11,Base!$A:$A,0)),IF(CI$1=INDEX('Valo FX'!$R:$R,MATCH($A11,'Valo FX'!$A:$A,0)),INDEX(Base!$V:$V,MATCH($A11,Base!$A:$A,0)),0)))</f>
        <v>6.593</v>
      </c>
      <c r="CJ11" s="21">
        <f>IF(CJ$1&lt;INDEX('Valo FX'!$Q:$Q,MATCH($A11,'Valo FX'!$A:$A,0)),0,IF(CJ$1&lt;INDEX('Valo FX'!$R:$R,MATCH($A11,'Valo FX'!$A:$A,0)),INDEX(Base!$U:$U,MATCH($A11,Base!$A:$A,0)),IF(CJ$1=INDEX('Valo FX'!$R:$R,MATCH($A11,'Valo FX'!$A:$A,0)),INDEX(Base!$V:$V,MATCH($A11,Base!$A:$A,0)),0)))</f>
        <v>6.593</v>
      </c>
      <c r="CK11" s="21">
        <f>IF(CK$1&lt;INDEX('Valo FX'!$Q:$Q,MATCH($A11,'Valo FX'!$A:$A,0)),0,IF(CK$1&lt;INDEX('Valo FX'!$R:$R,MATCH($A11,'Valo FX'!$A:$A,0)),INDEX(Base!$U:$U,MATCH($A11,Base!$A:$A,0)),IF(CK$1=INDEX('Valo FX'!$R:$R,MATCH($A11,'Valo FX'!$A:$A,0)),INDEX(Base!$V:$V,MATCH($A11,Base!$A:$A,0)),0)))</f>
        <v>6.593</v>
      </c>
      <c r="CL11" s="21">
        <f>IF(CL$1&lt;INDEX('Valo FX'!$Q:$Q,MATCH($A11,'Valo FX'!$A:$A,0)),0,IF(CL$1&lt;INDEX('Valo FX'!$R:$R,MATCH($A11,'Valo FX'!$A:$A,0)),INDEX(Base!$U:$U,MATCH($A11,Base!$A:$A,0)),IF(CL$1=INDEX('Valo FX'!$R:$R,MATCH($A11,'Valo FX'!$A:$A,0)),INDEX(Base!$V:$V,MATCH($A11,Base!$A:$A,0)),0)))</f>
        <v>6.593</v>
      </c>
      <c r="CM11" s="21">
        <f>IF(CM$1&lt;INDEX('Valo FX'!$Q:$Q,MATCH($A11,'Valo FX'!$A:$A,0)),0,IF(CM$1&lt;INDEX('Valo FX'!$R:$R,MATCH($A11,'Valo FX'!$A:$A,0)),INDEX(Base!$U:$U,MATCH($A11,Base!$A:$A,0)),IF(CM$1=INDEX('Valo FX'!$R:$R,MATCH($A11,'Valo FX'!$A:$A,0)),INDEX(Base!$V:$V,MATCH($A11,Base!$A:$A,0)),0)))</f>
        <v>6.593</v>
      </c>
      <c r="CN11" s="21">
        <f>IF(CN$1&lt;INDEX('Valo FX'!$Q:$Q,MATCH($A11,'Valo FX'!$A:$A,0)),0,IF(CN$1&lt;INDEX('Valo FX'!$R:$R,MATCH($A11,'Valo FX'!$A:$A,0)),INDEX(Base!$U:$U,MATCH($A11,Base!$A:$A,0)),IF(CN$1=INDEX('Valo FX'!$R:$R,MATCH($A11,'Valo FX'!$A:$A,0)),INDEX(Base!$V:$V,MATCH($A11,Base!$A:$A,0)),0)))</f>
        <v>6.593</v>
      </c>
      <c r="CO11" s="21">
        <f>IF(CO$1&lt;INDEX('Valo FX'!$Q:$Q,MATCH($A11,'Valo FX'!$A:$A,0)),0,IF(CO$1&lt;INDEX('Valo FX'!$R:$R,MATCH($A11,'Valo FX'!$A:$A,0)),INDEX(Base!$U:$U,MATCH($A11,Base!$A:$A,0)),IF(CO$1=INDEX('Valo FX'!$R:$R,MATCH($A11,'Valo FX'!$A:$A,0)),INDEX(Base!$V:$V,MATCH($A11,Base!$A:$A,0)),0)))</f>
        <v>6.593</v>
      </c>
      <c r="CP11" s="21">
        <f>IF(CP$1&lt;INDEX('Valo FX'!$Q:$Q,MATCH($A11,'Valo FX'!$A:$A,0)),0,IF(CP$1&lt;INDEX('Valo FX'!$R:$R,MATCH($A11,'Valo FX'!$A:$A,0)),INDEX(Base!$U:$U,MATCH($A11,Base!$A:$A,0)),IF(CP$1=INDEX('Valo FX'!$R:$R,MATCH($A11,'Valo FX'!$A:$A,0)),INDEX(Base!$V:$V,MATCH($A11,Base!$A:$A,0)),0)))</f>
        <v>6.593</v>
      </c>
      <c r="CQ11" s="21">
        <f>IF(CQ$1&lt;INDEX('Valo FX'!$Q:$Q,MATCH($A11,'Valo FX'!$A:$A,0)),0,IF(CQ$1&lt;INDEX('Valo FX'!$R:$R,MATCH($A11,'Valo FX'!$A:$A,0)),INDEX(Base!$U:$U,MATCH($A11,Base!$A:$A,0)),IF(CQ$1=INDEX('Valo FX'!$R:$R,MATCH($A11,'Valo FX'!$A:$A,0)),INDEX(Base!$V:$V,MATCH($A11,Base!$A:$A,0)),0)))</f>
        <v>6.593</v>
      </c>
      <c r="CR11" s="21">
        <f>IF(CR$1&lt;INDEX('Valo FX'!$Q:$Q,MATCH($A11,'Valo FX'!$A:$A,0)),0,IF(CR$1&lt;INDEX('Valo FX'!$R:$R,MATCH($A11,'Valo FX'!$A:$A,0)),INDEX(Base!$U:$U,MATCH($A11,Base!$A:$A,0)),IF(CR$1=INDEX('Valo FX'!$R:$R,MATCH($A11,'Valo FX'!$A:$A,0)),INDEX(Base!$V:$V,MATCH($A11,Base!$A:$A,0)),0)))</f>
        <v>6.593</v>
      </c>
      <c r="CS11" s="21">
        <f>IF(CS$1&lt;INDEX('Valo FX'!$Q:$Q,MATCH($A11,'Valo FX'!$A:$A,0)),0,IF(CS$1&lt;INDEX('Valo FX'!$R:$R,MATCH($A11,'Valo FX'!$A:$A,0)),INDEX(Base!$U:$U,MATCH($A11,Base!$A:$A,0)),IF(CS$1=INDEX('Valo FX'!$R:$R,MATCH($A11,'Valo FX'!$A:$A,0)),INDEX(Base!$V:$V,MATCH($A11,Base!$A:$A,0)),0)))</f>
        <v>6.593</v>
      </c>
      <c r="CT11" s="21">
        <f>IF(CT$1&lt;INDEX('Valo FX'!$Q:$Q,MATCH($A11,'Valo FX'!$A:$A,0)),0,IF(CT$1&lt;INDEX('Valo FX'!$R:$R,MATCH($A11,'Valo FX'!$A:$A,0)),INDEX(Base!$U:$U,MATCH($A11,Base!$A:$A,0)),IF(CT$1=INDEX('Valo FX'!$R:$R,MATCH($A11,'Valo FX'!$A:$A,0)),INDEX(Base!$V:$V,MATCH($A11,Base!$A:$A,0)),0)))</f>
        <v>6.593</v>
      </c>
      <c r="CU11" s="21">
        <f>IF(CU$1&lt;INDEX('Valo FX'!$Q:$Q,MATCH($A11,'Valo FX'!$A:$A,0)),0,IF(CU$1&lt;INDEX('Valo FX'!$R:$R,MATCH($A11,'Valo FX'!$A:$A,0)),INDEX(Base!$U:$U,MATCH($A11,Base!$A:$A,0)),IF(CU$1=INDEX('Valo FX'!$R:$R,MATCH($A11,'Valo FX'!$A:$A,0)),INDEX(Base!$V:$V,MATCH($A11,Base!$A:$A,0)),0)))</f>
        <v>6.593</v>
      </c>
      <c r="CV11" s="21">
        <f>IF(CV$1&lt;INDEX('Valo FX'!$Q:$Q,MATCH($A11,'Valo FX'!$A:$A,0)),0,IF(CV$1&lt;INDEX('Valo FX'!$R:$R,MATCH($A11,'Valo FX'!$A:$A,0)),INDEX(Base!$U:$U,MATCH($A11,Base!$A:$A,0)),IF(CV$1=INDEX('Valo FX'!$R:$R,MATCH($A11,'Valo FX'!$A:$A,0)),INDEX(Base!$V:$V,MATCH($A11,Base!$A:$A,0)),0)))</f>
        <v>6.593</v>
      </c>
      <c r="CW11" s="21">
        <f>IF(CW$1&lt;INDEX('Valo FX'!$Q:$Q,MATCH($A11,'Valo FX'!$A:$A,0)),0,IF(CW$1&lt;INDEX('Valo FX'!$R:$R,MATCH($A11,'Valo FX'!$A:$A,0)),INDEX(Base!$U:$U,MATCH($A11,Base!$A:$A,0)),IF(CW$1=INDEX('Valo FX'!$R:$R,MATCH($A11,'Valo FX'!$A:$A,0)),INDEX(Base!$V:$V,MATCH($A11,Base!$A:$A,0)),0)))</f>
        <v>6.593</v>
      </c>
      <c r="CX11" s="21">
        <f>IF(CX$1&lt;INDEX('Valo FX'!$Q:$Q,MATCH($A11,'Valo FX'!$A:$A,0)),0,IF(CX$1&lt;INDEX('Valo FX'!$R:$R,MATCH($A11,'Valo FX'!$A:$A,0)),INDEX(Base!$U:$U,MATCH($A11,Base!$A:$A,0)),IF(CX$1=INDEX('Valo FX'!$R:$R,MATCH($A11,'Valo FX'!$A:$A,0)),INDEX(Base!$V:$V,MATCH($A11,Base!$A:$A,0)),0)))</f>
        <v>6.593</v>
      </c>
      <c r="CY11" s="21">
        <f>IF(CY$1&lt;INDEX('Valo FX'!$Q:$Q,MATCH($A11,'Valo FX'!$A:$A,0)),0,IF(CY$1&lt;INDEX('Valo FX'!$R:$R,MATCH($A11,'Valo FX'!$A:$A,0)),INDEX(Base!$U:$U,MATCH($A11,Base!$A:$A,0)),IF(CY$1=INDEX('Valo FX'!$R:$R,MATCH($A11,'Valo FX'!$A:$A,0)),INDEX(Base!$V:$V,MATCH($A11,Base!$A:$A,0)),0)))</f>
        <v>6.593</v>
      </c>
      <c r="CZ11" s="21">
        <f>IF(CZ$1&lt;INDEX('Valo FX'!$Q:$Q,MATCH($A11,'Valo FX'!$A:$A,0)),0,IF(CZ$1&lt;INDEX('Valo FX'!$R:$R,MATCH($A11,'Valo FX'!$A:$A,0)),INDEX(Base!$U:$U,MATCH($A11,Base!$A:$A,0)),IF(CZ$1=INDEX('Valo FX'!$R:$R,MATCH($A11,'Valo FX'!$A:$A,0)),INDEX(Base!$V:$V,MATCH($A11,Base!$A:$A,0)),0)))</f>
        <v>6.593</v>
      </c>
      <c r="DA11" s="21">
        <f>IF(DA$1&lt;INDEX('Valo FX'!$Q:$Q,MATCH($A11,'Valo FX'!$A:$A,0)),0,IF(DA$1&lt;INDEX('Valo FX'!$R:$R,MATCH($A11,'Valo FX'!$A:$A,0)),INDEX(Base!$U:$U,MATCH($A11,Base!$A:$A,0)),IF(DA$1=INDEX('Valo FX'!$R:$R,MATCH($A11,'Valo FX'!$A:$A,0)),INDEX(Base!$V:$V,MATCH($A11,Base!$A:$A,0)),0)))</f>
        <v>6.593</v>
      </c>
      <c r="DB11" s="21">
        <f>IF(DB$1&lt;INDEX('Valo FX'!$Q:$Q,MATCH($A11,'Valo FX'!$A:$A,0)),0,IF(DB$1&lt;INDEX('Valo FX'!$R:$R,MATCH($A11,'Valo FX'!$A:$A,0)),INDEX(Base!$U:$U,MATCH($A11,Base!$A:$A,0)),IF(DB$1=INDEX('Valo FX'!$R:$R,MATCH($A11,'Valo FX'!$A:$A,0)),INDEX(Base!$V:$V,MATCH($A11,Base!$A:$A,0)),0)))</f>
        <v>6.593</v>
      </c>
      <c r="DC11" s="21">
        <f>IF(DC$1&lt;INDEX('Valo FX'!$Q:$Q,MATCH($A11,'Valo FX'!$A:$A,0)),0,IF(DC$1&lt;INDEX('Valo FX'!$R:$R,MATCH($A11,'Valo FX'!$A:$A,0)),INDEX(Base!$U:$U,MATCH($A11,Base!$A:$A,0)),IF(DC$1=INDEX('Valo FX'!$R:$R,MATCH($A11,'Valo FX'!$A:$A,0)),INDEX(Base!$V:$V,MATCH($A11,Base!$A:$A,0)),0)))</f>
        <v>6.593</v>
      </c>
      <c r="DD11" s="21">
        <f>IF(DD$1&lt;INDEX('Valo FX'!$Q:$Q,MATCH($A11,'Valo FX'!$A:$A,0)),0,IF(DD$1&lt;INDEX('Valo FX'!$R:$R,MATCH($A11,'Valo FX'!$A:$A,0)),INDEX(Base!$U:$U,MATCH($A11,Base!$A:$A,0)),IF(DD$1=INDEX('Valo FX'!$R:$R,MATCH($A11,'Valo FX'!$A:$A,0)),INDEX(Base!$V:$V,MATCH($A11,Base!$A:$A,0)),0)))</f>
        <v>6.593</v>
      </c>
      <c r="DE11" s="21">
        <f>IF(DE$1&lt;INDEX('Valo FX'!$Q:$Q,MATCH($A11,'Valo FX'!$A:$A,0)),0,IF(DE$1&lt;INDEX('Valo FX'!$R:$R,MATCH($A11,'Valo FX'!$A:$A,0)),INDEX(Base!$U:$U,MATCH($A11,Base!$A:$A,0)),IF(DE$1=INDEX('Valo FX'!$R:$R,MATCH($A11,'Valo FX'!$A:$A,0)),INDEX(Base!$V:$V,MATCH($A11,Base!$A:$A,0)),0)))</f>
        <v>6.593</v>
      </c>
      <c r="DF11" s="21">
        <f>IF(DF$1&lt;INDEX('Valo FX'!$Q:$Q,MATCH($A11,'Valo FX'!$A:$A,0)),0,IF(DF$1&lt;INDEX('Valo FX'!$R:$R,MATCH($A11,'Valo FX'!$A:$A,0)),INDEX(Base!$U:$U,MATCH($A11,Base!$A:$A,0)),IF(DF$1=INDEX('Valo FX'!$R:$R,MATCH($A11,'Valo FX'!$A:$A,0)),INDEX(Base!$V:$V,MATCH($A11,Base!$A:$A,0)),0)))</f>
        <v>6.593</v>
      </c>
      <c r="DG11" s="21">
        <f>IF(DG$1&lt;INDEX('Valo FX'!$Q:$Q,MATCH($A11,'Valo FX'!$A:$A,0)),0,IF(DG$1&lt;INDEX('Valo FX'!$R:$R,MATCH($A11,'Valo FX'!$A:$A,0)),INDEX(Base!$U:$U,MATCH($A11,Base!$A:$A,0)),IF(DG$1=INDEX('Valo FX'!$R:$R,MATCH($A11,'Valo FX'!$A:$A,0)),INDEX(Base!$V:$V,MATCH($A11,Base!$A:$A,0)),0)))</f>
        <v>6.593</v>
      </c>
      <c r="DH11" s="21">
        <f>IF(DH$1&lt;INDEX('Valo FX'!$Q:$Q,MATCH($A11,'Valo FX'!$A:$A,0)),0,IF(DH$1&lt;INDEX('Valo FX'!$R:$R,MATCH($A11,'Valo FX'!$A:$A,0)),INDEX(Base!$U:$U,MATCH($A11,Base!$A:$A,0)),IF(DH$1=INDEX('Valo FX'!$R:$R,MATCH($A11,'Valo FX'!$A:$A,0)),INDEX(Base!$V:$V,MATCH($A11,Base!$A:$A,0)),0)))</f>
        <v>6.593</v>
      </c>
      <c r="DI11" s="21">
        <f>IF(DI$1&lt;INDEX('Valo FX'!$Q:$Q,MATCH($A11,'Valo FX'!$A:$A,0)),0,IF(DI$1&lt;INDEX('Valo FX'!$R:$R,MATCH($A11,'Valo FX'!$A:$A,0)),INDEX(Base!$U:$U,MATCH($A11,Base!$A:$A,0)),IF(DI$1=INDEX('Valo FX'!$R:$R,MATCH($A11,'Valo FX'!$A:$A,0)),INDEX(Base!$V:$V,MATCH($A11,Base!$A:$A,0)),0)))</f>
        <v>6.593</v>
      </c>
      <c r="DJ11" s="21">
        <f>IF(DJ$1&lt;INDEX('Valo FX'!$Q:$Q,MATCH($A11,'Valo FX'!$A:$A,0)),0,IF(DJ$1&lt;INDEX('Valo FX'!$R:$R,MATCH($A11,'Valo FX'!$A:$A,0)),INDEX(Base!$U:$U,MATCH($A11,Base!$A:$A,0)),IF(DJ$1=INDEX('Valo FX'!$R:$R,MATCH($A11,'Valo FX'!$A:$A,0)),INDEX(Base!$V:$V,MATCH($A11,Base!$A:$A,0)),0)))</f>
        <v>6.593</v>
      </c>
      <c r="DK11" s="21">
        <f>IF(DK$1&lt;INDEX('Valo FX'!$Q:$Q,MATCH($A11,'Valo FX'!$A:$A,0)),0,IF(DK$1&lt;INDEX('Valo FX'!$R:$R,MATCH($A11,'Valo FX'!$A:$A,0)),INDEX(Base!$U:$U,MATCH($A11,Base!$A:$A,0)),IF(DK$1=INDEX('Valo FX'!$R:$R,MATCH($A11,'Valo FX'!$A:$A,0)),INDEX(Base!$V:$V,MATCH($A11,Base!$A:$A,0)),0)))</f>
        <v>6.593</v>
      </c>
      <c r="DL11" s="21">
        <f>IF(DL$1&lt;INDEX('Valo FX'!$Q:$Q,MATCH($A11,'Valo FX'!$A:$A,0)),0,IF(DL$1&lt;INDEX('Valo FX'!$R:$R,MATCH($A11,'Valo FX'!$A:$A,0)),INDEX(Base!$U:$U,MATCH($A11,Base!$A:$A,0)),IF(DL$1=INDEX('Valo FX'!$R:$R,MATCH($A11,'Valo FX'!$A:$A,0)),INDEX(Base!$V:$V,MATCH($A11,Base!$A:$A,0)),0)))</f>
        <v>6.593</v>
      </c>
      <c r="DM11" s="21">
        <f>IF(DM$1&lt;INDEX('Valo FX'!$Q:$Q,MATCH($A11,'Valo FX'!$A:$A,0)),0,IF(DM$1&lt;INDEX('Valo FX'!$R:$R,MATCH($A11,'Valo FX'!$A:$A,0)),INDEX(Base!$U:$U,MATCH($A11,Base!$A:$A,0)),IF(DM$1=INDEX('Valo FX'!$R:$R,MATCH($A11,'Valo FX'!$A:$A,0)),INDEX(Base!$V:$V,MATCH($A11,Base!$A:$A,0)),0)))</f>
        <v>6.593</v>
      </c>
      <c r="DN11" s="21">
        <f>IF(DN$1&lt;INDEX('Valo FX'!$Q:$Q,MATCH($A11,'Valo FX'!$A:$A,0)),0,IF(DN$1&lt;INDEX('Valo FX'!$R:$R,MATCH($A11,'Valo FX'!$A:$A,0)),INDEX(Base!$U:$U,MATCH($A11,Base!$A:$A,0)),IF(DN$1=INDEX('Valo FX'!$R:$R,MATCH($A11,'Valo FX'!$A:$A,0)),INDEX(Base!$V:$V,MATCH($A11,Base!$A:$A,0)),0)))</f>
        <v>6.593</v>
      </c>
      <c r="DO11" s="21">
        <f>IF(DO$1&lt;INDEX('Valo FX'!$Q:$Q,MATCH($A11,'Valo FX'!$A:$A,0)),0,IF(DO$1&lt;INDEX('Valo FX'!$R:$R,MATCH($A11,'Valo FX'!$A:$A,0)),INDEX(Base!$U:$U,MATCH($A11,Base!$A:$A,0)),IF(DO$1=INDEX('Valo FX'!$R:$R,MATCH($A11,'Valo FX'!$A:$A,0)),INDEX(Base!$V:$V,MATCH($A11,Base!$A:$A,0)),0)))</f>
        <v>6.593</v>
      </c>
      <c r="DP11" s="21">
        <f>IF(DP$1&lt;INDEX('Valo FX'!$Q:$Q,MATCH($A11,'Valo FX'!$A:$A,0)),0,IF(DP$1&lt;INDEX('Valo FX'!$R:$R,MATCH($A11,'Valo FX'!$A:$A,0)),INDEX(Base!$U:$U,MATCH($A11,Base!$A:$A,0)),IF(DP$1=INDEX('Valo FX'!$R:$R,MATCH($A11,'Valo FX'!$A:$A,0)),INDEX(Base!$V:$V,MATCH($A11,Base!$A:$A,0)),0)))</f>
        <v>6.593</v>
      </c>
      <c r="DQ11" s="21">
        <f>IF(DQ$1&lt;INDEX('Valo FX'!$Q:$Q,MATCH($A11,'Valo FX'!$A:$A,0)),0,IF(DQ$1&lt;INDEX('Valo FX'!$R:$R,MATCH($A11,'Valo FX'!$A:$A,0)),INDEX(Base!$U:$U,MATCH($A11,Base!$A:$A,0)),IF(DQ$1=INDEX('Valo FX'!$R:$R,MATCH($A11,'Valo FX'!$A:$A,0)),INDEX(Base!$V:$V,MATCH($A11,Base!$A:$A,0)),0)))</f>
        <v>6.593</v>
      </c>
      <c r="DR11" s="21">
        <f>IF(DR$1&lt;INDEX('Valo FX'!$Q:$Q,MATCH($A11,'Valo FX'!$A:$A,0)),0,IF(DR$1&lt;INDEX('Valo FX'!$R:$R,MATCH($A11,'Valo FX'!$A:$A,0)),INDEX(Base!$U:$U,MATCH($A11,Base!$A:$A,0)),IF(DR$1=INDEX('Valo FX'!$R:$R,MATCH($A11,'Valo FX'!$A:$A,0)),INDEX(Base!$V:$V,MATCH($A11,Base!$A:$A,0)),0)))</f>
        <v>6.593</v>
      </c>
      <c r="DS11" s="21">
        <f>IF(DS$1&lt;INDEX('Valo FX'!$Q:$Q,MATCH($A11,'Valo FX'!$A:$A,0)),0,IF(DS$1&lt;INDEX('Valo FX'!$R:$R,MATCH($A11,'Valo FX'!$A:$A,0)),INDEX(Base!$U:$U,MATCH($A11,Base!$A:$A,0)),IF(DS$1=INDEX('Valo FX'!$R:$R,MATCH($A11,'Valo FX'!$A:$A,0)),INDEX(Base!$V:$V,MATCH($A11,Base!$A:$A,0)),0)))</f>
        <v>6.593</v>
      </c>
      <c r="DT11" s="21">
        <f>IF(DT$1&lt;INDEX('Valo FX'!$Q:$Q,MATCH($A11,'Valo FX'!$A:$A,0)),0,IF(DT$1&lt;INDEX('Valo FX'!$R:$R,MATCH($A11,'Valo FX'!$A:$A,0)),INDEX(Base!$U:$U,MATCH($A11,Base!$A:$A,0)),IF(DT$1=INDEX('Valo FX'!$R:$R,MATCH($A11,'Valo FX'!$A:$A,0)),INDEX(Base!$V:$V,MATCH($A11,Base!$A:$A,0)),0)))</f>
        <v>6.593</v>
      </c>
      <c r="DU11" s="21">
        <f>IF(DU$1&lt;INDEX('Valo FX'!$Q:$Q,MATCH($A11,'Valo FX'!$A:$A,0)),0,IF(DU$1&lt;INDEX('Valo FX'!$R:$R,MATCH($A11,'Valo FX'!$A:$A,0)),INDEX(Base!$U:$U,MATCH($A11,Base!$A:$A,0)),IF(DU$1=INDEX('Valo FX'!$R:$R,MATCH($A11,'Valo FX'!$A:$A,0)),INDEX(Base!$V:$V,MATCH($A11,Base!$A:$A,0)),0)))</f>
        <v>6.593</v>
      </c>
      <c r="DV11" s="21">
        <f>IF(DV$1&lt;INDEX('Valo FX'!$Q:$Q,MATCH($A11,'Valo FX'!$A:$A,0)),0,IF(DV$1&lt;INDEX('Valo FX'!$R:$R,MATCH($A11,'Valo FX'!$A:$A,0)),INDEX(Base!$U:$U,MATCH($A11,Base!$A:$A,0)),IF(DV$1=INDEX('Valo FX'!$R:$R,MATCH($A11,'Valo FX'!$A:$A,0)),INDEX(Base!$V:$V,MATCH($A11,Base!$A:$A,0)),0)))</f>
        <v>6.593</v>
      </c>
      <c r="DW11" s="21">
        <f>IF(DW$1&lt;INDEX('Valo FX'!$Q:$Q,MATCH($A11,'Valo FX'!$A:$A,0)),0,IF(DW$1&lt;INDEX('Valo FX'!$R:$R,MATCH($A11,'Valo FX'!$A:$A,0)),INDEX(Base!$U:$U,MATCH($A11,Base!$A:$A,0)),IF(DW$1=INDEX('Valo FX'!$R:$R,MATCH($A11,'Valo FX'!$A:$A,0)),INDEX(Base!$V:$V,MATCH($A11,Base!$A:$A,0)),0)))</f>
        <v>6.593</v>
      </c>
      <c r="DX11" s="21">
        <f>IF(DX$1&lt;INDEX('Valo FX'!$Q:$Q,MATCH($A11,'Valo FX'!$A:$A,0)),0,IF(DX$1&lt;INDEX('Valo FX'!$R:$R,MATCH($A11,'Valo FX'!$A:$A,0)),INDEX(Base!$U:$U,MATCH($A11,Base!$A:$A,0)),IF(DX$1=INDEX('Valo FX'!$R:$R,MATCH($A11,'Valo FX'!$A:$A,0)),INDEX(Base!$V:$V,MATCH($A11,Base!$A:$A,0)),0)))</f>
        <v>6.593</v>
      </c>
      <c r="DY11" s="21">
        <f>IF(DY$1&lt;INDEX('Valo FX'!$Q:$Q,MATCH($A11,'Valo FX'!$A:$A,0)),0,IF(DY$1&lt;INDEX('Valo FX'!$R:$R,MATCH($A11,'Valo FX'!$A:$A,0)),INDEX(Base!$U:$U,MATCH($A11,Base!$A:$A,0)),IF(DY$1=INDEX('Valo FX'!$R:$R,MATCH($A11,'Valo FX'!$A:$A,0)),INDEX(Base!$V:$V,MATCH($A11,Base!$A:$A,0)),0)))</f>
        <v>6.593</v>
      </c>
      <c r="DZ11" s="21">
        <f>IF(DZ$1&lt;INDEX('Valo FX'!$Q:$Q,MATCH($A11,'Valo FX'!$A:$A,0)),0,IF(DZ$1&lt;INDEX('Valo FX'!$R:$R,MATCH($A11,'Valo FX'!$A:$A,0)),INDEX(Base!$U:$U,MATCH($A11,Base!$A:$A,0)),IF(DZ$1=INDEX('Valo FX'!$R:$R,MATCH($A11,'Valo FX'!$A:$A,0)),INDEX(Base!$V:$V,MATCH($A11,Base!$A:$A,0)),0)))</f>
        <v>6.593</v>
      </c>
      <c r="EA11" s="21">
        <f>IF(EA$1&lt;INDEX('Valo FX'!$Q:$Q,MATCH($A11,'Valo FX'!$A:$A,0)),0,IF(EA$1&lt;INDEX('Valo FX'!$R:$R,MATCH($A11,'Valo FX'!$A:$A,0)),INDEX(Base!$U:$U,MATCH($A11,Base!$A:$A,0)),IF(EA$1=INDEX('Valo FX'!$R:$R,MATCH($A11,'Valo FX'!$A:$A,0)),INDEX(Base!$V:$V,MATCH($A11,Base!$A:$A,0)),0)))</f>
        <v>6.593</v>
      </c>
      <c r="EB11" s="21">
        <f>IF(EB$1&lt;INDEX('Valo FX'!$Q:$Q,MATCH($A11,'Valo FX'!$A:$A,0)),0,IF(EB$1&lt;INDEX('Valo FX'!$R:$R,MATCH($A11,'Valo FX'!$A:$A,0)),INDEX(Base!$U:$U,MATCH($A11,Base!$A:$A,0)),IF(EB$1=INDEX('Valo FX'!$R:$R,MATCH($A11,'Valo FX'!$A:$A,0)),INDEX(Base!$V:$V,MATCH($A11,Base!$A:$A,0)),0)))</f>
        <v>6.593</v>
      </c>
      <c r="EC11" s="21">
        <f>IF(EC$1&lt;INDEX('Valo FX'!$Q:$Q,MATCH($A11,'Valo FX'!$A:$A,0)),0,IF(EC$1&lt;INDEX('Valo FX'!$R:$R,MATCH($A11,'Valo FX'!$A:$A,0)),INDEX(Base!$U:$U,MATCH($A11,Base!$A:$A,0)),IF(EC$1=INDEX('Valo FX'!$R:$R,MATCH($A11,'Valo FX'!$A:$A,0)),INDEX(Base!$V:$V,MATCH($A11,Base!$A:$A,0)),0)))</f>
        <v>6.593</v>
      </c>
      <c r="ED11" s="21">
        <f>IF(ED$1&lt;INDEX('Valo FX'!$Q:$Q,MATCH($A11,'Valo FX'!$A:$A,0)),0,IF(ED$1&lt;INDEX('Valo FX'!$R:$R,MATCH($A11,'Valo FX'!$A:$A,0)),INDEX(Base!$U:$U,MATCH($A11,Base!$A:$A,0)),IF(ED$1=INDEX('Valo FX'!$R:$R,MATCH($A11,'Valo FX'!$A:$A,0)),INDEX(Base!$V:$V,MATCH($A11,Base!$A:$A,0)),0)))</f>
        <v>6.593</v>
      </c>
      <c r="EE11" s="21">
        <f>IF(EE$1&lt;INDEX('Valo FX'!$Q:$Q,MATCH($A11,'Valo FX'!$A:$A,0)),0,IF(EE$1&lt;INDEX('Valo FX'!$R:$R,MATCH($A11,'Valo FX'!$A:$A,0)),INDEX(Base!$U:$U,MATCH($A11,Base!$A:$A,0)),IF(EE$1=INDEX('Valo FX'!$R:$R,MATCH($A11,'Valo FX'!$A:$A,0)),INDEX(Base!$V:$V,MATCH($A11,Base!$A:$A,0)),0)))</f>
        <v>6.593</v>
      </c>
      <c r="EF11" s="21">
        <f>IF(EF$1&lt;INDEX('Valo FX'!$Q:$Q,MATCH($A11,'Valo FX'!$A:$A,0)),0,IF(EF$1&lt;INDEX('Valo FX'!$R:$R,MATCH($A11,'Valo FX'!$A:$A,0)),INDEX(Base!$U:$U,MATCH($A11,Base!$A:$A,0)),IF(EF$1=INDEX('Valo FX'!$R:$R,MATCH($A11,'Valo FX'!$A:$A,0)),INDEX(Base!$V:$V,MATCH($A11,Base!$A:$A,0)),0)))</f>
        <v>6.593</v>
      </c>
      <c r="EG11" s="21">
        <f>IF(EG$1&lt;INDEX('Valo FX'!$Q:$Q,MATCH($A11,'Valo FX'!$A:$A,0)),0,IF(EG$1&lt;INDEX('Valo FX'!$R:$R,MATCH($A11,'Valo FX'!$A:$A,0)),INDEX(Base!$U:$U,MATCH($A11,Base!$A:$A,0)),IF(EG$1=INDEX('Valo FX'!$R:$R,MATCH($A11,'Valo FX'!$A:$A,0)),INDEX(Base!$V:$V,MATCH($A11,Base!$A:$A,0)),0)))</f>
        <v>6.593</v>
      </c>
      <c r="EH11" s="21">
        <f>IF(EH$1&lt;INDEX('Valo FX'!$Q:$Q,MATCH($A11,'Valo FX'!$A:$A,0)),0,IF(EH$1&lt;INDEX('Valo FX'!$R:$R,MATCH($A11,'Valo FX'!$A:$A,0)),INDEX(Base!$U:$U,MATCH($A11,Base!$A:$A,0)),IF(EH$1=INDEX('Valo FX'!$R:$R,MATCH($A11,'Valo FX'!$A:$A,0)),INDEX(Base!$V:$V,MATCH($A11,Base!$A:$A,0)),0)))</f>
        <v>6.593</v>
      </c>
      <c r="EI11" s="21">
        <f>IF(EI$1&lt;INDEX('Valo FX'!$Q:$Q,MATCH($A11,'Valo FX'!$A:$A,0)),0,IF(EI$1&lt;INDEX('Valo FX'!$R:$R,MATCH($A11,'Valo FX'!$A:$A,0)),INDEX(Base!$U:$U,MATCH($A11,Base!$A:$A,0)),IF(EI$1=INDEX('Valo FX'!$R:$R,MATCH($A11,'Valo FX'!$A:$A,0)),INDEX(Base!$V:$V,MATCH($A11,Base!$A:$A,0)),0)))</f>
        <v>6.593</v>
      </c>
      <c r="EJ11" s="21">
        <f>IF(EJ$1&lt;INDEX('Valo FX'!$Q:$Q,MATCH($A11,'Valo FX'!$A:$A,0)),0,IF(EJ$1&lt;INDEX('Valo FX'!$R:$R,MATCH($A11,'Valo FX'!$A:$A,0)),INDEX(Base!$U:$U,MATCH($A11,Base!$A:$A,0)),IF(EJ$1=INDEX('Valo FX'!$R:$R,MATCH($A11,'Valo FX'!$A:$A,0)),INDEX(Base!$V:$V,MATCH($A11,Base!$A:$A,0)),0)))</f>
        <v>6.593</v>
      </c>
      <c r="EK11" s="21">
        <f>IF(EK$1&lt;INDEX('Valo FX'!$Q:$Q,MATCH($A11,'Valo FX'!$A:$A,0)),0,IF(EK$1&lt;INDEX('Valo FX'!$R:$R,MATCH($A11,'Valo FX'!$A:$A,0)),INDEX(Base!$U:$U,MATCH($A11,Base!$A:$A,0)),IF(EK$1=INDEX('Valo FX'!$R:$R,MATCH($A11,'Valo FX'!$A:$A,0)),INDEX(Base!$V:$V,MATCH($A11,Base!$A:$A,0)),0)))</f>
        <v>6.593</v>
      </c>
      <c r="EL11" s="21">
        <f>IF(EL$1&lt;INDEX('Valo FX'!$Q:$Q,MATCH($A11,'Valo FX'!$A:$A,0)),0,IF(EL$1&lt;INDEX('Valo FX'!$R:$R,MATCH($A11,'Valo FX'!$A:$A,0)),INDEX(Base!$U:$U,MATCH($A11,Base!$A:$A,0)),IF(EL$1=INDEX('Valo FX'!$R:$R,MATCH($A11,'Valo FX'!$A:$A,0)),INDEX(Base!$V:$V,MATCH($A11,Base!$A:$A,0)),0)))</f>
        <v>6.593</v>
      </c>
      <c r="EM11" s="21">
        <f>IF(EM$1&lt;INDEX('Valo FX'!$Q:$Q,MATCH($A11,'Valo FX'!$A:$A,0)),0,IF(EM$1&lt;INDEX('Valo FX'!$R:$R,MATCH($A11,'Valo FX'!$A:$A,0)),INDEX(Base!$U:$U,MATCH($A11,Base!$A:$A,0)),IF(EM$1=INDEX('Valo FX'!$R:$R,MATCH($A11,'Valo FX'!$A:$A,0)),INDEX(Base!$V:$V,MATCH($A11,Base!$A:$A,0)),0)))</f>
        <v>6.593</v>
      </c>
      <c r="EN11" s="21">
        <f>IF(EN$1&lt;INDEX('Valo FX'!$Q:$Q,MATCH($A11,'Valo FX'!$A:$A,0)),0,IF(EN$1&lt;INDEX('Valo FX'!$R:$R,MATCH($A11,'Valo FX'!$A:$A,0)),INDEX(Base!$U:$U,MATCH($A11,Base!$A:$A,0)),IF(EN$1=INDEX('Valo FX'!$R:$R,MATCH($A11,'Valo FX'!$A:$A,0)),INDEX(Base!$V:$V,MATCH($A11,Base!$A:$A,0)),0)))</f>
        <v>6.593</v>
      </c>
      <c r="EO11" s="21">
        <f>IF(EO$1&lt;INDEX('Valo FX'!$Q:$Q,MATCH($A11,'Valo FX'!$A:$A,0)),0,IF(EO$1&lt;INDEX('Valo FX'!$R:$R,MATCH($A11,'Valo FX'!$A:$A,0)),INDEX(Base!$U:$U,MATCH($A11,Base!$A:$A,0)),IF(EO$1=INDEX('Valo FX'!$R:$R,MATCH($A11,'Valo FX'!$A:$A,0)),INDEX(Base!$V:$V,MATCH($A11,Base!$A:$A,0)),0)))</f>
        <v>6.593</v>
      </c>
      <c r="EP11" s="21">
        <f>IF(EP$1&lt;INDEX('Valo FX'!$Q:$Q,MATCH($A11,'Valo FX'!$A:$A,0)),0,IF(EP$1&lt;INDEX('Valo FX'!$R:$R,MATCH($A11,'Valo FX'!$A:$A,0)),INDEX(Base!$U:$U,MATCH($A11,Base!$A:$A,0)),IF(EP$1=INDEX('Valo FX'!$R:$R,MATCH($A11,'Valo FX'!$A:$A,0)),INDEX(Base!$V:$V,MATCH($A11,Base!$A:$A,0)),0)))</f>
        <v>6.593</v>
      </c>
      <c r="EQ11" s="21">
        <f>IF(EQ$1&lt;INDEX('Valo FX'!$Q:$Q,MATCH($A11,'Valo FX'!$A:$A,0)),0,IF(EQ$1&lt;INDEX('Valo FX'!$R:$R,MATCH($A11,'Valo FX'!$A:$A,0)),INDEX(Base!$U:$U,MATCH($A11,Base!$A:$A,0)),IF(EQ$1=INDEX('Valo FX'!$R:$R,MATCH($A11,'Valo FX'!$A:$A,0)),INDEX(Base!$V:$V,MATCH($A11,Base!$A:$A,0)),0)))</f>
        <v>6.593</v>
      </c>
      <c r="ER11" s="21">
        <f>IF(ER$1&lt;INDEX('Valo FX'!$Q:$Q,MATCH($A11,'Valo FX'!$A:$A,0)),0,IF(ER$1&lt;INDEX('Valo FX'!$R:$R,MATCH($A11,'Valo FX'!$A:$A,0)),INDEX(Base!$U:$U,MATCH($A11,Base!$A:$A,0)),IF(ER$1=INDEX('Valo FX'!$R:$R,MATCH($A11,'Valo FX'!$A:$A,0)),INDEX(Base!$V:$V,MATCH($A11,Base!$A:$A,0)),0)))</f>
        <v>6.593</v>
      </c>
      <c r="ES11" s="21">
        <f>IF(ES$1&lt;INDEX('Valo FX'!$Q:$Q,MATCH($A11,'Valo FX'!$A:$A,0)),0,IF(ES$1&lt;INDEX('Valo FX'!$R:$R,MATCH($A11,'Valo FX'!$A:$A,0)),INDEX(Base!$U:$U,MATCH($A11,Base!$A:$A,0)),IF(ES$1=INDEX('Valo FX'!$R:$R,MATCH($A11,'Valo FX'!$A:$A,0)),INDEX(Base!$V:$V,MATCH($A11,Base!$A:$A,0)),0)))</f>
        <v>6.593</v>
      </c>
      <c r="ET11" s="21">
        <f>IF(ET$1&lt;INDEX('Valo FX'!$Q:$Q,MATCH($A11,'Valo FX'!$A:$A,0)),0,IF(ET$1&lt;INDEX('Valo FX'!$R:$R,MATCH($A11,'Valo FX'!$A:$A,0)),INDEX(Base!$U:$U,MATCH($A11,Base!$A:$A,0)),IF(ET$1=INDEX('Valo FX'!$R:$R,MATCH($A11,'Valo FX'!$A:$A,0)),INDEX(Base!$V:$V,MATCH($A11,Base!$A:$A,0)),0)))</f>
        <v>6.593</v>
      </c>
      <c r="EU11" s="21">
        <f>IF(EU$1&lt;INDEX('Valo FX'!$Q:$Q,MATCH($A11,'Valo FX'!$A:$A,0)),0,IF(EU$1&lt;INDEX('Valo FX'!$R:$R,MATCH($A11,'Valo FX'!$A:$A,0)),INDEX(Base!$U:$U,MATCH($A11,Base!$A:$A,0)),IF(EU$1=INDEX('Valo FX'!$R:$R,MATCH($A11,'Valo FX'!$A:$A,0)),INDEX(Base!$V:$V,MATCH($A11,Base!$A:$A,0)),0)))</f>
        <v>6.593</v>
      </c>
      <c r="EV11" s="21">
        <f>IF(EV$1&lt;INDEX('Valo FX'!$Q:$Q,MATCH($A11,'Valo FX'!$A:$A,0)),0,IF(EV$1&lt;INDEX('Valo FX'!$R:$R,MATCH($A11,'Valo FX'!$A:$A,0)),INDEX(Base!$U:$U,MATCH($A11,Base!$A:$A,0)),IF(EV$1=INDEX('Valo FX'!$R:$R,MATCH($A11,'Valo FX'!$A:$A,0)),INDEX(Base!$V:$V,MATCH($A11,Base!$A:$A,0)),0)))</f>
        <v>6.593</v>
      </c>
      <c r="EW11" s="21">
        <f>IF(EW$1&lt;INDEX('Valo FX'!$Q:$Q,MATCH($A11,'Valo FX'!$A:$A,0)),0,IF(EW$1&lt;INDEX('Valo FX'!$R:$R,MATCH($A11,'Valo FX'!$A:$A,0)),INDEX(Base!$U:$U,MATCH($A11,Base!$A:$A,0)),IF(EW$1=INDEX('Valo FX'!$R:$R,MATCH($A11,'Valo FX'!$A:$A,0)),INDEX(Base!$V:$V,MATCH($A11,Base!$A:$A,0)),0)))</f>
        <v>6.593</v>
      </c>
      <c r="EX11" s="21">
        <f>IF(EX$1&lt;INDEX('Valo FX'!$Q:$Q,MATCH($A11,'Valo FX'!$A:$A,0)),0,IF(EX$1&lt;INDEX('Valo FX'!$R:$R,MATCH($A11,'Valo FX'!$A:$A,0)),INDEX(Base!$U:$U,MATCH($A11,Base!$A:$A,0)),IF(EX$1=INDEX('Valo FX'!$R:$R,MATCH($A11,'Valo FX'!$A:$A,0)),INDEX(Base!$V:$V,MATCH($A11,Base!$A:$A,0)),0)))</f>
        <v>6.593</v>
      </c>
      <c r="EY11" s="21">
        <f>IF(EY$1&lt;INDEX('Valo FX'!$Q:$Q,MATCH($A11,'Valo FX'!$A:$A,0)),0,IF(EY$1&lt;INDEX('Valo FX'!$R:$R,MATCH($A11,'Valo FX'!$A:$A,0)),INDEX(Base!$U:$U,MATCH($A11,Base!$A:$A,0)),IF(EY$1=INDEX('Valo FX'!$R:$R,MATCH($A11,'Valo FX'!$A:$A,0)),INDEX(Base!$V:$V,MATCH($A11,Base!$A:$A,0)),0)))</f>
        <v>6.593</v>
      </c>
      <c r="EZ11" s="21">
        <f>IF(EZ$1&lt;INDEX('Valo FX'!$Q:$Q,MATCH($A11,'Valo FX'!$A:$A,0)),0,IF(EZ$1&lt;INDEX('Valo FX'!$R:$R,MATCH($A11,'Valo FX'!$A:$A,0)),INDEX(Base!$U:$U,MATCH($A11,Base!$A:$A,0)),IF(EZ$1=INDEX('Valo FX'!$R:$R,MATCH($A11,'Valo FX'!$A:$A,0)),INDEX(Base!$V:$V,MATCH($A11,Base!$A:$A,0)),0)))</f>
        <v>6.593</v>
      </c>
      <c r="FA11" s="21">
        <f>IF(FA$1&lt;INDEX('Valo FX'!$Q:$Q,MATCH($A11,'Valo FX'!$A:$A,0)),0,IF(FA$1&lt;INDEX('Valo FX'!$R:$R,MATCH($A11,'Valo FX'!$A:$A,0)),INDEX(Base!$U:$U,MATCH($A11,Base!$A:$A,0)),IF(FA$1=INDEX('Valo FX'!$R:$R,MATCH($A11,'Valo FX'!$A:$A,0)),INDEX(Base!$V:$V,MATCH($A11,Base!$A:$A,0)),0)))</f>
        <v>6.593</v>
      </c>
      <c r="FB11" s="21">
        <f>IF(FB$1&lt;INDEX('Valo FX'!$Q:$Q,MATCH($A11,'Valo FX'!$A:$A,0)),0,IF(FB$1&lt;INDEX('Valo FX'!$R:$R,MATCH($A11,'Valo FX'!$A:$A,0)),INDEX(Base!$U:$U,MATCH($A11,Base!$A:$A,0)),IF(FB$1=INDEX('Valo FX'!$R:$R,MATCH($A11,'Valo FX'!$A:$A,0)),INDEX(Base!$V:$V,MATCH($A11,Base!$A:$A,0)),0)))</f>
        <v>6.593</v>
      </c>
      <c r="FC11" s="21">
        <f>IF(FC$1&lt;INDEX('Valo FX'!$Q:$Q,MATCH($A11,'Valo FX'!$A:$A,0)),0,IF(FC$1&lt;INDEX('Valo FX'!$R:$R,MATCH($A11,'Valo FX'!$A:$A,0)),INDEX(Base!$U:$U,MATCH($A11,Base!$A:$A,0)),IF(FC$1=INDEX('Valo FX'!$R:$R,MATCH($A11,'Valo FX'!$A:$A,0)),INDEX(Base!$V:$V,MATCH($A11,Base!$A:$A,0)),0)))</f>
        <v>6.593</v>
      </c>
      <c r="FD11" s="21">
        <f>IF(FD$1&lt;INDEX('Valo FX'!$Q:$Q,MATCH($A11,'Valo FX'!$A:$A,0)),0,IF(FD$1&lt;INDEX('Valo FX'!$R:$R,MATCH($A11,'Valo FX'!$A:$A,0)),INDEX(Base!$U:$U,MATCH($A11,Base!$A:$A,0)),IF(FD$1=INDEX('Valo FX'!$R:$R,MATCH($A11,'Valo FX'!$A:$A,0)),INDEX(Base!$V:$V,MATCH($A11,Base!$A:$A,0)),0)))</f>
        <v>6.593</v>
      </c>
      <c r="FE11" s="21">
        <f>IF(FE$1&lt;INDEX('Valo FX'!$Q:$Q,MATCH($A11,'Valo FX'!$A:$A,0)),0,IF(FE$1&lt;INDEX('Valo FX'!$R:$R,MATCH($A11,'Valo FX'!$A:$A,0)),INDEX(Base!$U:$U,MATCH($A11,Base!$A:$A,0)),IF(FE$1=INDEX('Valo FX'!$R:$R,MATCH($A11,'Valo FX'!$A:$A,0)),INDEX(Base!$V:$V,MATCH($A11,Base!$A:$A,0)),0)))</f>
        <v>6.593</v>
      </c>
      <c r="FF11" s="21">
        <f>IF(FF$1&lt;INDEX('Valo FX'!$Q:$Q,MATCH($A11,'Valo FX'!$A:$A,0)),0,IF(FF$1&lt;INDEX('Valo FX'!$R:$R,MATCH($A11,'Valo FX'!$A:$A,0)),INDEX(Base!$U:$U,MATCH($A11,Base!$A:$A,0)),IF(FF$1=INDEX('Valo FX'!$R:$R,MATCH($A11,'Valo FX'!$A:$A,0)),INDEX(Base!$V:$V,MATCH($A11,Base!$A:$A,0)),0)))</f>
        <v>6.593</v>
      </c>
      <c r="FG11" s="21">
        <f>IF(FG$1&lt;INDEX('Valo FX'!$Q:$Q,MATCH($A11,'Valo FX'!$A:$A,0)),0,IF(FG$1&lt;INDEX('Valo FX'!$R:$R,MATCH($A11,'Valo FX'!$A:$A,0)),INDEX(Base!$U:$U,MATCH($A11,Base!$A:$A,0)),IF(FG$1=INDEX('Valo FX'!$R:$R,MATCH($A11,'Valo FX'!$A:$A,0)),INDEX(Base!$V:$V,MATCH($A11,Base!$A:$A,0)),0)))</f>
        <v>6.593</v>
      </c>
      <c r="FH11" s="21">
        <f>IF(FH$1&lt;INDEX('Valo FX'!$Q:$Q,MATCH($A11,'Valo FX'!$A:$A,0)),0,IF(FH$1&lt;INDEX('Valo FX'!$R:$R,MATCH($A11,'Valo FX'!$A:$A,0)),INDEX(Base!$U:$U,MATCH($A11,Base!$A:$A,0)),IF(FH$1=INDEX('Valo FX'!$R:$R,MATCH($A11,'Valo FX'!$A:$A,0)),INDEX(Base!$V:$V,MATCH($A11,Base!$A:$A,0)),0)))</f>
        <v>6.593</v>
      </c>
      <c r="FI11" s="21">
        <f>IF(FI$1&lt;INDEX('Valo FX'!$Q:$Q,MATCH($A11,'Valo FX'!$A:$A,0)),0,IF(FI$1&lt;INDEX('Valo FX'!$R:$R,MATCH($A11,'Valo FX'!$A:$A,0)),INDEX(Base!$U:$U,MATCH($A11,Base!$A:$A,0)),IF(FI$1=INDEX('Valo FX'!$R:$R,MATCH($A11,'Valo FX'!$A:$A,0)),INDEX(Base!$V:$V,MATCH($A11,Base!$A:$A,0)),0)))</f>
        <v>6.593</v>
      </c>
      <c r="FJ11" s="21">
        <f>IF(FJ$1&lt;INDEX('Valo FX'!$Q:$Q,MATCH($A11,'Valo FX'!$A:$A,0)),0,IF(FJ$1&lt;INDEX('Valo FX'!$R:$R,MATCH($A11,'Valo FX'!$A:$A,0)),INDEX(Base!$U:$U,MATCH($A11,Base!$A:$A,0)),IF(FJ$1=INDEX('Valo FX'!$R:$R,MATCH($A11,'Valo FX'!$A:$A,0)),INDEX(Base!$V:$V,MATCH($A11,Base!$A:$A,0)),0)))</f>
        <v>6.593</v>
      </c>
      <c r="FK11" s="21">
        <f>IF(FK$1&lt;INDEX('Valo FX'!$Q:$Q,MATCH($A11,'Valo FX'!$A:$A,0)),0,IF(FK$1&lt;INDEX('Valo FX'!$R:$R,MATCH($A11,'Valo FX'!$A:$A,0)),INDEX(Base!$U:$U,MATCH($A11,Base!$A:$A,0)),IF(FK$1=INDEX('Valo FX'!$R:$R,MATCH($A11,'Valo FX'!$A:$A,0)),INDEX(Base!$V:$V,MATCH($A11,Base!$A:$A,0)),0)))</f>
        <v>6.593</v>
      </c>
      <c r="FL11" s="21">
        <f>IF(FL$1&lt;INDEX('Valo FX'!$Q:$Q,MATCH($A11,'Valo FX'!$A:$A,0)),0,IF(FL$1&lt;INDEX('Valo FX'!$R:$R,MATCH($A11,'Valo FX'!$A:$A,0)),INDEX(Base!$U:$U,MATCH($A11,Base!$A:$A,0)),IF(FL$1=INDEX('Valo FX'!$R:$R,MATCH($A11,'Valo FX'!$A:$A,0)),INDEX(Base!$V:$V,MATCH($A11,Base!$A:$A,0)),0)))</f>
        <v>6.593</v>
      </c>
      <c r="FM11" s="21">
        <f>IF(FM$1&lt;INDEX('Valo FX'!$Q:$Q,MATCH($A11,'Valo FX'!$A:$A,0)),0,IF(FM$1&lt;INDEX('Valo FX'!$R:$R,MATCH($A11,'Valo FX'!$A:$A,0)),INDEX(Base!$U:$U,MATCH($A11,Base!$A:$A,0)),IF(FM$1=INDEX('Valo FX'!$R:$R,MATCH($A11,'Valo FX'!$A:$A,0)),INDEX(Base!$V:$V,MATCH($A11,Base!$A:$A,0)),0)))</f>
        <v>6.593</v>
      </c>
      <c r="FN11" s="21">
        <f>IF(FN$1&lt;INDEX('Valo FX'!$Q:$Q,MATCH($A11,'Valo FX'!$A:$A,0)),0,IF(FN$1&lt;INDEX('Valo FX'!$R:$R,MATCH($A11,'Valo FX'!$A:$A,0)),INDEX(Base!$U:$U,MATCH($A11,Base!$A:$A,0)),IF(FN$1=INDEX('Valo FX'!$R:$R,MATCH($A11,'Valo FX'!$A:$A,0)),INDEX(Base!$V:$V,MATCH($A11,Base!$A:$A,0)),0)))</f>
        <v>6.593</v>
      </c>
      <c r="FO11" s="21">
        <f>IF(FO$1&lt;INDEX('Valo FX'!$Q:$Q,MATCH($A11,'Valo FX'!$A:$A,0)),0,IF(FO$1&lt;INDEX('Valo FX'!$R:$R,MATCH($A11,'Valo FX'!$A:$A,0)),INDEX(Base!$U:$U,MATCH($A11,Base!$A:$A,0)),IF(FO$1=INDEX('Valo FX'!$R:$R,MATCH($A11,'Valo FX'!$A:$A,0)),INDEX(Base!$V:$V,MATCH($A11,Base!$A:$A,0)),0)))</f>
        <v>6.593</v>
      </c>
      <c r="FP11" s="21">
        <f>IF(FP$1&lt;INDEX('Valo FX'!$Q:$Q,MATCH($A11,'Valo FX'!$A:$A,0)),0,IF(FP$1&lt;INDEX('Valo FX'!$R:$R,MATCH($A11,'Valo FX'!$A:$A,0)),INDEX(Base!$U:$U,MATCH($A11,Base!$A:$A,0)),IF(FP$1=INDEX('Valo FX'!$R:$R,MATCH($A11,'Valo FX'!$A:$A,0)),INDEX(Base!$V:$V,MATCH($A11,Base!$A:$A,0)),0)))</f>
        <v>6.593</v>
      </c>
      <c r="FQ11" s="21">
        <f>IF(FQ$1&lt;INDEX('Valo FX'!$Q:$Q,MATCH($A11,'Valo FX'!$A:$A,0)),0,IF(FQ$1&lt;INDEX('Valo FX'!$R:$R,MATCH($A11,'Valo FX'!$A:$A,0)),INDEX(Base!$U:$U,MATCH($A11,Base!$A:$A,0)),IF(FQ$1=INDEX('Valo FX'!$R:$R,MATCH($A11,'Valo FX'!$A:$A,0)),INDEX(Base!$V:$V,MATCH($A11,Base!$A:$A,0)),0)))</f>
        <v>6.593</v>
      </c>
      <c r="FR11" s="21">
        <f>IF(FR$1&lt;INDEX('Valo FX'!$Q:$Q,MATCH($A11,'Valo FX'!$A:$A,0)),0,IF(FR$1&lt;INDEX('Valo FX'!$R:$R,MATCH($A11,'Valo FX'!$A:$A,0)),INDEX(Base!$U:$U,MATCH($A11,Base!$A:$A,0)),IF(FR$1=INDEX('Valo FX'!$R:$R,MATCH($A11,'Valo FX'!$A:$A,0)),INDEX(Base!$V:$V,MATCH($A11,Base!$A:$A,0)),0)))</f>
        <v>6.593</v>
      </c>
      <c r="FS11" s="21">
        <f>IF(FS$1&lt;INDEX('Valo FX'!$Q:$Q,MATCH($A11,'Valo FX'!$A:$A,0)),0,IF(FS$1&lt;INDEX('Valo FX'!$R:$R,MATCH($A11,'Valo FX'!$A:$A,0)),INDEX(Base!$U:$U,MATCH($A11,Base!$A:$A,0)),IF(FS$1=INDEX('Valo FX'!$R:$R,MATCH($A11,'Valo FX'!$A:$A,0)),INDEX(Base!$V:$V,MATCH($A11,Base!$A:$A,0)),0)))</f>
        <v>6.593</v>
      </c>
      <c r="FT11" s="21">
        <f>IF(FT$1&lt;INDEX('Valo FX'!$Q:$Q,MATCH($A11,'Valo FX'!$A:$A,0)),0,IF(FT$1&lt;INDEX('Valo FX'!$R:$R,MATCH($A11,'Valo FX'!$A:$A,0)),INDEX(Base!$U:$U,MATCH($A11,Base!$A:$A,0)),IF(FT$1=INDEX('Valo FX'!$R:$R,MATCH($A11,'Valo FX'!$A:$A,0)),INDEX(Base!$V:$V,MATCH($A11,Base!$A:$A,0)),0)))</f>
        <v>6.593</v>
      </c>
      <c r="FU11" s="21">
        <f>IF(FU$1&lt;INDEX('Valo FX'!$Q:$Q,MATCH($A11,'Valo FX'!$A:$A,0)),0,IF(FU$1&lt;INDEX('Valo FX'!$R:$R,MATCH($A11,'Valo FX'!$A:$A,0)),INDEX(Base!$U:$U,MATCH($A11,Base!$A:$A,0)),IF(FU$1=INDEX('Valo FX'!$R:$R,MATCH($A11,'Valo FX'!$A:$A,0)),INDEX(Base!$V:$V,MATCH($A11,Base!$A:$A,0)),0)))</f>
        <v>6.593</v>
      </c>
      <c r="FV11" s="21">
        <f>IF(FV$1&lt;INDEX('Valo FX'!$Q:$Q,MATCH($A11,'Valo FX'!$A:$A,0)),0,IF(FV$1&lt;INDEX('Valo FX'!$R:$R,MATCH($A11,'Valo FX'!$A:$A,0)),INDEX(Base!$U:$U,MATCH($A11,Base!$A:$A,0)),IF(FV$1=INDEX('Valo FX'!$R:$R,MATCH($A11,'Valo FX'!$A:$A,0)),INDEX(Base!$V:$V,MATCH($A11,Base!$A:$A,0)),0)))</f>
        <v>6.593</v>
      </c>
      <c r="FW11" s="21">
        <f>IF(FW$1&lt;INDEX('Valo FX'!$Q:$Q,MATCH($A11,'Valo FX'!$A:$A,0)),0,IF(FW$1&lt;INDEX('Valo FX'!$R:$R,MATCH($A11,'Valo FX'!$A:$A,0)),INDEX(Base!$U:$U,MATCH($A11,Base!$A:$A,0)),IF(FW$1=INDEX('Valo FX'!$R:$R,MATCH($A11,'Valo FX'!$A:$A,0)),INDEX(Base!$V:$V,MATCH($A11,Base!$A:$A,0)),0)))</f>
        <v>6.593</v>
      </c>
      <c r="FX11" s="21">
        <f>IF(FX$1&lt;INDEX('Valo FX'!$Q:$Q,MATCH($A11,'Valo FX'!$A:$A,0)),0,IF(FX$1&lt;INDEX('Valo FX'!$R:$R,MATCH($A11,'Valo FX'!$A:$A,0)),INDEX(Base!$U:$U,MATCH($A11,Base!$A:$A,0)),IF(FX$1=INDEX('Valo FX'!$R:$R,MATCH($A11,'Valo FX'!$A:$A,0)),INDEX(Base!$V:$V,MATCH($A11,Base!$A:$A,0)),0)))</f>
        <v>6.593</v>
      </c>
      <c r="FY11" s="21">
        <f>IF(FY$1&lt;INDEX('Valo FX'!$Q:$Q,MATCH($A11,'Valo FX'!$A:$A,0)),0,IF(FY$1&lt;INDEX('Valo FX'!$R:$R,MATCH($A11,'Valo FX'!$A:$A,0)),INDEX(Base!$U:$U,MATCH($A11,Base!$A:$A,0)),IF(FY$1=INDEX('Valo FX'!$R:$R,MATCH($A11,'Valo FX'!$A:$A,0)),INDEX(Base!$V:$V,MATCH($A11,Base!$A:$A,0)),0)))</f>
        <v>6.593</v>
      </c>
      <c r="FZ11" s="21">
        <f>IF(FZ$1&lt;INDEX('Valo FX'!$Q:$Q,MATCH($A11,'Valo FX'!$A:$A,0)),0,IF(FZ$1&lt;INDEX('Valo FX'!$R:$R,MATCH($A11,'Valo FX'!$A:$A,0)),INDEX(Base!$U:$U,MATCH($A11,Base!$A:$A,0)),IF(FZ$1=INDEX('Valo FX'!$R:$R,MATCH($A11,'Valo FX'!$A:$A,0)),INDEX(Base!$V:$V,MATCH($A11,Base!$A:$A,0)),0)))</f>
        <v>6.593</v>
      </c>
      <c r="GA11" s="21">
        <f>IF(GA$1&lt;INDEX('Valo FX'!$Q:$Q,MATCH($A11,'Valo FX'!$A:$A,0)),0,IF(GA$1&lt;INDEX('Valo FX'!$R:$R,MATCH($A11,'Valo FX'!$A:$A,0)),INDEX(Base!$U:$U,MATCH($A11,Base!$A:$A,0)),IF(GA$1=INDEX('Valo FX'!$R:$R,MATCH($A11,'Valo FX'!$A:$A,0)),INDEX(Base!$V:$V,MATCH($A11,Base!$A:$A,0)),0)))</f>
        <v>6.593</v>
      </c>
      <c r="GB11" s="21">
        <f>IF(GB$1&lt;INDEX('Valo FX'!$Q:$Q,MATCH($A11,'Valo FX'!$A:$A,0)),0,IF(GB$1&lt;INDEX('Valo FX'!$R:$R,MATCH($A11,'Valo FX'!$A:$A,0)),INDEX(Base!$U:$U,MATCH($A11,Base!$A:$A,0)),IF(GB$1=INDEX('Valo FX'!$R:$R,MATCH($A11,'Valo FX'!$A:$A,0)),INDEX(Base!$V:$V,MATCH($A11,Base!$A:$A,0)),0)))</f>
        <v>6.593</v>
      </c>
      <c r="GC11" s="21">
        <f>IF(GC$1&lt;INDEX('Valo FX'!$Q:$Q,MATCH($A11,'Valo FX'!$A:$A,0)),0,IF(GC$1&lt;INDEX('Valo FX'!$R:$R,MATCH($A11,'Valo FX'!$A:$A,0)),INDEX(Base!$U:$U,MATCH($A11,Base!$A:$A,0)),IF(GC$1=INDEX('Valo FX'!$R:$R,MATCH($A11,'Valo FX'!$A:$A,0)),INDEX(Base!$V:$V,MATCH($A11,Base!$A:$A,0)),0)))</f>
        <v>6.593</v>
      </c>
      <c r="GD11" s="21">
        <f>IF(GD$1&lt;INDEX('Valo FX'!$Q:$Q,MATCH($A11,'Valo FX'!$A:$A,0)),0,IF(GD$1&lt;INDEX('Valo FX'!$R:$R,MATCH($A11,'Valo FX'!$A:$A,0)),INDEX(Base!$U:$U,MATCH($A11,Base!$A:$A,0)),IF(GD$1=INDEX('Valo FX'!$R:$R,MATCH($A11,'Valo FX'!$A:$A,0)),INDEX(Base!$V:$V,MATCH($A11,Base!$A:$A,0)),0)))</f>
        <v>6.593</v>
      </c>
      <c r="GE11" s="21">
        <f>IF(GE$1&lt;INDEX('Valo FX'!$Q:$Q,MATCH($A11,'Valo FX'!$A:$A,0)),0,IF(GE$1&lt;INDEX('Valo FX'!$R:$R,MATCH($A11,'Valo FX'!$A:$A,0)),INDEX(Base!$U:$U,MATCH($A11,Base!$A:$A,0)),IF(GE$1=INDEX('Valo FX'!$R:$R,MATCH($A11,'Valo FX'!$A:$A,0)),INDEX(Base!$V:$V,MATCH($A11,Base!$A:$A,0)),0)))</f>
        <v>6.593</v>
      </c>
      <c r="GF11" s="21">
        <f>IF(GF$1&lt;INDEX('Valo FX'!$Q:$Q,MATCH($A11,'Valo FX'!$A:$A,0)),0,IF(GF$1&lt;INDEX('Valo FX'!$R:$R,MATCH($A11,'Valo FX'!$A:$A,0)),INDEX(Base!$U:$U,MATCH($A11,Base!$A:$A,0)),IF(GF$1=INDEX('Valo FX'!$R:$R,MATCH($A11,'Valo FX'!$A:$A,0)),INDEX(Base!$V:$V,MATCH($A11,Base!$A:$A,0)),0)))</f>
        <v>6.593</v>
      </c>
      <c r="GG11" s="21">
        <f>IF(GG$1&lt;INDEX('Valo FX'!$Q:$Q,MATCH($A11,'Valo FX'!$A:$A,0)),0,IF(GG$1&lt;INDEX('Valo FX'!$R:$R,MATCH($A11,'Valo FX'!$A:$A,0)),INDEX(Base!$U:$U,MATCH($A11,Base!$A:$A,0)),IF(GG$1=INDEX('Valo FX'!$R:$R,MATCH($A11,'Valo FX'!$A:$A,0)),INDEX(Base!$V:$V,MATCH($A11,Base!$A:$A,0)),0)))</f>
        <v>6.593</v>
      </c>
      <c r="GH11" s="21">
        <f>IF(GH$1&lt;INDEX('Valo FX'!$Q:$Q,MATCH($A11,'Valo FX'!$A:$A,0)),0,IF(GH$1&lt;INDEX('Valo FX'!$R:$R,MATCH($A11,'Valo FX'!$A:$A,0)),INDEX(Base!$U:$U,MATCH($A11,Base!$A:$A,0)),IF(GH$1=INDEX('Valo FX'!$R:$R,MATCH($A11,'Valo FX'!$A:$A,0)),INDEX(Base!$V:$V,MATCH($A11,Base!$A:$A,0)),0)))</f>
        <v>6.593</v>
      </c>
      <c r="GI11" s="21">
        <f>IF(GI$1&lt;INDEX('Valo FX'!$Q:$Q,MATCH($A11,'Valo FX'!$A:$A,0)),0,IF(GI$1&lt;INDEX('Valo FX'!$R:$R,MATCH($A11,'Valo FX'!$A:$A,0)),INDEX(Base!$U:$U,MATCH($A11,Base!$A:$A,0)),IF(GI$1=INDEX('Valo FX'!$R:$R,MATCH($A11,'Valo FX'!$A:$A,0)),INDEX(Base!$V:$V,MATCH($A11,Base!$A:$A,0)),0)))</f>
        <v>6.593</v>
      </c>
      <c r="GJ11" s="21">
        <f>IF(GJ$1&lt;INDEX('Valo FX'!$Q:$Q,MATCH($A11,'Valo FX'!$A:$A,0)),0,IF(GJ$1&lt;INDEX('Valo FX'!$R:$R,MATCH($A11,'Valo FX'!$A:$A,0)),INDEX(Base!$U:$U,MATCH($A11,Base!$A:$A,0)),IF(GJ$1=INDEX('Valo FX'!$R:$R,MATCH($A11,'Valo FX'!$A:$A,0)),INDEX(Base!$V:$V,MATCH($A11,Base!$A:$A,0)),0)))</f>
        <v>6.593</v>
      </c>
      <c r="GK11" s="21">
        <f>IF(GK$1&lt;INDEX('Valo FX'!$Q:$Q,MATCH($A11,'Valo FX'!$A:$A,0)),0,IF(GK$1&lt;INDEX('Valo FX'!$R:$R,MATCH($A11,'Valo FX'!$A:$A,0)),INDEX(Base!$U:$U,MATCH($A11,Base!$A:$A,0)),IF(GK$1=INDEX('Valo FX'!$R:$R,MATCH($A11,'Valo FX'!$A:$A,0)),INDEX(Base!$V:$V,MATCH($A11,Base!$A:$A,0)),0)))</f>
        <v>6.593</v>
      </c>
      <c r="GL11" s="21">
        <f>IF(GL$1&lt;INDEX('Valo FX'!$Q:$Q,MATCH($A11,'Valo FX'!$A:$A,0)),0,IF(GL$1&lt;INDEX('Valo FX'!$R:$R,MATCH($A11,'Valo FX'!$A:$A,0)),INDEX(Base!$U:$U,MATCH($A11,Base!$A:$A,0)),IF(GL$1=INDEX('Valo FX'!$R:$R,MATCH($A11,'Valo FX'!$A:$A,0)),INDEX(Base!$V:$V,MATCH($A11,Base!$A:$A,0)),0)))</f>
        <v>6.593</v>
      </c>
      <c r="GM11" s="21">
        <f>IF(GM$1&lt;INDEX('Valo FX'!$Q:$Q,MATCH($A11,'Valo FX'!$A:$A,0)),0,IF(GM$1&lt;INDEX('Valo FX'!$R:$R,MATCH($A11,'Valo FX'!$A:$A,0)),INDEX(Base!$U:$U,MATCH($A11,Base!$A:$A,0)),IF(GM$1=INDEX('Valo FX'!$R:$R,MATCH($A11,'Valo FX'!$A:$A,0)),INDEX(Base!$V:$V,MATCH($A11,Base!$A:$A,0)),0)))</f>
        <v>6.593</v>
      </c>
      <c r="GN11" s="21">
        <f>IF(GN$1&lt;INDEX('Valo FX'!$Q:$Q,MATCH($A11,'Valo FX'!$A:$A,0)),0,IF(GN$1&lt;INDEX('Valo FX'!$R:$R,MATCH($A11,'Valo FX'!$A:$A,0)),INDEX(Base!$U:$U,MATCH($A11,Base!$A:$A,0)),IF(GN$1=INDEX('Valo FX'!$R:$R,MATCH($A11,'Valo FX'!$A:$A,0)),INDEX(Base!$V:$V,MATCH($A11,Base!$A:$A,0)),0)))</f>
        <v>6.593</v>
      </c>
      <c r="GO11" s="21">
        <f>IF(GO$1&lt;INDEX('Valo FX'!$Q:$Q,MATCH($A11,'Valo FX'!$A:$A,0)),0,IF(GO$1&lt;INDEX('Valo FX'!$R:$R,MATCH($A11,'Valo FX'!$A:$A,0)),INDEX(Base!$U:$U,MATCH($A11,Base!$A:$A,0)),IF(GO$1=INDEX('Valo FX'!$R:$R,MATCH($A11,'Valo FX'!$A:$A,0)),INDEX(Base!$V:$V,MATCH($A11,Base!$A:$A,0)),0)))</f>
        <v>6.593</v>
      </c>
      <c r="GP11" s="21">
        <f>IF(GP$1&lt;INDEX('Valo FX'!$Q:$Q,MATCH($A11,'Valo FX'!$A:$A,0)),0,IF(GP$1&lt;INDEX('Valo FX'!$R:$R,MATCH($A11,'Valo FX'!$A:$A,0)),INDEX(Base!$U:$U,MATCH($A11,Base!$A:$A,0)),IF(GP$1=INDEX('Valo FX'!$R:$R,MATCH($A11,'Valo FX'!$A:$A,0)),INDEX(Base!$V:$V,MATCH($A11,Base!$A:$A,0)),0)))</f>
        <v>6.593</v>
      </c>
      <c r="GQ11" s="21">
        <f>IF(GQ$1&lt;INDEX('Valo FX'!$Q:$Q,MATCH($A11,'Valo FX'!$A:$A,0)),0,IF(GQ$1&lt;INDEX('Valo FX'!$R:$R,MATCH($A11,'Valo FX'!$A:$A,0)),INDEX(Base!$U:$U,MATCH($A11,Base!$A:$A,0)),IF(GQ$1=INDEX('Valo FX'!$R:$R,MATCH($A11,'Valo FX'!$A:$A,0)),INDEX(Base!$V:$V,MATCH($A11,Base!$A:$A,0)),0)))</f>
        <v>6.593</v>
      </c>
      <c r="GR11" s="21">
        <f>IF(GR$1&lt;INDEX('Valo FX'!$Q:$Q,MATCH($A11,'Valo FX'!$A:$A,0)),0,IF(GR$1&lt;INDEX('Valo FX'!$R:$R,MATCH($A11,'Valo FX'!$A:$A,0)),INDEX(Base!$U:$U,MATCH($A11,Base!$A:$A,0)),IF(GR$1=INDEX('Valo FX'!$R:$R,MATCH($A11,'Valo FX'!$A:$A,0)),INDEX(Base!$V:$V,MATCH($A11,Base!$A:$A,0)),0)))</f>
        <v>6.593</v>
      </c>
      <c r="GS11" s="21">
        <f>IF(GS$1&lt;INDEX('Valo FX'!$Q:$Q,MATCH($A11,'Valo FX'!$A:$A,0)),0,IF(GS$1&lt;INDEX('Valo FX'!$R:$R,MATCH($A11,'Valo FX'!$A:$A,0)),INDEX(Base!$U:$U,MATCH($A11,Base!$A:$A,0)),IF(GS$1=INDEX('Valo FX'!$R:$R,MATCH($A11,'Valo FX'!$A:$A,0)),INDEX(Base!$V:$V,MATCH($A11,Base!$A:$A,0)),0)))</f>
        <v>6.593</v>
      </c>
      <c r="GT11" s="21">
        <f>IF(GT$1&lt;INDEX('Valo FX'!$Q:$Q,MATCH($A11,'Valo FX'!$A:$A,0)),0,IF(GT$1&lt;INDEX('Valo FX'!$R:$R,MATCH($A11,'Valo FX'!$A:$A,0)),INDEX(Base!$U:$U,MATCH($A11,Base!$A:$A,0)),IF(GT$1=INDEX('Valo FX'!$R:$R,MATCH($A11,'Valo FX'!$A:$A,0)),INDEX(Base!$V:$V,MATCH($A11,Base!$A:$A,0)),0)))</f>
        <v>6.593</v>
      </c>
      <c r="GU11" s="21">
        <f>IF(GU$1&lt;INDEX('Valo FX'!$Q:$Q,MATCH($A11,'Valo FX'!$A:$A,0)),0,IF(GU$1&lt;INDEX('Valo FX'!$R:$R,MATCH($A11,'Valo FX'!$A:$A,0)),INDEX(Base!$U:$U,MATCH($A11,Base!$A:$A,0)),IF(GU$1=INDEX('Valo FX'!$R:$R,MATCH($A11,'Valo FX'!$A:$A,0)),INDEX(Base!$V:$V,MATCH($A11,Base!$A:$A,0)),0)))</f>
        <v>6.593</v>
      </c>
      <c r="GV11" s="21">
        <f>IF(GV$1&lt;INDEX('Valo FX'!$Q:$Q,MATCH($A11,'Valo FX'!$A:$A,0)),0,IF(GV$1&lt;INDEX('Valo FX'!$R:$R,MATCH($A11,'Valo FX'!$A:$A,0)),INDEX(Base!$U:$U,MATCH($A11,Base!$A:$A,0)),IF(GV$1=INDEX('Valo FX'!$R:$R,MATCH($A11,'Valo FX'!$A:$A,0)),INDEX(Base!$V:$V,MATCH($A11,Base!$A:$A,0)),0)))</f>
        <v>6.593</v>
      </c>
      <c r="GW11" s="21">
        <f>IF(GW$1&lt;INDEX('Valo FX'!$Q:$Q,MATCH($A11,'Valo FX'!$A:$A,0)),0,IF(GW$1&lt;INDEX('Valo FX'!$R:$R,MATCH($A11,'Valo FX'!$A:$A,0)),INDEX(Base!$U:$U,MATCH($A11,Base!$A:$A,0)),IF(GW$1=INDEX('Valo FX'!$R:$R,MATCH($A11,'Valo FX'!$A:$A,0)),INDEX(Base!$V:$V,MATCH($A11,Base!$A:$A,0)),0)))</f>
        <v>6.593</v>
      </c>
      <c r="GX11" s="21">
        <f>IF(GX$1&lt;INDEX('Valo FX'!$Q:$Q,MATCH($A11,'Valo FX'!$A:$A,0)),0,IF(GX$1&lt;INDEX('Valo FX'!$R:$R,MATCH($A11,'Valo FX'!$A:$A,0)),INDEX(Base!$U:$U,MATCH($A11,Base!$A:$A,0)),IF(GX$1=INDEX('Valo FX'!$R:$R,MATCH($A11,'Valo FX'!$A:$A,0)),INDEX(Base!$V:$V,MATCH($A11,Base!$A:$A,0)),0)))</f>
        <v>6.593</v>
      </c>
      <c r="GY11" s="21">
        <f>IF(GY$1&lt;INDEX('Valo FX'!$Q:$Q,MATCH($A11,'Valo FX'!$A:$A,0)),0,IF(GY$1&lt;INDEX('Valo FX'!$R:$R,MATCH($A11,'Valo FX'!$A:$A,0)),INDEX(Base!$U:$U,MATCH($A11,Base!$A:$A,0)),IF(GY$1=INDEX('Valo FX'!$R:$R,MATCH($A11,'Valo FX'!$A:$A,0)),INDEX(Base!$V:$V,MATCH($A11,Base!$A:$A,0)),0)))</f>
        <v>6.593</v>
      </c>
      <c r="GZ11" s="21">
        <f>IF(GZ$1&lt;INDEX('Valo FX'!$Q:$Q,MATCH($A11,'Valo FX'!$A:$A,0)),0,IF(GZ$1&lt;INDEX('Valo FX'!$R:$R,MATCH($A11,'Valo FX'!$A:$A,0)),INDEX(Base!$U:$U,MATCH($A11,Base!$A:$A,0)),IF(GZ$1=INDEX('Valo FX'!$R:$R,MATCH($A11,'Valo FX'!$A:$A,0)),INDEX(Base!$V:$V,MATCH($A11,Base!$A:$A,0)),0)))</f>
        <v>6.593</v>
      </c>
      <c r="HA11" s="21">
        <f>IF(HA$1&lt;INDEX('Valo FX'!$Q:$Q,MATCH($A11,'Valo FX'!$A:$A,0)),0,IF(HA$1&lt;INDEX('Valo FX'!$R:$R,MATCH($A11,'Valo FX'!$A:$A,0)),INDEX(Base!$U:$U,MATCH($A11,Base!$A:$A,0)),IF(HA$1=INDEX('Valo FX'!$R:$R,MATCH($A11,'Valo FX'!$A:$A,0)),INDEX(Base!$V:$V,MATCH($A11,Base!$A:$A,0)),0)))</f>
        <v>6.593</v>
      </c>
      <c r="HB11" s="21">
        <f>IF(HB$1&lt;INDEX('Valo FX'!$Q:$Q,MATCH($A11,'Valo FX'!$A:$A,0)),0,IF(HB$1&lt;INDEX('Valo FX'!$R:$R,MATCH($A11,'Valo FX'!$A:$A,0)),INDEX(Base!$U:$U,MATCH($A11,Base!$A:$A,0)),IF(HB$1=INDEX('Valo FX'!$R:$R,MATCH($A11,'Valo FX'!$A:$A,0)),INDEX(Base!$V:$V,MATCH($A11,Base!$A:$A,0)),0)))</f>
        <v>6.593</v>
      </c>
      <c r="HC11" s="21">
        <f>IF(HC$1&lt;INDEX('Valo FX'!$Q:$Q,MATCH($A11,'Valo FX'!$A:$A,0)),0,IF(HC$1&lt;INDEX('Valo FX'!$R:$R,MATCH($A11,'Valo FX'!$A:$A,0)),INDEX(Base!$U:$U,MATCH($A11,Base!$A:$A,0)),IF(HC$1=INDEX('Valo FX'!$R:$R,MATCH($A11,'Valo FX'!$A:$A,0)),INDEX(Base!$V:$V,MATCH($A11,Base!$A:$A,0)),0)))</f>
        <v>6.593</v>
      </c>
      <c r="HD11" s="21">
        <f>IF(HD$1&lt;INDEX('Valo FX'!$Q:$Q,MATCH($A11,'Valo FX'!$A:$A,0)),0,IF(HD$1&lt;INDEX('Valo FX'!$R:$R,MATCH($A11,'Valo FX'!$A:$A,0)),INDEX(Base!$U:$U,MATCH($A11,Base!$A:$A,0)),IF(HD$1=INDEX('Valo FX'!$R:$R,MATCH($A11,'Valo FX'!$A:$A,0)),INDEX(Base!$V:$V,MATCH($A11,Base!$A:$A,0)),0)))</f>
        <v>6.593</v>
      </c>
      <c r="HE11" s="21">
        <f>IF(HE$1&lt;INDEX('Valo FX'!$Q:$Q,MATCH($A11,'Valo FX'!$A:$A,0)),0,IF(HE$1&lt;INDEX('Valo FX'!$R:$R,MATCH($A11,'Valo FX'!$A:$A,0)),INDEX(Base!$U:$U,MATCH($A11,Base!$A:$A,0)),IF(HE$1=INDEX('Valo FX'!$R:$R,MATCH($A11,'Valo FX'!$A:$A,0)),INDEX(Base!$V:$V,MATCH($A11,Base!$A:$A,0)),0)))</f>
        <v>6.593</v>
      </c>
      <c r="HF11" s="21">
        <f>IF(HF$1&lt;INDEX('Valo FX'!$Q:$Q,MATCH($A11,'Valo FX'!$A:$A,0)),0,IF(HF$1&lt;INDEX('Valo FX'!$R:$R,MATCH($A11,'Valo FX'!$A:$A,0)),INDEX(Base!$U:$U,MATCH($A11,Base!$A:$A,0)),IF(HF$1=INDEX('Valo FX'!$R:$R,MATCH($A11,'Valo FX'!$A:$A,0)),INDEX(Base!$V:$V,MATCH($A11,Base!$A:$A,0)),0)))</f>
        <v>6.593</v>
      </c>
      <c r="HG11" s="21">
        <f>IF(HG$1&lt;INDEX('Valo FX'!$Q:$Q,MATCH($A11,'Valo FX'!$A:$A,0)),0,IF(HG$1&lt;INDEX('Valo FX'!$R:$R,MATCH($A11,'Valo FX'!$A:$A,0)),INDEX(Base!$U:$U,MATCH($A11,Base!$A:$A,0)),IF(HG$1=INDEX('Valo FX'!$R:$R,MATCH($A11,'Valo FX'!$A:$A,0)),INDEX(Base!$V:$V,MATCH($A11,Base!$A:$A,0)),0)))</f>
        <v>6.593</v>
      </c>
      <c r="HH11" s="21">
        <f>IF(HH$1&lt;INDEX('Valo FX'!$Q:$Q,MATCH($A11,'Valo FX'!$A:$A,0)),0,IF(HH$1&lt;INDEX('Valo FX'!$R:$R,MATCH($A11,'Valo FX'!$A:$A,0)),INDEX(Base!$U:$U,MATCH($A11,Base!$A:$A,0)),IF(HH$1=INDEX('Valo FX'!$R:$R,MATCH($A11,'Valo FX'!$A:$A,0)),INDEX(Base!$V:$V,MATCH($A11,Base!$A:$A,0)),0)))</f>
        <v>6.593</v>
      </c>
      <c r="HI11" s="21">
        <f>IF(HI$1&lt;INDEX('Valo FX'!$Q:$Q,MATCH($A11,'Valo FX'!$A:$A,0)),0,IF(HI$1&lt;INDEX('Valo FX'!$R:$R,MATCH($A11,'Valo FX'!$A:$A,0)),INDEX(Base!$U:$U,MATCH($A11,Base!$A:$A,0)),IF(HI$1=INDEX('Valo FX'!$R:$R,MATCH($A11,'Valo FX'!$A:$A,0)),INDEX(Base!$V:$V,MATCH($A11,Base!$A:$A,0)),0)))</f>
        <v>6.593</v>
      </c>
      <c r="HJ11" s="21">
        <f>IF(HJ$1&lt;INDEX('Valo FX'!$Q:$Q,MATCH($A11,'Valo FX'!$A:$A,0)),0,IF(HJ$1&lt;INDEX('Valo FX'!$R:$R,MATCH($A11,'Valo FX'!$A:$A,0)),INDEX(Base!$U:$U,MATCH($A11,Base!$A:$A,0)),IF(HJ$1=INDEX('Valo FX'!$R:$R,MATCH($A11,'Valo FX'!$A:$A,0)),INDEX(Base!$V:$V,MATCH($A11,Base!$A:$A,0)),0)))</f>
        <v>6.593</v>
      </c>
      <c r="HK11" s="21">
        <f>IF(HK$1&lt;INDEX('Valo FX'!$Q:$Q,MATCH($A11,'Valo FX'!$A:$A,0)),0,IF(HK$1&lt;INDEX('Valo FX'!$R:$R,MATCH($A11,'Valo FX'!$A:$A,0)),INDEX(Base!$U:$U,MATCH($A11,Base!$A:$A,0)),IF(HK$1=INDEX('Valo FX'!$R:$R,MATCH($A11,'Valo FX'!$A:$A,0)),INDEX(Base!$V:$V,MATCH($A11,Base!$A:$A,0)),0)))</f>
        <v>6.5086399999999998</v>
      </c>
      <c r="HL11" s="21">
        <f>IF(HL$1&lt;INDEX('Valo FX'!$Q:$Q,MATCH($A11,'Valo FX'!$A:$A,0)),0,IF(HL$1&lt;INDEX('Valo FX'!$R:$R,MATCH($A11,'Valo FX'!$A:$A,0)),INDEX(Base!$U:$U,MATCH($A11,Base!$A:$A,0)),IF(HL$1=INDEX('Valo FX'!$R:$R,MATCH($A11,'Valo FX'!$A:$A,0)),INDEX(Base!$V:$V,MATCH($A11,Base!$A:$A,0)),0)))</f>
        <v>0</v>
      </c>
      <c r="HM11" s="21">
        <f>IF(HM$1&lt;INDEX('Valo FX'!$Q:$Q,MATCH($A11,'Valo FX'!$A:$A,0)),0,IF(HM$1&lt;INDEX('Valo FX'!$R:$R,MATCH($A11,'Valo FX'!$A:$A,0)),INDEX(Base!$U:$U,MATCH($A11,Base!$A:$A,0)),IF(HM$1=INDEX('Valo FX'!$R:$R,MATCH($A11,'Valo FX'!$A:$A,0)),INDEX(Base!$V:$V,MATCH($A11,Base!$A:$A,0)),0)))</f>
        <v>0</v>
      </c>
      <c r="HN11" s="21">
        <f>IF(HN$1&lt;INDEX('Valo FX'!$Q:$Q,MATCH($A11,'Valo FX'!$A:$A,0)),0,IF(HN$1&lt;INDEX('Valo FX'!$R:$R,MATCH($A11,'Valo FX'!$A:$A,0)),INDEX(Base!$U:$U,MATCH($A11,Base!$A:$A,0)),IF(HN$1=INDEX('Valo FX'!$R:$R,MATCH($A11,'Valo FX'!$A:$A,0)),INDEX(Base!$V:$V,MATCH($A11,Base!$A:$A,0)),0)))</f>
        <v>0</v>
      </c>
      <c r="HO11" s="21">
        <f>IF(HO$1&lt;INDEX('Valo FX'!$Q:$Q,MATCH($A11,'Valo FX'!$A:$A,0)),0,IF(HO$1&lt;INDEX('Valo FX'!$R:$R,MATCH($A11,'Valo FX'!$A:$A,0)),INDEX(Base!$U:$U,MATCH($A11,Base!$A:$A,0)),IF(HO$1=INDEX('Valo FX'!$R:$R,MATCH($A11,'Valo FX'!$A:$A,0)),INDEX(Base!$V:$V,MATCH($A11,Base!$A:$A,0)),0)))</f>
        <v>0</v>
      </c>
      <c r="HP11" s="21">
        <f>IF(HP$1&lt;INDEX('Valo FX'!$Q:$Q,MATCH($A11,'Valo FX'!$A:$A,0)),0,IF(HP$1&lt;INDEX('Valo FX'!$R:$R,MATCH($A11,'Valo FX'!$A:$A,0)),INDEX(Base!$U:$U,MATCH($A11,Base!$A:$A,0)),IF(HP$1=INDEX('Valo FX'!$R:$R,MATCH($A11,'Valo FX'!$A:$A,0)),INDEX(Base!$V:$V,MATCH($A11,Base!$A:$A,0)),0)))</f>
        <v>0</v>
      </c>
      <c r="HQ11" s="21">
        <f>IF(HQ$1&lt;INDEX('Valo FX'!$Q:$Q,MATCH($A11,'Valo FX'!$A:$A,0)),0,IF(HQ$1&lt;INDEX('Valo FX'!$R:$R,MATCH($A11,'Valo FX'!$A:$A,0)),INDEX(Base!$U:$U,MATCH($A11,Base!$A:$A,0)),IF(HQ$1=INDEX('Valo FX'!$R:$R,MATCH($A11,'Valo FX'!$A:$A,0)),INDEX(Base!$V:$V,MATCH($A11,Base!$A:$A,0)),0)))</f>
        <v>0</v>
      </c>
      <c r="HR11" s="21">
        <f>IF(HR$1&lt;INDEX('Valo FX'!$Q:$Q,MATCH($A11,'Valo FX'!$A:$A,0)),0,IF(HR$1&lt;INDEX('Valo FX'!$R:$R,MATCH($A11,'Valo FX'!$A:$A,0)),INDEX(Base!$U:$U,MATCH($A11,Base!$A:$A,0)),IF(HR$1=INDEX('Valo FX'!$R:$R,MATCH($A11,'Valo FX'!$A:$A,0)),INDEX(Base!$V:$V,MATCH($A11,Base!$A:$A,0)),0)))</f>
        <v>0</v>
      </c>
      <c r="HS11" s="21">
        <f>IF(HS$1&lt;INDEX('Valo FX'!$Q:$Q,MATCH($A11,'Valo FX'!$A:$A,0)),0,IF(HS$1&lt;INDEX('Valo FX'!$R:$R,MATCH($A11,'Valo FX'!$A:$A,0)),INDEX(Base!$U:$U,MATCH($A11,Base!$A:$A,0)),IF(HS$1=INDEX('Valo FX'!$R:$R,MATCH($A11,'Valo FX'!$A:$A,0)),INDEX(Base!$V:$V,MATCH($A11,Base!$A:$A,0)),0)))</f>
        <v>0</v>
      </c>
      <c r="HT11" s="21">
        <f>IF(HT$1&lt;INDEX('Valo FX'!$Q:$Q,MATCH($A11,'Valo FX'!$A:$A,0)),0,IF(HT$1&lt;INDEX('Valo FX'!$R:$R,MATCH($A11,'Valo FX'!$A:$A,0)),INDEX(Base!$U:$U,MATCH($A11,Base!$A:$A,0)),IF(HT$1=INDEX('Valo FX'!$R:$R,MATCH($A11,'Valo FX'!$A:$A,0)),INDEX(Base!$V:$V,MATCH($A11,Base!$A:$A,0)),0)))</f>
        <v>0</v>
      </c>
      <c r="HU11" s="21">
        <f>IF(HU$1&lt;INDEX('Valo FX'!$Q:$Q,MATCH($A11,'Valo FX'!$A:$A,0)),0,IF(HU$1&lt;INDEX('Valo FX'!$R:$R,MATCH($A11,'Valo FX'!$A:$A,0)),INDEX(Base!$U:$U,MATCH($A11,Base!$A:$A,0)),IF(HU$1=INDEX('Valo FX'!$R:$R,MATCH($A11,'Valo FX'!$A:$A,0)),INDEX(Base!$V:$V,MATCH($A11,Base!$A:$A,0)),0)))</f>
        <v>0</v>
      </c>
      <c r="HV11" s="21">
        <f>IF(HV$1&lt;INDEX('Valo FX'!$Q:$Q,MATCH($A11,'Valo FX'!$A:$A,0)),0,IF(HV$1&lt;INDEX('Valo FX'!$R:$R,MATCH($A11,'Valo FX'!$A:$A,0)),INDEX(Base!$U:$U,MATCH($A11,Base!$A:$A,0)),IF(HV$1=INDEX('Valo FX'!$R:$R,MATCH($A11,'Valo FX'!$A:$A,0)),INDEX(Base!$V:$V,MATCH($A11,Base!$A:$A,0)),0)))</f>
        <v>0</v>
      </c>
      <c r="HW11" s="21">
        <f>IF(HW$1&lt;INDEX('Valo FX'!$Q:$Q,MATCH($A11,'Valo FX'!$A:$A,0)),0,IF(HW$1&lt;INDEX('Valo FX'!$R:$R,MATCH($A11,'Valo FX'!$A:$A,0)),INDEX(Base!$U:$U,MATCH($A11,Base!$A:$A,0)),IF(HW$1=INDEX('Valo FX'!$R:$R,MATCH($A11,'Valo FX'!$A:$A,0)),INDEX(Base!$V:$V,MATCH($A11,Base!$A:$A,0)),0)))</f>
        <v>0</v>
      </c>
      <c r="HX11" s="21">
        <f>IF(HX$1&lt;INDEX('Valo FX'!$Q:$Q,MATCH($A11,'Valo FX'!$A:$A,0)),0,IF(HX$1&lt;INDEX('Valo FX'!$R:$R,MATCH($A11,'Valo FX'!$A:$A,0)),INDEX(Base!$U:$U,MATCH($A11,Base!$A:$A,0)),IF(HX$1=INDEX('Valo FX'!$R:$R,MATCH($A11,'Valo FX'!$A:$A,0)),INDEX(Base!$V:$V,MATCH($A11,Base!$A:$A,0)),0)))</f>
        <v>0</v>
      </c>
      <c r="HY11" s="21">
        <f>IF(HY$1&lt;INDEX('Valo FX'!$Q:$Q,MATCH($A11,'Valo FX'!$A:$A,0)),0,IF(HY$1&lt;INDEX('Valo FX'!$R:$R,MATCH($A11,'Valo FX'!$A:$A,0)),INDEX(Base!$U:$U,MATCH($A11,Base!$A:$A,0)),IF(HY$1=INDEX('Valo FX'!$R:$R,MATCH($A11,'Valo FX'!$A:$A,0)),INDEX(Base!$V:$V,MATCH($A11,Base!$A:$A,0)),0)))</f>
        <v>0</v>
      </c>
      <c r="HZ11" s="21">
        <f>IF(HZ$1&lt;INDEX('Valo FX'!$Q:$Q,MATCH($A11,'Valo FX'!$A:$A,0)),0,IF(HZ$1&lt;INDEX('Valo FX'!$R:$R,MATCH($A11,'Valo FX'!$A:$A,0)),INDEX(Base!$U:$U,MATCH($A11,Base!$A:$A,0)),IF(HZ$1=INDEX('Valo FX'!$R:$R,MATCH($A11,'Valo FX'!$A:$A,0)),INDEX(Base!$V:$V,MATCH($A11,Base!$A:$A,0)),0)))</f>
        <v>0</v>
      </c>
      <c r="IA11" s="21">
        <f>IF(IA$1&lt;INDEX('Valo FX'!$Q:$Q,MATCH($A11,'Valo FX'!$A:$A,0)),0,IF(IA$1&lt;INDEX('Valo FX'!$R:$R,MATCH($A11,'Valo FX'!$A:$A,0)),INDEX(Base!$U:$U,MATCH($A11,Base!$A:$A,0)),IF(IA$1=INDEX('Valo FX'!$R:$R,MATCH($A11,'Valo FX'!$A:$A,0)),INDEX(Base!$V:$V,MATCH($A11,Base!$A:$A,0)),0)))</f>
        <v>0</v>
      </c>
      <c r="IB11" s="21">
        <f>IF(IB$1&lt;INDEX('Valo FX'!$Q:$Q,MATCH($A11,'Valo FX'!$A:$A,0)),0,IF(IB$1&lt;INDEX('Valo FX'!$R:$R,MATCH($A11,'Valo FX'!$A:$A,0)),INDEX(Base!$U:$U,MATCH($A11,Base!$A:$A,0)),IF(IB$1=INDEX('Valo FX'!$R:$R,MATCH($A11,'Valo FX'!$A:$A,0)),INDEX(Base!$V:$V,MATCH($A11,Base!$A:$A,0)),0)))</f>
        <v>0</v>
      </c>
      <c r="IC11" s="21">
        <f>IF(IC$1&lt;INDEX('Valo FX'!$Q:$Q,MATCH($A11,'Valo FX'!$A:$A,0)),0,IF(IC$1&lt;INDEX('Valo FX'!$R:$R,MATCH($A11,'Valo FX'!$A:$A,0)),INDEX(Base!$U:$U,MATCH($A11,Base!$A:$A,0)),IF(IC$1=INDEX('Valo FX'!$R:$R,MATCH($A11,'Valo FX'!$A:$A,0)),INDEX(Base!$V:$V,MATCH($A11,Base!$A:$A,0)),0)))</f>
        <v>0</v>
      </c>
      <c r="ID11" s="21">
        <f>IF(ID$1&lt;INDEX('Valo FX'!$Q:$Q,MATCH($A11,'Valo FX'!$A:$A,0)),0,IF(ID$1&lt;INDEX('Valo FX'!$R:$R,MATCH($A11,'Valo FX'!$A:$A,0)),INDEX(Base!$U:$U,MATCH($A11,Base!$A:$A,0)),IF(ID$1=INDEX('Valo FX'!$R:$R,MATCH($A11,'Valo FX'!$A:$A,0)),INDEX(Base!$V:$V,MATCH($A11,Base!$A:$A,0)),0)))</f>
        <v>0</v>
      </c>
      <c r="IE11" s="21">
        <f>IF(IE$1&lt;INDEX('Valo FX'!$Q:$Q,MATCH($A11,'Valo FX'!$A:$A,0)),0,IF(IE$1&lt;INDEX('Valo FX'!$R:$R,MATCH($A11,'Valo FX'!$A:$A,0)),INDEX(Base!$U:$U,MATCH($A11,Base!$A:$A,0)),IF(IE$1=INDEX('Valo FX'!$R:$R,MATCH($A11,'Valo FX'!$A:$A,0)),INDEX(Base!$V:$V,MATCH($A11,Base!$A:$A,0)),0)))</f>
        <v>0</v>
      </c>
      <c r="IF11" s="21">
        <f>IF(IF$1&lt;INDEX('Valo FX'!$Q:$Q,MATCH($A11,'Valo FX'!$A:$A,0)),0,IF(IF$1&lt;INDEX('Valo FX'!$R:$R,MATCH($A11,'Valo FX'!$A:$A,0)),INDEX(Base!$U:$U,MATCH($A11,Base!$A:$A,0)),IF(IF$1=INDEX('Valo FX'!$R:$R,MATCH($A11,'Valo FX'!$A:$A,0)),INDEX(Base!$V:$V,MATCH($A11,Base!$A:$A,0)),0)))</f>
        <v>0</v>
      </c>
      <c r="IG11" s="21">
        <f>IF(IG$1&lt;INDEX('Valo FX'!$Q:$Q,MATCH($A11,'Valo FX'!$A:$A,0)),0,IF(IG$1&lt;INDEX('Valo FX'!$R:$R,MATCH($A11,'Valo FX'!$A:$A,0)),INDEX(Base!$U:$U,MATCH($A11,Base!$A:$A,0)),IF(IG$1=INDEX('Valo FX'!$R:$R,MATCH($A11,'Valo FX'!$A:$A,0)),INDEX(Base!$V:$V,MATCH($A11,Base!$A:$A,0)),0)))</f>
        <v>0</v>
      </c>
      <c r="IH11" s="21">
        <f>IF(IH$1&lt;INDEX('Valo FX'!$Q:$Q,MATCH($A11,'Valo FX'!$A:$A,0)),0,IF(IH$1&lt;INDEX('Valo FX'!$R:$R,MATCH($A11,'Valo FX'!$A:$A,0)),INDEX(Base!$U:$U,MATCH($A11,Base!$A:$A,0)),IF(IH$1=INDEX('Valo FX'!$R:$R,MATCH($A11,'Valo FX'!$A:$A,0)),INDEX(Base!$V:$V,MATCH($A11,Base!$A:$A,0)),0)))</f>
        <v>0</v>
      </c>
      <c r="II11" s="21">
        <f>IF(II$1&lt;INDEX('Valo FX'!$Q:$Q,MATCH($A11,'Valo FX'!$A:$A,0)),0,IF(II$1&lt;INDEX('Valo FX'!$R:$R,MATCH($A11,'Valo FX'!$A:$A,0)),INDEX(Base!$U:$U,MATCH($A11,Base!$A:$A,0)),IF(II$1=INDEX('Valo FX'!$R:$R,MATCH($A11,'Valo FX'!$A:$A,0)),INDEX(Base!$V:$V,MATCH($A11,Base!$A:$A,0)),0)))</f>
        <v>0</v>
      </c>
      <c r="IJ11" s="21">
        <f>IF(IJ$1&lt;INDEX('Valo FX'!$Q:$Q,MATCH($A11,'Valo FX'!$A:$A,0)),0,IF(IJ$1&lt;INDEX('Valo FX'!$R:$R,MATCH($A11,'Valo FX'!$A:$A,0)),INDEX(Base!$U:$U,MATCH($A11,Base!$A:$A,0)),IF(IJ$1=INDEX('Valo FX'!$R:$R,MATCH($A11,'Valo FX'!$A:$A,0)),INDEX(Base!$V:$V,MATCH($A11,Base!$A:$A,0)),0)))</f>
        <v>0</v>
      </c>
      <c r="IK11" s="21">
        <f>IF(IK$1&lt;INDEX('Valo FX'!$Q:$Q,MATCH($A11,'Valo FX'!$A:$A,0)),0,IF(IK$1&lt;INDEX('Valo FX'!$R:$R,MATCH($A11,'Valo FX'!$A:$A,0)),INDEX(Base!$U:$U,MATCH($A11,Base!$A:$A,0)),IF(IK$1=INDEX('Valo FX'!$R:$R,MATCH($A11,'Valo FX'!$A:$A,0)),INDEX(Base!$V:$V,MATCH($A11,Base!$A:$A,0)),0)))</f>
        <v>0</v>
      </c>
      <c r="IL11" s="21">
        <f>IF(IL$1&lt;INDEX('Valo FX'!$Q:$Q,MATCH($A11,'Valo FX'!$A:$A,0)),0,IF(IL$1&lt;INDEX('Valo FX'!$R:$R,MATCH($A11,'Valo FX'!$A:$A,0)),INDEX(Base!$U:$U,MATCH($A11,Base!$A:$A,0)),IF(IL$1=INDEX('Valo FX'!$R:$R,MATCH($A11,'Valo FX'!$A:$A,0)),INDEX(Base!$V:$V,MATCH($A11,Base!$A:$A,0)),0)))</f>
        <v>0</v>
      </c>
      <c r="IM11" s="21">
        <f>IF(IM$1&lt;INDEX('Valo FX'!$Q:$Q,MATCH($A11,'Valo FX'!$A:$A,0)),0,IF(IM$1&lt;INDEX('Valo FX'!$R:$R,MATCH($A11,'Valo FX'!$A:$A,0)),INDEX(Base!$U:$U,MATCH($A11,Base!$A:$A,0)),IF(IM$1=INDEX('Valo FX'!$R:$R,MATCH($A11,'Valo FX'!$A:$A,0)),INDEX(Base!$V:$V,MATCH($A11,Base!$A:$A,0)),0)))</f>
        <v>0</v>
      </c>
      <c r="IN11" s="21">
        <f>IF(IN$1&lt;INDEX('Valo FX'!$Q:$Q,MATCH($A11,'Valo FX'!$A:$A,0)),0,IF(IN$1&lt;INDEX('Valo FX'!$R:$R,MATCH($A11,'Valo FX'!$A:$A,0)),INDEX(Base!$U:$U,MATCH($A11,Base!$A:$A,0)),IF(IN$1=INDEX('Valo FX'!$R:$R,MATCH($A11,'Valo FX'!$A:$A,0)),INDEX(Base!$V:$V,MATCH($A11,Base!$A:$A,0)),0)))</f>
        <v>0</v>
      </c>
      <c r="IO11" s="21">
        <f>IF(IO$1&lt;INDEX('Valo FX'!$Q:$Q,MATCH($A11,'Valo FX'!$A:$A,0)),0,IF(IO$1&lt;INDEX('Valo FX'!$R:$R,MATCH($A11,'Valo FX'!$A:$A,0)),INDEX(Base!$U:$U,MATCH($A11,Base!$A:$A,0)),IF(IO$1=INDEX('Valo FX'!$R:$R,MATCH($A11,'Valo FX'!$A:$A,0)),INDEX(Base!$V:$V,MATCH($A11,Base!$A:$A,0)),0)))</f>
        <v>0</v>
      </c>
      <c r="IP11" s="21">
        <f>IF(IP$1&lt;INDEX('Valo FX'!$Q:$Q,MATCH($A11,'Valo FX'!$A:$A,0)),0,IF(IP$1&lt;INDEX('Valo FX'!$R:$R,MATCH($A11,'Valo FX'!$A:$A,0)),INDEX(Base!$U:$U,MATCH($A11,Base!$A:$A,0)),IF(IP$1=INDEX('Valo FX'!$R:$R,MATCH($A11,'Valo FX'!$A:$A,0)),INDEX(Base!$V:$V,MATCH($A11,Base!$A:$A,0)),0)))</f>
        <v>0</v>
      </c>
      <c r="IQ11" s="21">
        <f>IF(IQ$1&lt;INDEX('Valo FX'!$Q:$Q,MATCH($A11,'Valo FX'!$A:$A,0)),0,IF(IQ$1&lt;INDEX('Valo FX'!$R:$R,MATCH($A11,'Valo FX'!$A:$A,0)),INDEX(Base!$U:$U,MATCH($A11,Base!$A:$A,0)),IF(IQ$1=INDEX('Valo FX'!$R:$R,MATCH($A11,'Valo FX'!$A:$A,0)),INDEX(Base!$V:$V,MATCH($A11,Base!$A:$A,0)),0)))</f>
        <v>0</v>
      </c>
      <c r="IR11" s="21">
        <f>IF(IR$1&lt;INDEX('Valo FX'!$Q:$Q,MATCH($A11,'Valo FX'!$A:$A,0)),0,IF(IR$1&lt;INDEX('Valo FX'!$R:$R,MATCH($A11,'Valo FX'!$A:$A,0)),INDEX(Base!$U:$U,MATCH($A11,Base!$A:$A,0)),IF(IR$1=INDEX('Valo FX'!$R:$R,MATCH($A11,'Valo FX'!$A:$A,0)),INDEX(Base!$V:$V,MATCH($A11,Base!$A:$A,0)),0)))</f>
        <v>0</v>
      </c>
      <c r="IS11" s="21">
        <f>IF(IS$1&lt;INDEX('Valo FX'!$Q:$Q,MATCH($A11,'Valo FX'!$A:$A,0)),0,IF(IS$1&lt;INDEX('Valo FX'!$R:$R,MATCH($A11,'Valo FX'!$A:$A,0)),INDEX(Base!$U:$U,MATCH($A11,Base!$A:$A,0)),IF(IS$1=INDEX('Valo FX'!$R:$R,MATCH($A11,'Valo FX'!$A:$A,0)),INDEX(Base!$V:$V,MATCH($A11,Base!$A:$A,0)),0)))</f>
        <v>0</v>
      </c>
      <c r="IT11" s="21">
        <f>IF(IT$1&lt;INDEX('Valo FX'!$Q:$Q,MATCH($A11,'Valo FX'!$A:$A,0)),0,IF(IT$1&lt;INDEX('Valo FX'!$R:$R,MATCH($A11,'Valo FX'!$A:$A,0)),INDEX(Base!$U:$U,MATCH($A11,Base!$A:$A,0)),IF(IT$1=INDEX('Valo FX'!$R:$R,MATCH($A11,'Valo FX'!$A:$A,0)),INDEX(Base!$V:$V,MATCH($A11,Base!$A:$A,0)),0)))</f>
        <v>0</v>
      </c>
      <c r="IU11" s="21">
        <f>IF(IU$1&lt;INDEX('Valo FX'!$Q:$Q,MATCH($A11,'Valo FX'!$A:$A,0)),0,IF(IU$1&lt;INDEX('Valo FX'!$R:$R,MATCH($A11,'Valo FX'!$A:$A,0)),INDEX(Base!$U:$U,MATCH($A11,Base!$A:$A,0)),IF(IU$1=INDEX('Valo FX'!$R:$R,MATCH($A11,'Valo FX'!$A:$A,0)),INDEX(Base!$V:$V,MATCH($A11,Base!$A:$A,0)),0)))</f>
        <v>0</v>
      </c>
      <c r="IV11" s="21">
        <f>IF(IV$1&lt;INDEX('Valo FX'!$Q:$Q,MATCH($A11,'Valo FX'!$A:$A,0)),0,IF(IV$1&lt;INDEX('Valo FX'!$R:$R,MATCH($A11,'Valo FX'!$A:$A,0)),INDEX(Base!$U:$U,MATCH($A11,Base!$A:$A,0)),IF(IV$1=INDEX('Valo FX'!$R:$R,MATCH($A11,'Valo FX'!$A:$A,0)),INDEX(Base!$V:$V,MATCH($A11,Base!$A:$A,0)),0)))</f>
        <v>0</v>
      </c>
      <c r="IW11" s="21">
        <f>IF(IW$1&lt;INDEX('Valo FX'!$Q:$Q,MATCH($A11,'Valo FX'!$A:$A,0)),0,IF(IW$1&lt;INDEX('Valo FX'!$R:$R,MATCH($A11,'Valo FX'!$A:$A,0)),INDEX(Base!$U:$U,MATCH($A11,Base!$A:$A,0)),IF(IW$1=INDEX('Valo FX'!$R:$R,MATCH($A11,'Valo FX'!$A:$A,0)),INDEX(Base!$V:$V,MATCH($A11,Base!$A:$A,0)),0)))</f>
        <v>0</v>
      </c>
      <c r="IX11" s="21">
        <f>IF(IX$1&lt;INDEX('Valo FX'!$Q:$Q,MATCH($A11,'Valo FX'!$A:$A,0)),0,IF(IX$1&lt;INDEX('Valo FX'!$R:$R,MATCH($A11,'Valo FX'!$A:$A,0)),INDEX(Base!$U:$U,MATCH($A11,Base!$A:$A,0)),IF(IX$1=INDEX('Valo FX'!$R:$R,MATCH($A11,'Valo FX'!$A:$A,0)),INDEX(Base!$V:$V,MATCH($A11,Base!$A:$A,0)),0)))</f>
        <v>0</v>
      </c>
      <c r="IY11" s="21">
        <f>IF(IY$1&lt;INDEX('Valo FX'!$Q:$Q,MATCH($A11,'Valo FX'!$A:$A,0)),0,IF(IY$1&lt;INDEX('Valo FX'!$R:$R,MATCH($A11,'Valo FX'!$A:$A,0)),INDEX(Base!$U:$U,MATCH($A11,Base!$A:$A,0)),IF(IY$1=INDEX('Valo FX'!$R:$R,MATCH($A11,'Valo FX'!$A:$A,0)),INDEX(Base!$V:$V,MATCH($A11,Base!$A:$A,0)),0)))</f>
        <v>0</v>
      </c>
      <c r="IZ11" s="21">
        <f>IF(IZ$1&lt;INDEX('Valo FX'!$Q:$Q,MATCH($A11,'Valo FX'!$A:$A,0)),0,IF(IZ$1&lt;INDEX('Valo FX'!$R:$R,MATCH($A11,'Valo FX'!$A:$A,0)),INDEX(Base!$U:$U,MATCH($A11,Base!$A:$A,0)),IF(IZ$1=INDEX('Valo FX'!$R:$R,MATCH($A11,'Valo FX'!$A:$A,0)),INDEX(Base!$V:$V,MATCH($A11,Base!$A:$A,0)),0)))</f>
        <v>0</v>
      </c>
      <c r="JA11" s="21">
        <f>IF(JA$1&lt;INDEX('Valo FX'!$Q:$Q,MATCH($A11,'Valo FX'!$A:$A,0)),0,IF(JA$1&lt;INDEX('Valo FX'!$R:$R,MATCH($A11,'Valo FX'!$A:$A,0)),INDEX(Base!$U:$U,MATCH($A11,Base!$A:$A,0)),IF(JA$1=INDEX('Valo FX'!$R:$R,MATCH($A11,'Valo FX'!$A:$A,0)),INDEX(Base!$V:$V,MATCH($A11,Base!$A:$A,0)),0)))</f>
        <v>0</v>
      </c>
      <c r="JB11" s="21">
        <f>IF(JB$1&lt;INDEX('Valo FX'!$Q:$Q,MATCH($A11,'Valo FX'!$A:$A,0)),0,IF(JB$1&lt;INDEX('Valo FX'!$R:$R,MATCH($A11,'Valo FX'!$A:$A,0)),INDEX(Base!$U:$U,MATCH($A11,Base!$A:$A,0)),IF(JB$1=INDEX('Valo FX'!$R:$R,MATCH($A11,'Valo FX'!$A:$A,0)),INDEX(Base!$V:$V,MATCH($A11,Base!$A:$A,0)),0)))</f>
        <v>0</v>
      </c>
      <c r="JC11" s="21">
        <f>IF(JC$1&lt;INDEX('Valo FX'!$Q:$Q,MATCH($A11,'Valo FX'!$A:$A,0)),0,IF(JC$1&lt;INDEX('Valo FX'!$R:$R,MATCH($A11,'Valo FX'!$A:$A,0)),INDEX(Base!$U:$U,MATCH($A11,Base!$A:$A,0)),IF(JC$1=INDEX('Valo FX'!$R:$R,MATCH($A11,'Valo FX'!$A:$A,0)),INDEX(Base!$V:$V,MATCH($A11,Base!$A:$A,0)),0)))</f>
        <v>0</v>
      </c>
      <c r="JD11" s="21">
        <f>IF(JD$1&lt;INDEX('Valo FX'!$Q:$Q,MATCH($A11,'Valo FX'!$A:$A,0)),0,IF(JD$1&lt;INDEX('Valo FX'!$R:$R,MATCH($A11,'Valo FX'!$A:$A,0)),INDEX(Base!$U:$U,MATCH($A11,Base!$A:$A,0)),IF(JD$1=INDEX('Valo FX'!$R:$R,MATCH($A11,'Valo FX'!$A:$A,0)),INDEX(Base!$V:$V,MATCH($A11,Base!$A:$A,0)),0)))</f>
        <v>0</v>
      </c>
      <c r="JE11" s="21">
        <f>IF(JE$1&lt;INDEX('Valo FX'!$Q:$Q,MATCH($A11,'Valo FX'!$A:$A,0)),0,IF(JE$1&lt;INDEX('Valo FX'!$R:$R,MATCH($A11,'Valo FX'!$A:$A,0)),INDEX(Base!$U:$U,MATCH($A11,Base!$A:$A,0)),IF(JE$1=INDEX('Valo FX'!$R:$R,MATCH($A11,'Valo FX'!$A:$A,0)),INDEX(Base!$V:$V,MATCH($A11,Base!$A:$A,0)),0)))</f>
        <v>0</v>
      </c>
      <c r="JF11" s="21">
        <f>IF(JF$1&lt;INDEX('Valo FX'!$Q:$Q,MATCH($A11,'Valo FX'!$A:$A,0)),0,IF(JF$1&lt;INDEX('Valo FX'!$R:$R,MATCH($A11,'Valo FX'!$A:$A,0)),INDEX(Base!$U:$U,MATCH($A11,Base!$A:$A,0)),IF(JF$1=INDEX('Valo FX'!$R:$R,MATCH($A11,'Valo FX'!$A:$A,0)),INDEX(Base!$V:$V,MATCH($A11,Base!$A:$A,0)),0)))</f>
        <v>0</v>
      </c>
      <c r="JG11" s="21">
        <f>IF(JG$1&lt;INDEX('Valo FX'!$Q:$Q,MATCH($A11,'Valo FX'!$A:$A,0)),0,IF(JG$1&lt;INDEX('Valo FX'!$R:$R,MATCH($A11,'Valo FX'!$A:$A,0)),INDEX(Base!$U:$U,MATCH($A11,Base!$A:$A,0)),IF(JG$1=INDEX('Valo FX'!$R:$R,MATCH($A11,'Valo FX'!$A:$A,0)),INDEX(Base!$V:$V,MATCH($A11,Base!$A:$A,0)),0)))</f>
        <v>0</v>
      </c>
      <c r="JH11" s="21">
        <f>IF(JH$1&lt;INDEX('Valo FX'!$Q:$Q,MATCH($A11,'Valo FX'!$A:$A,0)),0,IF(JH$1&lt;INDEX('Valo FX'!$R:$R,MATCH($A11,'Valo FX'!$A:$A,0)),INDEX(Base!$U:$U,MATCH($A11,Base!$A:$A,0)),IF(JH$1=INDEX('Valo FX'!$R:$R,MATCH($A11,'Valo FX'!$A:$A,0)),INDEX(Base!$V:$V,MATCH($A11,Base!$A:$A,0)),0)))</f>
        <v>0</v>
      </c>
      <c r="JI11" s="21">
        <f>IF(JI$1&lt;INDEX('Valo FX'!$Q:$Q,MATCH($A11,'Valo FX'!$A:$A,0)),0,IF(JI$1&lt;INDEX('Valo FX'!$R:$R,MATCH($A11,'Valo FX'!$A:$A,0)),INDEX(Base!$U:$U,MATCH($A11,Base!$A:$A,0)),IF(JI$1=INDEX('Valo FX'!$R:$R,MATCH($A11,'Valo FX'!$A:$A,0)),INDEX(Base!$V:$V,MATCH($A11,Base!$A:$A,0)),0)))</f>
        <v>0</v>
      </c>
      <c r="JJ11" s="21">
        <f>IF(JJ$1&lt;INDEX('Valo FX'!$Q:$Q,MATCH($A11,'Valo FX'!$A:$A,0)),0,IF(JJ$1&lt;INDEX('Valo FX'!$R:$R,MATCH($A11,'Valo FX'!$A:$A,0)),INDEX(Base!$U:$U,MATCH($A11,Base!$A:$A,0)),IF(JJ$1=INDEX('Valo FX'!$R:$R,MATCH($A11,'Valo FX'!$A:$A,0)),INDEX(Base!$V:$V,MATCH($A11,Base!$A:$A,0)),0)))</f>
        <v>0</v>
      </c>
      <c r="JK11" s="21">
        <f>IF(JK$1&lt;INDEX('Valo FX'!$Q:$Q,MATCH($A11,'Valo FX'!$A:$A,0)),0,IF(JK$1&lt;INDEX('Valo FX'!$R:$R,MATCH($A11,'Valo FX'!$A:$A,0)),INDEX(Base!$U:$U,MATCH($A11,Base!$A:$A,0)),IF(JK$1=INDEX('Valo FX'!$R:$R,MATCH($A11,'Valo FX'!$A:$A,0)),INDEX(Base!$V:$V,MATCH($A11,Base!$A:$A,0)),0)))</f>
        <v>0</v>
      </c>
      <c r="JL11" s="21">
        <f>IF(JL$1&lt;INDEX('Valo FX'!$Q:$Q,MATCH($A11,'Valo FX'!$A:$A,0)),0,IF(JL$1&lt;INDEX('Valo FX'!$R:$R,MATCH($A11,'Valo FX'!$A:$A,0)),INDEX(Base!$U:$U,MATCH($A11,Base!$A:$A,0)),IF(JL$1=INDEX('Valo FX'!$R:$R,MATCH($A11,'Valo FX'!$A:$A,0)),INDEX(Base!$V:$V,MATCH($A11,Base!$A:$A,0)),0)))</f>
        <v>0</v>
      </c>
      <c r="JM11" s="21">
        <f>IF(JM$1&lt;INDEX('Valo FX'!$Q:$Q,MATCH($A11,'Valo FX'!$A:$A,0)),0,IF(JM$1&lt;INDEX('Valo FX'!$R:$R,MATCH($A11,'Valo FX'!$A:$A,0)),INDEX(Base!$U:$U,MATCH($A11,Base!$A:$A,0)),IF(JM$1=INDEX('Valo FX'!$R:$R,MATCH($A11,'Valo FX'!$A:$A,0)),INDEX(Base!$V:$V,MATCH($A11,Base!$A:$A,0)),0)))</f>
        <v>0</v>
      </c>
      <c r="JN11" s="21">
        <f>IF(JN$1&lt;INDEX('Valo FX'!$Q:$Q,MATCH($A11,'Valo FX'!$A:$A,0)),0,IF(JN$1&lt;INDEX('Valo FX'!$R:$R,MATCH($A11,'Valo FX'!$A:$A,0)),INDEX(Base!$U:$U,MATCH($A11,Base!$A:$A,0)),IF(JN$1=INDEX('Valo FX'!$R:$R,MATCH($A11,'Valo FX'!$A:$A,0)),INDEX(Base!$V:$V,MATCH($A11,Base!$A:$A,0)),0)))</f>
        <v>0</v>
      </c>
      <c r="JO11" s="21">
        <f>IF(JO$1&lt;INDEX('Valo FX'!$Q:$Q,MATCH($A11,'Valo FX'!$A:$A,0)),0,IF(JO$1&lt;INDEX('Valo FX'!$R:$R,MATCH($A11,'Valo FX'!$A:$A,0)),INDEX(Base!$U:$U,MATCH($A11,Base!$A:$A,0)),IF(JO$1=INDEX('Valo FX'!$R:$R,MATCH($A11,'Valo FX'!$A:$A,0)),INDEX(Base!$V:$V,MATCH($A11,Base!$A:$A,0)),0)))</f>
        <v>0</v>
      </c>
      <c r="JP11" s="21">
        <f>IF(JP$1&lt;INDEX('Valo FX'!$Q:$Q,MATCH($A11,'Valo FX'!$A:$A,0)),0,IF(JP$1&lt;INDEX('Valo FX'!$R:$R,MATCH($A11,'Valo FX'!$A:$A,0)),INDEX(Base!$U:$U,MATCH($A11,Base!$A:$A,0)),IF(JP$1=INDEX('Valo FX'!$R:$R,MATCH($A11,'Valo FX'!$A:$A,0)),INDEX(Base!$V:$V,MATCH($A11,Base!$A:$A,0)),0)))</f>
        <v>0</v>
      </c>
      <c r="JQ11" s="21">
        <f>IF(JQ$1&lt;INDEX('Valo FX'!$Q:$Q,MATCH($A11,'Valo FX'!$A:$A,0)),0,IF(JQ$1&lt;INDEX('Valo FX'!$R:$R,MATCH($A11,'Valo FX'!$A:$A,0)),INDEX(Base!$U:$U,MATCH($A11,Base!$A:$A,0)),IF(JQ$1=INDEX('Valo FX'!$R:$R,MATCH($A11,'Valo FX'!$A:$A,0)),INDEX(Base!$V:$V,MATCH($A11,Base!$A:$A,0)),0)))</f>
        <v>0</v>
      </c>
      <c r="JR11" s="21">
        <f>IF(JR$1&lt;INDEX('Valo FX'!$Q:$Q,MATCH($A11,'Valo FX'!$A:$A,0)),0,IF(JR$1&lt;INDEX('Valo FX'!$R:$R,MATCH($A11,'Valo FX'!$A:$A,0)),INDEX(Base!$U:$U,MATCH($A11,Base!$A:$A,0)),IF(JR$1=INDEX('Valo FX'!$R:$R,MATCH($A11,'Valo FX'!$A:$A,0)),INDEX(Base!$V:$V,MATCH($A11,Base!$A:$A,0)),0)))</f>
        <v>0</v>
      </c>
      <c r="JS11" s="21">
        <f>IF(JS$1&lt;INDEX('Valo FX'!$Q:$Q,MATCH($A11,'Valo FX'!$A:$A,0)),0,IF(JS$1&lt;INDEX('Valo FX'!$R:$R,MATCH($A11,'Valo FX'!$A:$A,0)),INDEX(Base!$U:$U,MATCH($A11,Base!$A:$A,0)),IF(JS$1=INDEX('Valo FX'!$R:$R,MATCH($A11,'Valo FX'!$A:$A,0)),INDEX(Base!$V:$V,MATCH($A11,Base!$A:$A,0)),0)))</f>
        <v>0</v>
      </c>
      <c r="JT11" s="21">
        <f>IF(JT$1&lt;INDEX('Valo FX'!$Q:$Q,MATCH($A11,'Valo FX'!$A:$A,0)),0,IF(JT$1&lt;INDEX('Valo FX'!$R:$R,MATCH($A11,'Valo FX'!$A:$A,0)),INDEX(Base!$U:$U,MATCH($A11,Base!$A:$A,0)),IF(JT$1=INDEX('Valo FX'!$R:$R,MATCH($A11,'Valo FX'!$A:$A,0)),INDEX(Base!$V:$V,MATCH($A11,Base!$A:$A,0)),0)))</f>
        <v>0</v>
      </c>
      <c r="JU11" s="21">
        <f>IF(JU$1&lt;INDEX('Valo FX'!$Q:$Q,MATCH($A11,'Valo FX'!$A:$A,0)),0,IF(JU$1&lt;INDEX('Valo FX'!$R:$R,MATCH($A11,'Valo FX'!$A:$A,0)),INDEX(Base!$U:$U,MATCH($A11,Base!$A:$A,0)),IF(JU$1=INDEX('Valo FX'!$R:$R,MATCH($A11,'Valo FX'!$A:$A,0)),INDEX(Base!$V:$V,MATCH($A11,Base!$A:$A,0)),0)))</f>
        <v>0</v>
      </c>
      <c r="JV11" s="21">
        <f>IF(JV$1&lt;INDEX('Valo FX'!$Q:$Q,MATCH($A11,'Valo FX'!$A:$A,0)),0,IF(JV$1&lt;INDEX('Valo FX'!$R:$R,MATCH($A11,'Valo FX'!$A:$A,0)),INDEX(Base!$U:$U,MATCH($A11,Base!$A:$A,0)),IF(JV$1=INDEX('Valo FX'!$R:$R,MATCH($A11,'Valo FX'!$A:$A,0)),INDEX(Base!$V:$V,MATCH($A11,Base!$A:$A,0)),0)))</f>
        <v>0</v>
      </c>
      <c r="JW11" s="21">
        <f>IF(JW$1&lt;INDEX('Valo FX'!$Q:$Q,MATCH($A11,'Valo FX'!$A:$A,0)),0,IF(JW$1&lt;INDEX('Valo FX'!$R:$R,MATCH($A11,'Valo FX'!$A:$A,0)),INDEX(Base!$U:$U,MATCH($A11,Base!$A:$A,0)),IF(JW$1=INDEX('Valo FX'!$R:$R,MATCH($A11,'Valo FX'!$A:$A,0)),INDEX(Base!$V:$V,MATCH($A11,Base!$A:$A,0)),0)))</f>
        <v>0</v>
      </c>
      <c r="JX11" s="21">
        <f>IF(JX$1&lt;INDEX('Valo FX'!$Q:$Q,MATCH($A11,'Valo FX'!$A:$A,0)),0,IF(JX$1&lt;INDEX('Valo FX'!$R:$R,MATCH($A11,'Valo FX'!$A:$A,0)),INDEX(Base!$U:$U,MATCH($A11,Base!$A:$A,0)),IF(JX$1=INDEX('Valo FX'!$R:$R,MATCH($A11,'Valo FX'!$A:$A,0)),INDEX(Base!$V:$V,MATCH($A11,Base!$A:$A,0)),0)))</f>
        <v>0</v>
      </c>
      <c r="JY11" s="21">
        <f>IF(JY$1&lt;INDEX('Valo FX'!$Q:$Q,MATCH($A11,'Valo FX'!$A:$A,0)),0,IF(JY$1&lt;INDEX('Valo FX'!$R:$R,MATCH($A11,'Valo FX'!$A:$A,0)),INDEX(Base!$U:$U,MATCH($A11,Base!$A:$A,0)),IF(JY$1=INDEX('Valo FX'!$R:$R,MATCH($A11,'Valo FX'!$A:$A,0)),INDEX(Base!$V:$V,MATCH($A11,Base!$A:$A,0)),0)))</f>
        <v>0</v>
      </c>
      <c r="JZ11" s="21">
        <f>IF(JZ$1&lt;INDEX('Valo FX'!$Q:$Q,MATCH($A11,'Valo FX'!$A:$A,0)),0,IF(JZ$1&lt;INDEX('Valo FX'!$R:$R,MATCH($A11,'Valo FX'!$A:$A,0)),INDEX(Base!$U:$U,MATCH($A11,Base!$A:$A,0)),IF(JZ$1=INDEX('Valo FX'!$R:$R,MATCH($A11,'Valo FX'!$A:$A,0)),INDEX(Base!$V:$V,MATCH($A11,Base!$A:$A,0)),0)))</f>
        <v>0</v>
      </c>
      <c r="KA11" s="21">
        <f>IF(KA$1&lt;INDEX('Valo FX'!$Q:$Q,MATCH($A11,'Valo FX'!$A:$A,0)),0,IF(KA$1&lt;INDEX('Valo FX'!$R:$R,MATCH($A11,'Valo FX'!$A:$A,0)),INDEX(Base!$U:$U,MATCH($A11,Base!$A:$A,0)),IF(KA$1=INDEX('Valo FX'!$R:$R,MATCH($A11,'Valo FX'!$A:$A,0)),INDEX(Base!$V:$V,MATCH($A11,Base!$A:$A,0)),0)))</f>
        <v>0</v>
      </c>
      <c r="KB11" s="21">
        <f>IF(KB$1&lt;INDEX('Valo FX'!$Q:$Q,MATCH($A11,'Valo FX'!$A:$A,0)),0,IF(KB$1&lt;INDEX('Valo FX'!$R:$R,MATCH($A11,'Valo FX'!$A:$A,0)),INDEX(Base!$U:$U,MATCH($A11,Base!$A:$A,0)),IF(KB$1=INDEX('Valo FX'!$R:$R,MATCH($A11,'Valo FX'!$A:$A,0)),INDEX(Base!$V:$V,MATCH($A11,Base!$A:$A,0)),0)))</f>
        <v>0</v>
      </c>
      <c r="KC11" s="21">
        <f>IF(KC$1&lt;INDEX('Valo FX'!$Q:$Q,MATCH($A11,'Valo FX'!$A:$A,0)),0,IF(KC$1&lt;INDEX('Valo FX'!$R:$R,MATCH($A11,'Valo FX'!$A:$A,0)),INDEX(Base!$U:$U,MATCH($A11,Base!$A:$A,0)),IF(KC$1=INDEX('Valo FX'!$R:$R,MATCH($A11,'Valo FX'!$A:$A,0)),INDEX(Base!$V:$V,MATCH($A11,Base!$A:$A,0)),0)))</f>
        <v>0</v>
      </c>
      <c r="KD11" s="21">
        <f>IF(KD$1&lt;INDEX('Valo FX'!$Q:$Q,MATCH($A11,'Valo FX'!$A:$A,0)),0,IF(KD$1&lt;INDEX('Valo FX'!$R:$R,MATCH($A11,'Valo FX'!$A:$A,0)),INDEX(Base!$U:$U,MATCH($A11,Base!$A:$A,0)),IF(KD$1=INDEX('Valo FX'!$R:$R,MATCH($A11,'Valo FX'!$A:$A,0)),INDEX(Base!$V:$V,MATCH($A11,Base!$A:$A,0)),0)))</f>
        <v>0</v>
      </c>
      <c r="KE11" s="21">
        <f>IF(KE$1&lt;INDEX('Valo FX'!$Q:$Q,MATCH($A11,'Valo FX'!$A:$A,0)),0,IF(KE$1&lt;INDEX('Valo FX'!$R:$R,MATCH($A11,'Valo FX'!$A:$A,0)),INDEX(Base!$U:$U,MATCH($A11,Base!$A:$A,0)),IF(KE$1=INDEX('Valo FX'!$R:$R,MATCH($A11,'Valo FX'!$A:$A,0)),INDEX(Base!$V:$V,MATCH($A11,Base!$A:$A,0)),0)))</f>
        <v>0</v>
      </c>
      <c r="KF11" s="21">
        <f>IF(KF$1&lt;INDEX('Valo FX'!$Q:$Q,MATCH($A11,'Valo FX'!$A:$A,0)),0,IF(KF$1&lt;INDEX('Valo FX'!$R:$R,MATCH($A11,'Valo FX'!$A:$A,0)),INDEX(Base!$U:$U,MATCH($A11,Base!$A:$A,0)),IF(KF$1=INDEX('Valo FX'!$R:$R,MATCH($A11,'Valo FX'!$A:$A,0)),INDEX(Base!$V:$V,MATCH($A11,Base!$A:$A,0)),0)))</f>
        <v>0</v>
      </c>
      <c r="KG11" s="21">
        <f>IF(KG$1&lt;INDEX('Valo FX'!$Q:$Q,MATCH($A11,'Valo FX'!$A:$A,0)),0,IF(KG$1&lt;INDEX('Valo FX'!$R:$R,MATCH($A11,'Valo FX'!$A:$A,0)),INDEX(Base!$U:$U,MATCH($A11,Base!$A:$A,0)),IF(KG$1=INDEX('Valo FX'!$R:$R,MATCH($A11,'Valo FX'!$A:$A,0)),INDEX(Base!$V:$V,MATCH($A11,Base!$A:$A,0)),0)))</f>
        <v>0</v>
      </c>
      <c r="KH11" s="21">
        <f>IF(KH$1&lt;INDEX('Valo FX'!$Q:$Q,MATCH($A11,'Valo FX'!$A:$A,0)),0,IF(KH$1&lt;INDEX('Valo FX'!$R:$R,MATCH($A11,'Valo FX'!$A:$A,0)),INDEX(Base!$U:$U,MATCH($A11,Base!$A:$A,0)),IF(KH$1=INDEX('Valo FX'!$R:$R,MATCH($A11,'Valo FX'!$A:$A,0)),INDEX(Base!$V:$V,MATCH($A11,Base!$A:$A,0)),0)))</f>
        <v>0</v>
      </c>
      <c r="KI11" s="21">
        <f>IF(KI$1&lt;INDEX('Valo FX'!$Q:$Q,MATCH($A11,'Valo FX'!$A:$A,0)),0,IF(KI$1&lt;INDEX('Valo FX'!$R:$R,MATCH($A11,'Valo FX'!$A:$A,0)),INDEX(Base!$U:$U,MATCH($A11,Base!$A:$A,0)),IF(KI$1=INDEX('Valo FX'!$R:$R,MATCH($A11,'Valo FX'!$A:$A,0)),INDEX(Base!$V:$V,MATCH($A11,Base!$A:$A,0)),0)))</f>
        <v>0</v>
      </c>
      <c r="KJ11" s="21">
        <f>IF(KJ$1&lt;INDEX('Valo FX'!$Q:$Q,MATCH($A11,'Valo FX'!$A:$A,0)),0,IF(KJ$1&lt;INDEX('Valo FX'!$R:$R,MATCH($A11,'Valo FX'!$A:$A,0)),INDEX(Base!$U:$U,MATCH($A11,Base!$A:$A,0)),IF(KJ$1=INDEX('Valo FX'!$R:$R,MATCH($A11,'Valo FX'!$A:$A,0)),INDEX(Base!$V:$V,MATCH($A11,Base!$A:$A,0)),0)))</f>
        <v>0</v>
      </c>
      <c r="KK11" s="21">
        <f>IF(KK$1&lt;INDEX('Valo FX'!$Q:$Q,MATCH($A11,'Valo FX'!$A:$A,0)),0,IF(KK$1&lt;INDEX('Valo FX'!$R:$R,MATCH($A11,'Valo FX'!$A:$A,0)),INDEX(Base!$U:$U,MATCH($A11,Base!$A:$A,0)),IF(KK$1=INDEX('Valo FX'!$R:$R,MATCH($A11,'Valo FX'!$A:$A,0)),INDEX(Base!$V:$V,MATCH($A11,Base!$A:$A,0)),0)))</f>
        <v>0</v>
      </c>
      <c r="KL11" s="21">
        <f>IF(KL$1&lt;INDEX('Valo FX'!$Q:$Q,MATCH($A11,'Valo FX'!$A:$A,0)),0,IF(KL$1&lt;INDEX('Valo FX'!$R:$R,MATCH($A11,'Valo FX'!$A:$A,0)),INDEX(Base!$U:$U,MATCH($A11,Base!$A:$A,0)),IF(KL$1=INDEX('Valo FX'!$R:$R,MATCH($A11,'Valo FX'!$A:$A,0)),INDEX(Base!$V:$V,MATCH($A11,Base!$A:$A,0)),0)))</f>
        <v>0</v>
      </c>
      <c r="KM11" s="21">
        <f>IF(KM$1&lt;INDEX('Valo FX'!$Q:$Q,MATCH($A11,'Valo FX'!$A:$A,0)),0,IF(KM$1&lt;INDEX('Valo FX'!$R:$R,MATCH($A11,'Valo FX'!$A:$A,0)),INDEX(Base!$U:$U,MATCH($A11,Base!$A:$A,0)),IF(KM$1=INDEX('Valo FX'!$R:$R,MATCH($A11,'Valo FX'!$A:$A,0)),INDEX(Base!$V:$V,MATCH($A11,Base!$A:$A,0)),0)))</f>
        <v>0</v>
      </c>
      <c r="KN11" s="21">
        <f>IF(KN$1&lt;INDEX('Valo FX'!$Q:$Q,MATCH($A11,'Valo FX'!$A:$A,0)),0,IF(KN$1&lt;INDEX('Valo FX'!$R:$R,MATCH($A11,'Valo FX'!$A:$A,0)),INDEX(Base!$U:$U,MATCH($A11,Base!$A:$A,0)),IF(KN$1=INDEX('Valo FX'!$R:$R,MATCH($A11,'Valo FX'!$A:$A,0)),INDEX(Base!$V:$V,MATCH($A11,Base!$A:$A,0)),0)))</f>
        <v>0</v>
      </c>
      <c r="KO11" s="21">
        <f>IF(KO$1&lt;INDEX('Valo FX'!$Q:$Q,MATCH($A11,'Valo FX'!$A:$A,0)),0,IF(KO$1&lt;INDEX('Valo FX'!$R:$R,MATCH($A11,'Valo FX'!$A:$A,0)),INDEX(Base!$U:$U,MATCH($A11,Base!$A:$A,0)),IF(KO$1=INDEX('Valo FX'!$R:$R,MATCH($A11,'Valo FX'!$A:$A,0)),INDEX(Base!$V:$V,MATCH($A11,Base!$A:$A,0)),0)))</f>
        <v>0</v>
      </c>
      <c r="KP11" s="21">
        <f>IF(KP$1&lt;INDEX('Valo FX'!$Q:$Q,MATCH($A11,'Valo FX'!$A:$A,0)),0,IF(KP$1&lt;INDEX('Valo FX'!$R:$R,MATCH($A11,'Valo FX'!$A:$A,0)),INDEX(Base!$U:$U,MATCH($A11,Base!$A:$A,0)),IF(KP$1=INDEX('Valo FX'!$R:$R,MATCH($A11,'Valo FX'!$A:$A,0)),INDEX(Base!$V:$V,MATCH($A11,Base!$A:$A,0)),0)))</f>
        <v>0</v>
      </c>
      <c r="KQ11" s="21">
        <f>IF(KQ$1&lt;INDEX('Valo FX'!$Q:$Q,MATCH($A11,'Valo FX'!$A:$A,0)),0,IF(KQ$1&lt;INDEX('Valo FX'!$R:$R,MATCH($A11,'Valo FX'!$A:$A,0)),INDEX(Base!$U:$U,MATCH($A11,Base!$A:$A,0)),IF(KQ$1=INDEX('Valo FX'!$R:$R,MATCH($A11,'Valo FX'!$A:$A,0)),INDEX(Base!$V:$V,MATCH($A11,Base!$A:$A,0)),0)))</f>
        <v>0</v>
      </c>
      <c r="KR11" s="21">
        <f>IF(KR$1&lt;INDEX('Valo FX'!$Q:$Q,MATCH($A11,'Valo FX'!$A:$A,0)),0,IF(KR$1&lt;INDEX('Valo FX'!$R:$R,MATCH($A11,'Valo FX'!$A:$A,0)),INDEX(Base!$U:$U,MATCH($A11,Base!$A:$A,0)),IF(KR$1=INDEX('Valo FX'!$R:$R,MATCH($A11,'Valo FX'!$A:$A,0)),INDEX(Base!$V:$V,MATCH($A11,Base!$A:$A,0)),0)))</f>
        <v>0</v>
      </c>
      <c r="KS11" s="21">
        <f>IF(KS$1&lt;INDEX('Valo FX'!$Q:$Q,MATCH($A11,'Valo FX'!$A:$A,0)),0,IF(KS$1&lt;INDEX('Valo FX'!$R:$R,MATCH($A11,'Valo FX'!$A:$A,0)),INDEX(Base!$U:$U,MATCH($A11,Base!$A:$A,0)),IF(KS$1=INDEX('Valo FX'!$R:$R,MATCH($A11,'Valo FX'!$A:$A,0)),INDEX(Base!$V:$V,MATCH($A11,Base!$A:$A,0)),0)))</f>
        <v>0</v>
      </c>
      <c r="KT11" s="21">
        <f>IF(KT$1&lt;INDEX('Valo FX'!$Q:$Q,MATCH($A11,'Valo FX'!$A:$A,0)),0,IF(KT$1&lt;INDEX('Valo FX'!$R:$R,MATCH($A11,'Valo FX'!$A:$A,0)),INDEX(Base!$U:$U,MATCH($A11,Base!$A:$A,0)),IF(KT$1=INDEX('Valo FX'!$R:$R,MATCH($A11,'Valo FX'!$A:$A,0)),INDEX(Base!$V:$V,MATCH($A11,Base!$A:$A,0)),0)))</f>
        <v>0</v>
      </c>
      <c r="KU11" s="21">
        <f>IF(KU$1&lt;INDEX('Valo FX'!$Q:$Q,MATCH($A11,'Valo FX'!$A:$A,0)),0,IF(KU$1&lt;INDEX('Valo FX'!$R:$R,MATCH($A11,'Valo FX'!$A:$A,0)),INDEX(Base!$U:$U,MATCH($A11,Base!$A:$A,0)),IF(KU$1=INDEX('Valo FX'!$R:$R,MATCH($A11,'Valo FX'!$A:$A,0)),INDEX(Base!$V:$V,MATCH($A11,Base!$A:$A,0)),0)))</f>
        <v>0</v>
      </c>
      <c r="KV11" s="21">
        <f>IF(KV$1&lt;INDEX('Valo FX'!$Q:$Q,MATCH($A11,'Valo FX'!$A:$A,0)),0,IF(KV$1&lt;INDEX('Valo FX'!$R:$R,MATCH($A11,'Valo FX'!$A:$A,0)),INDEX(Base!$U:$U,MATCH($A11,Base!$A:$A,0)),IF(KV$1=INDEX('Valo FX'!$R:$R,MATCH($A11,'Valo FX'!$A:$A,0)),INDEX(Base!$V:$V,MATCH($A11,Base!$A:$A,0)),0)))</f>
        <v>0</v>
      </c>
      <c r="KW11" s="21">
        <f>IF(KW$1&lt;INDEX('Valo FX'!$Q:$Q,MATCH($A11,'Valo FX'!$A:$A,0)),0,IF(KW$1&lt;INDEX('Valo FX'!$R:$R,MATCH($A11,'Valo FX'!$A:$A,0)),INDEX(Base!$U:$U,MATCH($A11,Base!$A:$A,0)),IF(KW$1=INDEX('Valo FX'!$R:$R,MATCH($A11,'Valo FX'!$A:$A,0)),INDEX(Base!$V:$V,MATCH($A11,Base!$A:$A,0)),0)))</f>
        <v>0</v>
      </c>
      <c r="KX11" s="21">
        <f>IF(KX$1&lt;INDEX('Valo FX'!$Q:$Q,MATCH($A11,'Valo FX'!$A:$A,0)),0,IF(KX$1&lt;INDEX('Valo FX'!$R:$R,MATCH($A11,'Valo FX'!$A:$A,0)),INDEX(Base!$U:$U,MATCH($A11,Base!$A:$A,0)),IF(KX$1=INDEX('Valo FX'!$R:$R,MATCH($A11,'Valo FX'!$A:$A,0)),INDEX(Base!$V:$V,MATCH($A11,Base!$A:$A,0)),0)))</f>
        <v>0</v>
      </c>
      <c r="KY11" s="21">
        <f>IF(KY$1&lt;INDEX('Valo FX'!$Q:$Q,MATCH($A11,'Valo FX'!$A:$A,0)),0,IF(KY$1&lt;INDEX('Valo FX'!$R:$R,MATCH($A11,'Valo FX'!$A:$A,0)),INDEX(Base!$U:$U,MATCH($A11,Base!$A:$A,0)),IF(KY$1=INDEX('Valo FX'!$R:$R,MATCH($A11,'Valo FX'!$A:$A,0)),INDEX(Base!$V:$V,MATCH($A11,Base!$A:$A,0)),0)))</f>
        <v>0</v>
      </c>
      <c r="KZ11" s="21">
        <f>IF(KZ$1&lt;INDEX('Valo FX'!$Q:$Q,MATCH($A11,'Valo FX'!$A:$A,0)),0,IF(KZ$1&lt;INDEX('Valo FX'!$R:$R,MATCH($A11,'Valo FX'!$A:$A,0)),INDEX(Base!$U:$U,MATCH($A11,Base!$A:$A,0)),IF(KZ$1=INDEX('Valo FX'!$R:$R,MATCH($A11,'Valo FX'!$A:$A,0)),INDEX(Base!$V:$V,MATCH($A11,Base!$A:$A,0)),0)))</f>
        <v>0</v>
      </c>
      <c r="LA11" s="21">
        <f>IF(LA$1&lt;INDEX('Valo FX'!$Q:$Q,MATCH($A11,'Valo FX'!$A:$A,0)),0,IF(LA$1&lt;INDEX('Valo FX'!$R:$R,MATCH($A11,'Valo FX'!$A:$A,0)),INDEX(Base!$U:$U,MATCH($A11,Base!$A:$A,0)),IF(LA$1=INDEX('Valo FX'!$R:$R,MATCH($A11,'Valo FX'!$A:$A,0)),INDEX(Base!$V:$V,MATCH($A11,Base!$A:$A,0)),0)))</f>
        <v>0</v>
      </c>
      <c r="LB11" s="21">
        <f>IF(LB$1&lt;INDEX('Valo FX'!$Q:$Q,MATCH($A11,'Valo FX'!$A:$A,0)),0,IF(LB$1&lt;INDEX('Valo FX'!$R:$R,MATCH($A11,'Valo FX'!$A:$A,0)),INDEX(Base!$U:$U,MATCH($A11,Base!$A:$A,0)),IF(LB$1=INDEX('Valo FX'!$R:$R,MATCH($A11,'Valo FX'!$A:$A,0)),INDEX(Base!$V:$V,MATCH($A11,Base!$A:$A,0)),0)))</f>
        <v>0</v>
      </c>
      <c r="LC11" s="21">
        <f>IF(LC$1&lt;INDEX('Valo FX'!$Q:$Q,MATCH($A11,'Valo FX'!$A:$A,0)),0,IF(LC$1&lt;INDEX('Valo FX'!$R:$R,MATCH($A11,'Valo FX'!$A:$A,0)),INDEX(Base!$U:$U,MATCH($A11,Base!$A:$A,0)),IF(LC$1=INDEX('Valo FX'!$R:$R,MATCH($A11,'Valo FX'!$A:$A,0)),INDEX(Base!$V:$V,MATCH($A11,Base!$A:$A,0)),0)))</f>
        <v>0</v>
      </c>
      <c r="LD11" s="21">
        <f>IF(LD$1&lt;INDEX('Valo FX'!$Q:$Q,MATCH($A11,'Valo FX'!$A:$A,0)),0,IF(LD$1&lt;INDEX('Valo FX'!$R:$R,MATCH($A11,'Valo FX'!$A:$A,0)),INDEX(Base!$U:$U,MATCH($A11,Base!$A:$A,0)),IF(LD$1=INDEX('Valo FX'!$R:$R,MATCH($A11,'Valo FX'!$A:$A,0)),INDEX(Base!$V:$V,MATCH($A11,Base!$A:$A,0)),0)))</f>
        <v>0</v>
      </c>
      <c r="LE11" s="21">
        <f>IF(LE$1&lt;INDEX('Valo FX'!$Q:$Q,MATCH($A11,'Valo FX'!$A:$A,0)),0,IF(LE$1&lt;INDEX('Valo FX'!$R:$R,MATCH($A11,'Valo FX'!$A:$A,0)),INDEX(Base!$U:$U,MATCH($A11,Base!$A:$A,0)),IF(LE$1=INDEX('Valo FX'!$R:$R,MATCH($A11,'Valo FX'!$A:$A,0)),INDEX(Base!$V:$V,MATCH($A11,Base!$A:$A,0)),0)))</f>
        <v>0</v>
      </c>
      <c r="LF11" s="21">
        <f>IF(LF$1&lt;INDEX('Valo FX'!$Q:$Q,MATCH($A11,'Valo FX'!$A:$A,0)),0,IF(LF$1&lt;INDEX('Valo FX'!$R:$R,MATCH($A11,'Valo FX'!$A:$A,0)),INDEX(Base!$U:$U,MATCH($A11,Base!$A:$A,0)),IF(LF$1=INDEX('Valo FX'!$R:$R,MATCH($A11,'Valo FX'!$A:$A,0)),INDEX(Base!$V:$V,MATCH($A11,Base!$A:$A,0)),0)))</f>
        <v>0</v>
      </c>
      <c r="LG11" s="21">
        <f>IF(LG$1&lt;INDEX('Valo FX'!$Q:$Q,MATCH($A11,'Valo FX'!$A:$A,0)),0,IF(LG$1&lt;INDEX('Valo FX'!$R:$R,MATCH($A11,'Valo FX'!$A:$A,0)),INDEX(Base!$U:$U,MATCH($A11,Base!$A:$A,0)),IF(LG$1=INDEX('Valo FX'!$R:$R,MATCH($A11,'Valo FX'!$A:$A,0)),INDEX(Base!$V:$V,MATCH($A11,Base!$A:$A,0)),0)))</f>
        <v>0</v>
      </c>
      <c r="LH11" s="21">
        <f>IF(LH$1&lt;INDEX('Valo FX'!$Q:$Q,MATCH($A11,'Valo FX'!$A:$A,0)),0,IF(LH$1&lt;INDEX('Valo FX'!$R:$R,MATCH($A11,'Valo FX'!$A:$A,0)),INDEX(Base!$U:$U,MATCH($A11,Base!$A:$A,0)),IF(LH$1=INDEX('Valo FX'!$R:$R,MATCH($A11,'Valo FX'!$A:$A,0)),INDEX(Base!$V:$V,MATCH($A11,Base!$A:$A,0)),0)))</f>
        <v>0</v>
      </c>
      <c r="LI11" s="21">
        <f>IF(LI$1&lt;INDEX('Valo FX'!$Q:$Q,MATCH($A11,'Valo FX'!$A:$A,0)),0,IF(LI$1&lt;INDEX('Valo FX'!$R:$R,MATCH($A11,'Valo FX'!$A:$A,0)),INDEX(Base!$U:$U,MATCH($A11,Base!$A:$A,0)),IF(LI$1=INDEX('Valo FX'!$R:$R,MATCH($A11,'Valo FX'!$A:$A,0)),INDEX(Base!$V:$V,MATCH($A11,Base!$A:$A,0)),0)))</f>
        <v>0</v>
      </c>
      <c r="LJ11" s="21">
        <f>IF(LJ$1&lt;INDEX('Valo FX'!$Q:$Q,MATCH($A11,'Valo FX'!$A:$A,0)),0,IF(LJ$1&lt;INDEX('Valo FX'!$R:$R,MATCH($A11,'Valo FX'!$A:$A,0)),INDEX(Base!$U:$U,MATCH($A11,Base!$A:$A,0)),IF(LJ$1=INDEX('Valo FX'!$R:$R,MATCH($A11,'Valo FX'!$A:$A,0)),INDEX(Base!$V:$V,MATCH($A11,Base!$A:$A,0)),0)))</f>
        <v>0</v>
      </c>
      <c r="LK11" s="21">
        <f>IF(LK$1&lt;INDEX('Valo FX'!$Q:$Q,MATCH($A11,'Valo FX'!$A:$A,0)),0,IF(LK$1&lt;INDEX('Valo FX'!$R:$R,MATCH($A11,'Valo FX'!$A:$A,0)),INDEX(Base!$U:$U,MATCH($A11,Base!$A:$A,0)),IF(LK$1=INDEX('Valo FX'!$R:$R,MATCH($A11,'Valo FX'!$A:$A,0)),INDEX(Base!$V:$V,MATCH($A11,Base!$A:$A,0)),0)))</f>
        <v>0</v>
      </c>
      <c r="LL11" s="21">
        <f>IF(LL$1&lt;INDEX('Valo FX'!$Q:$Q,MATCH($A11,'Valo FX'!$A:$A,0)),0,IF(LL$1&lt;INDEX('Valo FX'!$R:$R,MATCH($A11,'Valo FX'!$A:$A,0)),INDEX(Base!$U:$U,MATCH($A11,Base!$A:$A,0)),IF(LL$1=INDEX('Valo FX'!$R:$R,MATCH($A11,'Valo FX'!$A:$A,0)),INDEX(Base!$V:$V,MATCH($A11,Base!$A:$A,0)),0)))</f>
        <v>0</v>
      </c>
      <c r="LM11" s="21">
        <f>IF(LM$1&lt;INDEX('Valo FX'!$Q:$Q,MATCH($A11,'Valo FX'!$A:$A,0)),0,IF(LM$1&lt;INDEX('Valo FX'!$R:$R,MATCH($A11,'Valo FX'!$A:$A,0)),INDEX(Base!$U:$U,MATCH($A11,Base!$A:$A,0)),IF(LM$1=INDEX('Valo FX'!$R:$R,MATCH($A11,'Valo FX'!$A:$A,0)),INDEX(Base!$V:$V,MATCH($A11,Base!$A:$A,0)),0)))</f>
        <v>0</v>
      </c>
      <c r="LN11" s="21">
        <f>IF(LN$1&lt;INDEX('Valo FX'!$Q:$Q,MATCH($A11,'Valo FX'!$A:$A,0)),0,IF(LN$1&lt;INDEX('Valo FX'!$R:$R,MATCH($A11,'Valo FX'!$A:$A,0)),INDEX(Base!$U:$U,MATCH($A11,Base!$A:$A,0)),IF(LN$1=INDEX('Valo FX'!$R:$R,MATCH($A11,'Valo FX'!$A:$A,0)),INDEX(Base!$V:$V,MATCH($A11,Base!$A:$A,0)),0)))</f>
        <v>0</v>
      </c>
      <c r="LO11" s="21">
        <f>IF(LO$1&lt;INDEX('Valo FX'!$Q:$Q,MATCH($A11,'Valo FX'!$A:$A,0)),0,IF(LO$1&lt;INDEX('Valo FX'!$R:$R,MATCH($A11,'Valo FX'!$A:$A,0)),INDEX(Base!$U:$U,MATCH($A11,Base!$A:$A,0)),IF(LO$1=INDEX('Valo FX'!$R:$R,MATCH($A11,'Valo FX'!$A:$A,0)),INDEX(Base!$V:$V,MATCH($A11,Base!$A:$A,0)),0)))</f>
        <v>0</v>
      </c>
      <c r="LP11" s="21">
        <f>IF(LP$1&lt;INDEX('Valo FX'!$Q:$Q,MATCH($A11,'Valo FX'!$A:$A,0)),0,IF(LP$1&lt;INDEX('Valo FX'!$R:$R,MATCH($A11,'Valo FX'!$A:$A,0)),INDEX(Base!$U:$U,MATCH($A11,Base!$A:$A,0)),IF(LP$1=INDEX('Valo FX'!$R:$R,MATCH($A11,'Valo FX'!$A:$A,0)),INDEX(Base!$V:$V,MATCH($A11,Base!$A:$A,0)),0)))</f>
        <v>0</v>
      </c>
      <c r="LQ11" s="21">
        <f>IF(LQ$1&lt;INDEX('Valo FX'!$Q:$Q,MATCH($A11,'Valo FX'!$A:$A,0)),0,IF(LQ$1&lt;INDEX('Valo FX'!$R:$R,MATCH($A11,'Valo FX'!$A:$A,0)),INDEX(Base!$U:$U,MATCH($A11,Base!$A:$A,0)),IF(LQ$1=INDEX('Valo FX'!$R:$R,MATCH($A11,'Valo FX'!$A:$A,0)),INDEX(Base!$V:$V,MATCH($A11,Base!$A:$A,0)),0)))</f>
        <v>0</v>
      </c>
      <c r="LR11" s="21">
        <f>IF(LR$1&lt;INDEX('Valo FX'!$Q:$Q,MATCH($A11,'Valo FX'!$A:$A,0)),0,IF(LR$1&lt;INDEX('Valo FX'!$R:$R,MATCH($A11,'Valo FX'!$A:$A,0)),INDEX(Base!$U:$U,MATCH($A11,Base!$A:$A,0)),IF(LR$1=INDEX('Valo FX'!$R:$R,MATCH($A11,'Valo FX'!$A:$A,0)),INDEX(Base!$V:$V,MATCH($A11,Base!$A:$A,0)),0)))</f>
        <v>0</v>
      </c>
      <c r="LS11" s="21">
        <f>IF(LS$1&lt;INDEX('Valo FX'!$Q:$Q,MATCH($A11,'Valo FX'!$A:$A,0)),0,IF(LS$1&lt;INDEX('Valo FX'!$R:$R,MATCH($A11,'Valo FX'!$A:$A,0)),INDEX(Base!$U:$U,MATCH($A11,Base!$A:$A,0)),IF(LS$1=INDEX('Valo FX'!$R:$R,MATCH($A11,'Valo FX'!$A:$A,0)),INDEX(Base!$V:$V,MATCH($A11,Base!$A:$A,0)),0)))</f>
        <v>0</v>
      </c>
      <c r="LT11" s="21">
        <f>IF(LT$1&lt;INDEX('Valo FX'!$Q:$Q,MATCH($A11,'Valo FX'!$A:$A,0)),0,IF(LT$1&lt;INDEX('Valo FX'!$R:$R,MATCH($A11,'Valo FX'!$A:$A,0)),INDEX(Base!$U:$U,MATCH($A11,Base!$A:$A,0)),IF(LT$1=INDEX('Valo FX'!$R:$R,MATCH($A11,'Valo FX'!$A:$A,0)),INDEX(Base!$V:$V,MATCH($A11,Base!$A:$A,0)),0)))</f>
        <v>0</v>
      </c>
      <c r="LU11" s="21">
        <f>IF(LU$1&lt;INDEX('Valo FX'!$Q:$Q,MATCH($A11,'Valo FX'!$A:$A,0)),0,IF(LU$1&lt;INDEX('Valo FX'!$R:$R,MATCH($A11,'Valo FX'!$A:$A,0)),INDEX(Base!$U:$U,MATCH($A11,Base!$A:$A,0)),IF(LU$1=INDEX('Valo FX'!$R:$R,MATCH($A11,'Valo FX'!$A:$A,0)),INDEX(Base!$V:$V,MATCH($A11,Base!$A:$A,0)),0)))</f>
        <v>0</v>
      </c>
      <c r="LV11" s="21">
        <f>IF(LV$1&lt;INDEX('Valo FX'!$Q:$Q,MATCH($A11,'Valo FX'!$A:$A,0)),0,IF(LV$1&lt;INDEX('Valo FX'!$R:$R,MATCH($A11,'Valo FX'!$A:$A,0)),INDEX(Base!$U:$U,MATCH($A11,Base!$A:$A,0)),IF(LV$1=INDEX('Valo FX'!$R:$R,MATCH($A11,'Valo FX'!$A:$A,0)),INDEX(Base!$V:$V,MATCH($A11,Base!$A:$A,0)),0)))</f>
        <v>0</v>
      </c>
      <c r="LW11" s="21">
        <f>IF(LW$1&lt;INDEX('Valo FX'!$Q:$Q,MATCH($A11,'Valo FX'!$A:$A,0)),0,IF(LW$1&lt;INDEX('Valo FX'!$R:$R,MATCH($A11,'Valo FX'!$A:$A,0)),INDEX(Base!$U:$U,MATCH($A11,Base!$A:$A,0)),IF(LW$1=INDEX('Valo FX'!$R:$R,MATCH($A11,'Valo FX'!$A:$A,0)),INDEX(Base!$V:$V,MATCH($A11,Base!$A:$A,0)),0)))</f>
        <v>0</v>
      </c>
      <c r="LX11" s="21">
        <f>IF(LX$1&lt;INDEX('Valo FX'!$Q:$Q,MATCH($A11,'Valo FX'!$A:$A,0)),0,IF(LX$1&lt;INDEX('Valo FX'!$R:$R,MATCH($A11,'Valo FX'!$A:$A,0)),INDEX(Base!$U:$U,MATCH($A11,Base!$A:$A,0)),IF(LX$1=INDEX('Valo FX'!$R:$R,MATCH($A11,'Valo FX'!$A:$A,0)),INDEX(Base!$V:$V,MATCH($A11,Base!$A:$A,0)),0)))</f>
        <v>0</v>
      </c>
      <c r="LY11" s="21">
        <f>IF(LY$1&lt;INDEX('Valo FX'!$Q:$Q,MATCH($A11,'Valo FX'!$A:$A,0)),0,IF(LY$1&lt;INDEX('Valo FX'!$R:$R,MATCH($A11,'Valo FX'!$A:$A,0)),INDEX(Base!$U:$U,MATCH($A11,Base!$A:$A,0)),IF(LY$1=INDEX('Valo FX'!$R:$R,MATCH($A11,'Valo FX'!$A:$A,0)),INDEX(Base!$V:$V,MATCH($A11,Base!$A:$A,0)),0)))</f>
        <v>0</v>
      </c>
      <c r="LZ11" s="21">
        <f>IF(LZ$1&lt;INDEX('Valo FX'!$Q:$Q,MATCH($A11,'Valo FX'!$A:$A,0)),0,IF(LZ$1&lt;INDEX('Valo FX'!$R:$R,MATCH($A11,'Valo FX'!$A:$A,0)),INDEX(Base!$U:$U,MATCH($A11,Base!$A:$A,0)),IF(LZ$1=INDEX('Valo FX'!$R:$R,MATCH($A11,'Valo FX'!$A:$A,0)),INDEX(Base!$V:$V,MATCH($A11,Base!$A:$A,0)),0)))</f>
        <v>0</v>
      </c>
      <c r="MA11" s="21">
        <f>IF(MA$1&lt;INDEX('Valo FX'!$Q:$Q,MATCH($A11,'Valo FX'!$A:$A,0)),0,IF(MA$1&lt;INDEX('Valo FX'!$R:$R,MATCH($A11,'Valo FX'!$A:$A,0)),INDEX(Base!$U:$U,MATCH($A11,Base!$A:$A,0)),IF(MA$1=INDEX('Valo FX'!$R:$R,MATCH($A11,'Valo FX'!$A:$A,0)),INDEX(Base!$V:$V,MATCH($A11,Base!$A:$A,0)),0)))</f>
        <v>0</v>
      </c>
      <c r="MB11" s="21">
        <f>IF(MB$1&lt;INDEX('Valo FX'!$Q:$Q,MATCH($A11,'Valo FX'!$A:$A,0)),0,IF(MB$1&lt;INDEX('Valo FX'!$R:$R,MATCH($A11,'Valo FX'!$A:$A,0)),INDEX(Base!$U:$U,MATCH($A11,Base!$A:$A,0)),IF(MB$1=INDEX('Valo FX'!$R:$R,MATCH($A11,'Valo FX'!$A:$A,0)),INDEX(Base!$V:$V,MATCH($A11,Base!$A:$A,0)),0)))</f>
        <v>0</v>
      </c>
      <c r="MC11" s="21">
        <f>IF(MC$1&lt;INDEX('Valo FX'!$Q:$Q,MATCH($A11,'Valo FX'!$A:$A,0)),0,IF(MC$1&lt;INDEX('Valo FX'!$R:$R,MATCH($A11,'Valo FX'!$A:$A,0)),INDEX(Base!$U:$U,MATCH($A11,Base!$A:$A,0)),IF(MC$1=INDEX('Valo FX'!$R:$R,MATCH($A11,'Valo FX'!$A:$A,0)),INDEX(Base!$V:$V,MATCH($A11,Base!$A:$A,0)),0)))</f>
        <v>0</v>
      </c>
      <c r="MD11" s="21">
        <f>IF(MD$1&lt;INDEX('Valo FX'!$Q:$Q,MATCH($A11,'Valo FX'!$A:$A,0)),0,IF(MD$1&lt;INDEX('Valo FX'!$R:$R,MATCH($A11,'Valo FX'!$A:$A,0)),INDEX(Base!$U:$U,MATCH($A11,Base!$A:$A,0)),IF(MD$1=INDEX('Valo FX'!$R:$R,MATCH($A11,'Valo FX'!$A:$A,0)),INDEX(Base!$V:$V,MATCH($A11,Base!$A:$A,0)),0)))</f>
        <v>0</v>
      </c>
      <c r="ME11" s="21">
        <f>IF(ME$1&lt;INDEX('Valo FX'!$Q:$Q,MATCH($A11,'Valo FX'!$A:$A,0)),0,IF(ME$1&lt;INDEX('Valo FX'!$R:$R,MATCH($A11,'Valo FX'!$A:$A,0)),INDEX(Base!$U:$U,MATCH($A11,Base!$A:$A,0)),IF(ME$1=INDEX('Valo FX'!$R:$R,MATCH($A11,'Valo FX'!$A:$A,0)),INDEX(Base!$V:$V,MATCH($A11,Base!$A:$A,0)),0)))</f>
        <v>0</v>
      </c>
      <c r="MF11" s="21">
        <f>IF(MF$1&lt;INDEX('Valo FX'!$Q:$Q,MATCH($A11,'Valo FX'!$A:$A,0)),0,IF(MF$1&lt;INDEX('Valo FX'!$R:$R,MATCH($A11,'Valo FX'!$A:$A,0)),INDEX(Base!$U:$U,MATCH($A11,Base!$A:$A,0)),IF(MF$1=INDEX('Valo FX'!$R:$R,MATCH($A11,'Valo FX'!$A:$A,0)),INDEX(Base!$V:$V,MATCH($A11,Base!$A:$A,0)),0)))</f>
        <v>0</v>
      </c>
      <c r="MG11" s="21">
        <f>IF(MG$1&lt;INDEX('Valo FX'!$Q:$Q,MATCH($A11,'Valo FX'!$A:$A,0)),0,IF(MG$1&lt;INDEX('Valo FX'!$R:$R,MATCH($A11,'Valo FX'!$A:$A,0)),INDEX(Base!$U:$U,MATCH($A11,Base!$A:$A,0)),IF(MG$1=INDEX('Valo FX'!$R:$R,MATCH($A11,'Valo FX'!$A:$A,0)),INDEX(Base!$V:$V,MATCH($A11,Base!$A:$A,0)),0)))</f>
        <v>0</v>
      </c>
      <c r="MH11" s="21">
        <f>IF(MH$1&lt;INDEX('Valo FX'!$Q:$Q,MATCH($A11,'Valo FX'!$A:$A,0)),0,IF(MH$1&lt;INDEX('Valo FX'!$R:$R,MATCH($A11,'Valo FX'!$A:$A,0)),INDEX(Base!$U:$U,MATCH($A11,Base!$A:$A,0)),IF(MH$1=INDEX('Valo FX'!$R:$R,MATCH($A11,'Valo FX'!$A:$A,0)),INDEX(Base!$V:$V,MATCH($A11,Base!$A:$A,0)),0)))</f>
        <v>0</v>
      </c>
      <c r="MI11" s="21">
        <f>IF(MI$1&lt;INDEX('Valo FX'!$Q:$Q,MATCH($A11,'Valo FX'!$A:$A,0)),0,IF(MI$1&lt;INDEX('Valo FX'!$R:$R,MATCH($A11,'Valo FX'!$A:$A,0)),INDEX(Base!$U:$U,MATCH($A11,Base!$A:$A,0)),IF(MI$1=INDEX('Valo FX'!$R:$R,MATCH($A11,'Valo FX'!$A:$A,0)),INDEX(Base!$V:$V,MATCH($A11,Base!$A:$A,0)),0)))</f>
        <v>0</v>
      </c>
      <c r="MJ11" s="21">
        <f>IF(MJ$1&lt;INDEX('Valo FX'!$Q:$Q,MATCH($A11,'Valo FX'!$A:$A,0)),0,IF(MJ$1&lt;INDEX('Valo FX'!$R:$R,MATCH($A11,'Valo FX'!$A:$A,0)),INDEX(Base!$U:$U,MATCH($A11,Base!$A:$A,0)),IF(MJ$1=INDEX('Valo FX'!$R:$R,MATCH($A11,'Valo FX'!$A:$A,0)),INDEX(Base!$V:$V,MATCH($A11,Base!$A:$A,0)),0)))</f>
        <v>0</v>
      </c>
      <c r="MK11" s="21">
        <f>IF(MK$1&lt;INDEX('Valo FX'!$Q:$Q,MATCH($A11,'Valo FX'!$A:$A,0)),0,IF(MK$1&lt;INDEX('Valo FX'!$R:$R,MATCH($A11,'Valo FX'!$A:$A,0)),INDEX(Base!$U:$U,MATCH($A11,Base!$A:$A,0)),IF(MK$1=INDEX('Valo FX'!$R:$R,MATCH($A11,'Valo FX'!$A:$A,0)),INDEX(Base!$V:$V,MATCH($A11,Base!$A:$A,0)),0)))</f>
        <v>0</v>
      </c>
      <c r="ML11" s="21">
        <f>IF(ML$1&lt;INDEX('Valo FX'!$Q:$Q,MATCH($A11,'Valo FX'!$A:$A,0)),0,IF(ML$1&lt;INDEX('Valo FX'!$R:$R,MATCH($A11,'Valo FX'!$A:$A,0)),INDEX(Base!$U:$U,MATCH($A11,Base!$A:$A,0)),IF(ML$1=INDEX('Valo FX'!$R:$R,MATCH($A11,'Valo FX'!$A:$A,0)),INDEX(Base!$V:$V,MATCH($A11,Base!$A:$A,0)),0)))</f>
        <v>0</v>
      </c>
      <c r="MM11" s="21">
        <f>IF(MM$1&lt;INDEX('Valo FX'!$Q:$Q,MATCH($A11,'Valo FX'!$A:$A,0)),0,IF(MM$1&lt;INDEX('Valo FX'!$R:$R,MATCH($A11,'Valo FX'!$A:$A,0)),INDEX(Base!$U:$U,MATCH($A11,Base!$A:$A,0)),IF(MM$1=INDEX('Valo FX'!$R:$R,MATCH($A11,'Valo FX'!$A:$A,0)),INDEX(Base!$V:$V,MATCH($A11,Base!$A:$A,0)),0)))</f>
        <v>0</v>
      </c>
      <c r="MN11" s="21">
        <f>IF(MN$1&lt;INDEX('Valo FX'!$Q:$Q,MATCH($A11,'Valo FX'!$A:$A,0)),0,IF(MN$1&lt;INDEX('Valo FX'!$R:$R,MATCH($A11,'Valo FX'!$A:$A,0)),INDEX(Base!$U:$U,MATCH($A11,Base!$A:$A,0)),IF(MN$1=INDEX('Valo FX'!$R:$R,MATCH($A11,'Valo FX'!$A:$A,0)),INDEX(Base!$V:$V,MATCH($A11,Base!$A:$A,0)),0)))</f>
        <v>0</v>
      </c>
      <c r="MO11" s="21">
        <f>IF(MO$1&lt;INDEX('Valo FX'!$Q:$Q,MATCH($A11,'Valo FX'!$A:$A,0)),0,IF(MO$1&lt;INDEX('Valo FX'!$R:$R,MATCH($A11,'Valo FX'!$A:$A,0)),INDEX(Base!$U:$U,MATCH($A11,Base!$A:$A,0)),IF(MO$1=INDEX('Valo FX'!$R:$R,MATCH($A11,'Valo FX'!$A:$A,0)),INDEX(Base!$V:$V,MATCH($A11,Base!$A:$A,0)),0)))</f>
        <v>0</v>
      </c>
      <c r="MP11" s="21">
        <f>IF(MP$1&lt;INDEX('Valo FX'!$Q:$Q,MATCH($A11,'Valo FX'!$A:$A,0)),0,IF(MP$1&lt;INDEX('Valo FX'!$R:$R,MATCH($A11,'Valo FX'!$A:$A,0)),INDEX(Base!$U:$U,MATCH($A11,Base!$A:$A,0)),IF(MP$1=INDEX('Valo FX'!$R:$R,MATCH($A11,'Valo FX'!$A:$A,0)),INDEX(Base!$V:$V,MATCH($A11,Base!$A:$A,0)),0)))</f>
        <v>0</v>
      </c>
      <c r="MQ11" s="21">
        <f>IF(MQ$1&lt;INDEX('Valo FX'!$Q:$Q,MATCH($A11,'Valo FX'!$A:$A,0)),0,IF(MQ$1&lt;INDEX('Valo FX'!$R:$R,MATCH($A11,'Valo FX'!$A:$A,0)),INDEX(Base!$U:$U,MATCH($A11,Base!$A:$A,0)),IF(MQ$1=INDEX('Valo FX'!$R:$R,MATCH($A11,'Valo FX'!$A:$A,0)),INDEX(Base!$V:$V,MATCH($A11,Base!$A:$A,0)),0)))</f>
        <v>0</v>
      </c>
      <c r="MR11" s="21">
        <f>IF(MR$1&lt;INDEX('Valo FX'!$Q:$Q,MATCH($A11,'Valo FX'!$A:$A,0)),0,IF(MR$1&lt;INDEX('Valo FX'!$R:$R,MATCH($A11,'Valo FX'!$A:$A,0)),INDEX(Base!$U:$U,MATCH($A11,Base!$A:$A,0)),IF(MR$1=INDEX('Valo FX'!$R:$R,MATCH($A11,'Valo FX'!$A:$A,0)),INDEX(Base!$V:$V,MATCH($A11,Base!$A:$A,0)),0)))</f>
        <v>0</v>
      </c>
      <c r="MS11" s="21">
        <f>IF(MS$1&lt;INDEX('Valo FX'!$Q:$Q,MATCH($A11,'Valo FX'!$A:$A,0)),0,IF(MS$1&lt;INDEX('Valo FX'!$R:$R,MATCH($A11,'Valo FX'!$A:$A,0)),INDEX(Base!$U:$U,MATCH($A11,Base!$A:$A,0)),IF(MS$1=INDEX('Valo FX'!$R:$R,MATCH($A11,'Valo FX'!$A:$A,0)),INDEX(Base!$V:$V,MATCH($A11,Base!$A:$A,0)),0)))</f>
        <v>0</v>
      </c>
      <c r="MT11" s="21">
        <f>IF(MT$1&lt;INDEX('Valo FX'!$Q:$Q,MATCH($A11,'Valo FX'!$A:$A,0)),0,IF(MT$1&lt;INDEX('Valo FX'!$R:$R,MATCH($A11,'Valo FX'!$A:$A,0)),INDEX(Base!$U:$U,MATCH($A11,Base!$A:$A,0)),IF(MT$1=INDEX('Valo FX'!$R:$R,MATCH($A11,'Valo FX'!$A:$A,0)),INDEX(Base!$V:$V,MATCH($A11,Base!$A:$A,0)),0)))</f>
        <v>0</v>
      </c>
      <c r="MU11" s="21">
        <f>IF(MU$1&lt;INDEX('Valo FX'!$Q:$Q,MATCH($A11,'Valo FX'!$A:$A,0)),0,IF(MU$1&lt;INDEX('Valo FX'!$R:$R,MATCH($A11,'Valo FX'!$A:$A,0)),INDEX(Base!$U:$U,MATCH($A11,Base!$A:$A,0)),IF(MU$1=INDEX('Valo FX'!$R:$R,MATCH($A11,'Valo FX'!$A:$A,0)),INDEX(Base!$V:$V,MATCH($A11,Base!$A:$A,0)),0)))</f>
        <v>0</v>
      </c>
      <c r="MV11" s="21">
        <f>IF(MV$1&lt;INDEX('Valo FX'!$Q:$Q,MATCH($A11,'Valo FX'!$A:$A,0)),0,IF(MV$1&lt;INDEX('Valo FX'!$R:$R,MATCH($A11,'Valo FX'!$A:$A,0)),INDEX(Base!$U:$U,MATCH($A11,Base!$A:$A,0)),IF(MV$1=INDEX('Valo FX'!$R:$R,MATCH($A11,'Valo FX'!$A:$A,0)),INDEX(Base!$V:$V,MATCH($A11,Base!$A:$A,0)),0)))</f>
        <v>0</v>
      </c>
      <c r="MW11" s="21">
        <f>IF(MW$1&lt;INDEX('Valo FX'!$Q:$Q,MATCH($A11,'Valo FX'!$A:$A,0)),0,IF(MW$1&lt;INDEX('Valo FX'!$R:$R,MATCH($A11,'Valo FX'!$A:$A,0)),INDEX(Base!$U:$U,MATCH($A11,Base!$A:$A,0)),IF(MW$1=INDEX('Valo FX'!$R:$R,MATCH($A11,'Valo FX'!$A:$A,0)),INDEX(Base!$V:$V,MATCH($A11,Base!$A:$A,0)),0)))</f>
        <v>0</v>
      </c>
      <c r="MX11" s="21">
        <f>IF(MX$1&lt;INDEX('Valo FX'!$Q:$Q,MATCH($A11,'Valo FX'!$A:$A,0)),0,IF(MX$1&lt;INDEX('Valo FX'!$R:$R,MATCH($A11,'Valo FX'!$A:$A,0)),INDEX(Base!$U:$U,MATCH($A11,Base!$A:$A,0)),IF(MX$1=INDEX('Valo FX'!$R:$R,MATCH($A11,'Valo FX'!$A:$A,0)),INDEX(Base!$V:$V,MATCH($A11,Base!$A:$A,0)),0)))</f>
        <v>0</v>
      </c>
      <c r="MY11" s="21">
        <f>IF(MY$1&lt;INDEX('Valo FX'!$Q:$Q,MATCH($A11,'Valo FX'!$A:$A,0)),0,IF(MY$1&lt;INDEX('Valo FX'!$R:$R,MATCH($A11,'Valo FX'!$A:$A,0)),INDEX(Base!$U:$U,MATCH($A11,Base!$A:$A,0)),IF(MY$1=INDEX('Valo FX'!$R:$R,MATCH($A11,'Valo FX'!$A:$A,0)),INDEX(Base!$V:$V,MATCH($A11,Base!$A:$A,0)),0)))</f>
        <v>0</v>
      </c>
    </row>
    <row r="12" spans="1:363" x14ac:dyDescent="0.2">
      <c r="A12" s="7">
        <f>+'Valo FX'!A13</f>
        <v>10</v>
      </c>
      <c r="B12" s="58">
        <f>-'Valo FX'!T13</f>
        <v>-1738.224036469139</v>
      </c>
      <c r="C12" s="21">
        <f>IF(C$1&lt;INDEX('Valo FX'!$Q:$Q,MATCH($A12,'Valo FX'!$A:$A,0)),0,IF(C$1&lt;INDEX('Valo FX'!$R:$R,MATCH($A12,'Valo FX'!$A:$A,0)),INDEX(Base!$U:$U,MATCH($A12,Base!$A:$A,0)),IF(C$1=INDEX('Valo FX'!$R:$R,MATCH($A12,'Valo FX'!$A:$A,0)),INDEX(Base!$V:$V,MATCH($A12,Base!$A:$A,0)),0)))</f>
        <v>0</v>
      </c>
      <c r="D12" s="21">
        <f>IF(D$1&lt;INDEX('Valo FX'!$Q:$Q,MATCH($A12,'Valo FX'!$A:$A,0)),0,IF(D$1&lt;INDEX('Valo FX'!$R:$R,MATCH($A12,'Valo FX'!$A:$A,0)),INDEX(Base!$U:$U,MATCH($A12,Base!$A:$A,0)),IF(D$1=INDEX('Valo FX'!$R:$R,MATCH($A12,'Valo FX'!$A:$A,0)),INDEX(Base!$V:$V,MATCH($A12,Base!$A:$A,0)),0)))</f>
        <v>0</v>
      </c>
      <c r="E12" s="21">
        <f>IF(E$1&lt;INDEX('Valo FX'!$Q:$Q,MATCH($A12,'Valo FX'!$A:$A,0)),0,IF(E$1&lt;INDEX('Valo FX'!$R:$R,MATCH($A12,'Valo FX'!$A:$A,0)),INDEX(Base!$U:$U,MATCH($A12,Base!$A:$A,0)),IF(E$1=INDEX('Valo FX'!$R:$R,MATCH($A12,'Valo FX'!$A:$A,0)),INDEX(Base!$V:$V,MATCH($A12,Base!$A:$A,0)),0)))</f>
        <v>0</v>
      </c>
      <c r="F12" s="21">
        <f>IF(F$1&lt;INDEX('Valo FX'!$Q:$Q,MATCH($A12,'Valo FX'!$A:$A,0)),0,IF(F$1&lt;INDEX('Valo FX'!$R:$R,MATCH($A12,'Valo FX'!$A:$A,0)),INDEX(Base!$U:$U,MATCH($A12,Base!$A:$A,0)),IF(F$1=INDEX('Valo FX'!$R:$R,MATCH($A12,'Valo FX'!$A:$A,0)),INDEX(Base!$V:$V,MATCH($A12,Base!$A:$A,0)),0)))</f>
        <v>0</v>
      </c>
      <c r="G12" s="21">
        <f>IF(G$1&lt;INDEX('Valo FX'!$Q:$Q,MATCH($A12,'Valo FX'!$A:$A,0)),0,IF(G$1&lt;INDEX('Valo FX'!$R:$R,MATCH($A12,'Valo FX'!$A:$A,0)),INDEX(Base!$U:$U,MATCH($A12,Base!$A:$A,0)),IF(G$1=INDEX('Valo FX'!$R:$R,MATCH($A12,'Valo FX'!$A:$A,0)),INDEX(Base!$V:$V,MATCH($A12,Base!$A:$A,0)),0)))</f>
        <v>0</v>
      </c>
      <c r="H12" s="21">
        <f>IF(H$1&lt;INDEX('Valo FX'!$Q:$Q,MATCH($A12,'Valo FX'!$A:$A,0)),0,IF(H$1&lt;INDEX('Valo FX'!$R:$R,MATCH($A12,'Valo FX'!$A:$A,0)),INDEX(Base!$U:$U,MATCH($A12,Base!$A:$A,0)),IF(H$1=INDEX('Valo FX'!$R:$R,MATCH($A12,'Valo FX'!$A:$A,0)),INDEX(Base!$V:$V,MATCH($A12,Base!$A:$A,0)),0)))</f>
        <v>0</v>
      </c>
      <c r="I12" s="21">
        <f>IF(I$1&lt;INDEX('Valo FX'!$Q:$Q,MATCH($A12,'Valo FX'!$A:$A,0)),0,IF(I$1&lt;INDEX('Valo FX'!$R:$R,MATCH($A12,'Valo FX'!$A:$A,0)),INDEX(Base!$U:$U,MATCH($A12,Base!$A:$A,0)),IF(I$1=INDEX('Valo FX'!$R:$R,MATCH($A12,'Valo FX'!$A:$A,0)),INDEX(Base!$V:$V,MATCH($A12,Base!$A:$A,0)),0)))</f>
        <v>11.839432</v>
      </c>
      <c r="J12" s="21">
        <f>IF(J$1&lt;INDEX('Valo FX'!$Q:$Q,MATCH($A12,'Valo FX'!$A:$A,0)),0,IF(J$1&lt;INDEX('Valo FX'!$R:$R,MATCH($A12,'Valo FX'!$A:$A,0)),INDEX(Base!$U:$U,MATCH($A12,Base!$A:$A,0)),IF(J$1=INDEX('Valo FX'!$R:$R,MATCH($A12,'Valo FX'!$A:$A,0)),INDEX(Base!$V:$V,MATCH($A12,Base!$A:$A,0)),0)))</f>
        <v>11.839432</v>
      </c>
      <c r="K12" s="21">
        <f>IF(K$1&lt;INDEX('Valo FX'!$Q:$Q,MATCH($A12,'Valo FX'!$A:$A,0)),0,IF(K$1&lt;INDEX('Valo FX'!$R:$R,MATCH($A12,'Valo FX'!$A:$A,0)),INDEX(Base!$U:$U,MATCH($A12,Base!$A:$A,0)),IF(K$1=INDEX('Valo FX'!$R:$R,MATCH($A12,'Valo FX'!$A:$A,0)),INDEX(Base!$V:$V,MATCH($A12,Base!$A:$A,0)),0)))</f>
        <v>11.839432</v>
      </c>
      <c r="L12" s="21">
        <f>IF(L$1&lt;INDEX('Valo FX'!$Q:$Q,MATCH($A12,'Valo FX'!$A:$A,0)),0,IF(L$1&lt;INDEX('Valo FX'!$R:$R,MATCH($A12,'Valo FX'!$A:$A,0)),INDEX(Base!$U:$U,MATCH($A12,Base!$A:$A,0)),IF(L$1=INDEX('Valo FX'!$R:$R,MATCH($A12,'Valo FX'!$A:$A,0)),INDEX(Base!$V:$V,MATCH($A12,Base!$A:$A,0)),0)))</f>
        <v>11.839432</v>
      </c>
      <c r="M12" s="21">
        <f>IF(M$1&lt;INDEX('Valo FX'!$Q:$Q,MATCH($A12,'Valo FX'!$A:$A,0)),0,IF(M$1&lt;INDEX('Valo FX'!$R:$R,MATCH($A12,'Valo FX'!$A:$A,0)),INDEX(Base!$U:$U,MATCH($A12,Base!$A:$A,0)),IF(M$1=INDEX('Valo FX'!$R:$R,MATCH($A12,'Valo FX'!$A:$A,0)),INDEX(Base!$V:$V,MATCH($A12,Base!$A:$A,0)),0)))</f>
        <v>11.839432</v>
      </c>
      <c r="N12" s="21">
        <f>IF(N$1&lt;INDEX('Valo FX'!$Q:$Q,MATCH($A12,'Valo FX'!$A:$A,0)),0,IF(N$1&lt;INDEX('Valo FX'!$R:$R,MATCH($A12,'Valo FX'!$A:$A,0)),INDEX(Base!$U:$U,MATCH($A12,Base!$A:$A,0)),IF(N$1=INDEX('Valo FX'!$R:$R,MATCH($A12,'Valo FX'!$A:$A,0)),INDEX(Base!$V:$V,MATCH($A12,Base!$A:$A,0)),0)))</f>
        <v>11.839432</v>
      </c>
      <c r="O12" s="21">
        <f>IF(O$1&lt;INDEX('Valo FX'!$Q:$Q,MATCH($A12,'Valo FX'!$A:$A,0)),0,IF(O$1&lt;INDEX('Valo FX'!$R:$R,MATCH($A12,'Valo FX'!$A:$A,0)),INDEX(Base!$U:$U,MATCH($A12,Base!$A:$A,0)),IF(O$1=INDEX('Valo FX'!$R:$R,MATCH($A12,'Valo FX'!$A:$A,0)),INDEX(Base!$V:$V,MATCH($A12,Base!$A:$A,0)),0)))</f>
        <v>11.839432</v>
      </c>
      <c r="P12" s="21">
        <f>IF(P$1&lt;INDEX('Valo FX'!$Q:$Q,MATCH($A12,'Valo FX'!$A:$A,0)),0,IF(P$1&lt;INDEX('Valo FX'!$R:$R,MATCH($A12,'Valo FX'!$A:$A,0)),INDEX(Base!$U:$U,MATCH($A12,Base!$A:$A,0)),IF(P$1=INDEX('Valo FX'!$R:$R,MATCH($A12,'Valo FX'!$A:$A,0)),INDEX(Base!$V:$V,MATCH($A12,Base!$A:$A,0)),0)))</f>
        <v>11.839432</v>
      </c>
      <c r="Q12" s="21">
        <f>IF(Q$1&lt;INDEX('Valo FX'!$Q:$Q,MATCH($A12,'Valo FX'!$A:$A,0)),0,IF(Q$1&lt;INDEX('Valo FX'!$R:$R,MATCH($A12,'Valo FX'!$A:$A,0)),INDEX(Base!$U:$U,MATCH($A12,Base!$A:$A,0)),IF(Q$1=INDEX('Valo FX'!$R:$R,MATCH($A12,'Valo FX'!$A:$A,0)),INDEX(Base!$V:$V,MATCH($A12,Base!$A:$A,0)),0)))</f>
        <v>11.839432</v>
      </c>
      <c r="R12" s="21">
        <f>IF(R$1&lt;INDEX('Valo FX'!$Q:$Q,MATCH($A12,'Valo FX'!$A:$A,0)),0,IF(R$1&lt;INDEX('Valo FX'!$R:$R,MATCH($A12,'Valo FX'!$A:$A,0)),INDEX(Base!$U:$U,MATCH($A12,Base!$A:$A,0)),IF(R$1=INDEX('Valo FX'!$R:$R,MATCH($A12,'Valo FX'!$A:$A,0)),INDEX(Base!$V:$V,MATCH($A12,Base!$A:$A,0)),0)))</f>
        <v>11.839432</v>
      </c>
      <c r="S12" s="21">
        <f>IF(S$1&lt;INDEX('Valo FX'!$Q:$Q,MATCH($A12,'Valo FX'!$A:$A,0)),0,IF(S$1&lt;INDEX('Valo FX'!$R:$R,MATCH($A12,'Valo FX'!$A:$A,0)),INDEX(Base!$U:$U,MATCH($A12,Base!$A:$A,0)),IF(S$1=INDEX('Valo FX'!$R:$R,MATCH($A12,'Valo FX'!$A:$A,0)),INDEX(Base!$V:$V,MATCH($A12,Base!$A:$A,0)),0)))</f>
        <v>11.839432</v>
      </c>
      <c r="T12" s="21">
        <f>IF(T$1&lt;INDEX('Valo FX'!$Q:$Q,MATCH($A12,'Valo FX'!$A:$A,0)),0,IF(T$1&lt;INDEX('Valo FX'!$R:$R,MATCH($A12,'Valo FX'!$A:$A,0)),INDEX(Base!$U:$U,MATCH($A12,Base!$A:$A,0)),IF(T$1=INDEX('Valo FX'!$R:$R,MATCH($A12,'Valo FX'!$A:$A,0)),INDEX(Base!$V:$V,MATCH($A12,Base!$A:$A,0)),0)))</f>
        <v>11.839432</v>
      </c>
      <c r="U12" s="21">
        <f>IF(U$1&lt;INDEX('Valo FX'!$Q:$Q,MATCH($A12,'Valo FX'!$A:$A,0)),0,IF(U$1&lt;INDEX('Valo FX'!$R:$R,MATCH($A12,'Valo FX'!$A:$A,0)),INDEX(Base!$U:$U,MATCH($A12,Base!$A:$A,0)),IF(U$1=INDEX('Valo FX'!$R:$R,MATCH($A12,'Valo FX'!$A:$A,0)),INDEX(Base!$V:$V,MATCH($A12,Base!$A:$A,0)),0)))</f>
        <v>11.839432</v>
      </c>
      <c r="V12" s="21">
        <f>IF(V$1&lt;INDEX('Valo FX'!$Q:$Q,MATCH($A12,'Valo FX'!$A:$A,0)),0,IF(V$1&lt;INDEX('Valo FX'!$R:$R,MATCH($A12,'Valo FX'!$A:$A,0)),INDEX(Base!$U:$U,MATCH($A12,Base!$A:$A,0)),IF(V$1=INDEX('Valo FX'!$R:$R,MATCH($A12,'Valo FX'!$A:$A,0)),INDEX(Base!$V:$V,MATCH($A12,Base!$A:$A,0)),0)))</f>
        <v>11.839432</v>
      </c>
      <c r="W12" s="21">
        <f>IF(W$1&lt;INDEX('Valo FX'!$Q:$Q,MATCH($A12,'Valo FX'!$A:$A,0)),0,IF(W$1&lt;INDEX('Valo FX'!$R:$R,MATCH($A12,'Valo FX'!$A:$A,0)),INDEX(Base!$U:$U,MATCH($A12,Base!$A:$A,0)),IF(W$1=INDEX('Valo FX'!$R:$R,MATCH($A12,'Valo FX'!$A:$A,0)),INDEX(Base!$V:$V,MATCH($A12,Base!$A:$A,0)),0)))</f>
        <v>11.839432</v>
      </c>
      <c r="X12" s="21">
        <f>IF(X$1&lt;INDEX('Valo FX'!$Q:$Q,MATCH($A12,'Valo FX'!$A:$A,0)),0,IF(X$1&lt;INDEX('Valo FX'!$R:$R,MATCH($A12,'Valo FX'!$A:$A,0)),INDEX(Base!$U:$U,MATCH($A12,Base!$A:$A,0)),IF(X$1=INDEX('Valo FX'!$R:$R,MATCH($A12,'Valo FX'!$A:$A,0)),INDEX(Base!$V:$V,MATCH($A12,Base!$A:$A,0)),0)))</f>
        <v>11.839432</v>
      </c>
      <c r="Y12" s="21">
        <f>IF(Y$1&lt;INDEX('Valo FX'!$Q:$Q,MATCH($A12,'Valo FX'!$A:$A,0)),0,IF(Y$1&lt;INDEX('Valo FX'!$R:$R,MATCH($A12,'Valo FX'!$A:$A,0)),INDEX(Base!$U:$U,MATCH($A12,Base!$A:$A,0)),IF(Y$1=INDEX('Valo FX'!$R:$R,MATCH($A12,'Valo FX'!$A:$A,0)),INDEX(Base!$V:$V,MATCH($A12,Base!$A:$A,0)),0)))</f>
        <v>11.839432</v>
      </c>
      <c r="Z12" s="21">
        <f>IF(Z$1&lt;INDEX('Valo FX'!$Q:$Q,MATCH($A12,'Valo FX'!$A:$A,0)),0,IF(Z$1&lt;INDEX('Valo FX'!$R:$R,MATCH($A12,'Valo FX'!$A:$A,0)),INDEX(Base!$U:$U,MATCH($A12,Base!$A:$A,0)),IF(Z$1=INDEX('Valo FX'!$R:$R,MATCH($A12,'Valo FX'!$A:$A,0)),INDEX(Base!$V:$V,MATCH($A12,Base!$A:$A,0)),0)))</f>
        <v>11.839432</v>
      </c>
      <c r="AA12" s="21">
        <f>IF(AA$1&lt;INDEX('Valo FX'!$Q:$Q,MATCH($A12,'Valo FX'!$A:$A,0)),0,IF(AA$1&lt;INDEX('Valo FX'!$R:$R,MATCH($A12,'Valo FX'!$A:$A,0)),INDEX(Base!$U:$U,MATCH($A12,Base!$A:$A,0)),IF(AA$1=INDEX('Valo FX'!$R:$R,MATCH($A12,'Valo FX'!$A:$A,0)),INDEX(Base!$V:$V,MATCH($A12,Base!$A:$A,0)),0)))</f>
        <v>11.839432</v>
      </c>
      <c r="AB12" s="21">
        <f>IF(AB$1&lt;INDEX('Valo FX'!$Q:$Q,MATCH($A12,'Valo FX'!$A:$A,0)),0,IF(AB$1&lt;INDEX('Valo FX'!$R:$R,MATCH($A12,'Valo FX'!$A:$A,0)),INDEX(Base!$U:$U,MATCH($A12,Base!$A:$A,0)),IF(AB$1=INDEX('Valo FX'!$R:$R,MATCH($A12,'Valo FX'!$A:$A,0)),INDEX(Base!$V:$V,MATCH($A12,Base!$A:$A,0)),0)))</f>
        <v>11.839432</v>
      </c>
      <c r="AC12" s="21">
        <f>IF(AC$1&lt;INDEX('Valo FX'!$Q:$Q,MATCH($A12,'Valo FX'!$A:$A,0)),0,IF(AC$1&lt;INDEX('Valo FX'!$R:$R,MATCH($A12,'Valo FX'!$A:$A,0)),INDEX(Base!$U:$U,MATCH($A12,Base!$A:$A,0)),IF(AC$1=INDEX('Valo FX'!$R:$R,MATCH($A12,'Valo FX'!$A:$A,0)),INDEX(Base!$V:$V,MATCH($A12,Base!$A:$A,0)),0)))</f>
        <v>11.839432</v>
      </c>
      <c r="AD12" s="21">
        <f>IF(AD$1&lt;INDEX('Valo FX'!$Q:$Q,MATCH($A12,'Valo FX'!$A:$A,0)),0,IF(AD$1&lt;INDEX('Valo FX'!$R:$R,MATCH($A12,'Valo FX'!$A:$A,0)),INDEX(Base!$U:$U,MATCH($A12,Base!$A:$A,0)),IF(AD$1=INDEX('Valo FX'!$R:$R,MATCH($A12,'Valo FX'!$A:$A,0)),INDEX(Base!$V:$V,MATCH($A12,Base!$A:$A,0)),0)))</f>
        <v>11.839432</v>
      </c>
      <c r="AE12" s="21">
        <f>IF(AE$1&lt;INDEX('Valo FX'!$Q:$Q,MATCH($A12,'Valo FX'!$A:$A,0)),0,IF(AE$1&lt;INDEX('Valo FX'!$R:$R,MATCH($A12,'Valo FX'!$A:$A,0)),INDEX(Base!$U:$U,MATCH($A12,Base!$A:$A,0)),IF(AE$1=INDEX('Valo FX'!$R:$R,MATCH($A12,'Valo FX'!$A:$A,0)),INDEX(Base!$V:$V,MATCH($A12,Base!$A:$A,0)),0)))</f>
        <v>11.839432</v>
      </c>
      <c r="AF12" s="21">
        <f>IF(AF$1&lt;INDEX('Valo FX'!$Q:$Q,MATCH($A12,'Valo FX'!$A:$A,0)),0,IF(AF$1&lt;INDEX('Valo FX'!$R:$R,MATCH($A12,'Valo FX'!$A:$A,0)),INDEX(Base!$U:$U,MATCH($A12,Base!$A:$A,0)),IF(AF$1=INDEX('Valo FX'!$R:$R,MATCH($A12,'Valo FX'!$A:$A,0)),INDEX(Base!$V:$V,MATCH($A12,Base!$A:$A,0)),0)))</f>
        <v>11.839432</v>
      </c>
      <c r="AG12" s="21">
        <f>IF(AG$1&lt;INDEX('Valo FX'!$Q:$Q,MATCH($A12,'Valo FX'!$A:$A,0)),0,IF(AG$1&lt;INDEX('Valo FX'!$R:$R,MATCH($A12,'Valo FX'!$A:$A,0)),INDEX(Base!$U:$U,MATCH($A12,Base!$A:$A,0)),IF(AG$1=INDEX('Valo FX'!$R:$R,MATCH($A12,'Valo FX'!$A:$A,0)),INDEX(Base!$V:$V,MATCH($A12,Base!$A:$A,0)),0)))</f>
        <v>11.839432</v>
      </c>
      <c r="AH12" s="21">
        <f>IF(AH$1&lt;INDEX('Valo FX'!$Q:$Q,MATCH($A12,'Valo FX'!$A:$A,0)),0,IF(AH$1&lt;INDEX('Valo FX'!$R:$R,MATCH($A12,'Valo FX'!$A:$A,0)),INDEX(Base!$U:$U,MATCH($A12,Base!$A:$A,0)),IF(AH$1=INDEX('Valo FX'!$R:$R,MATCH($A12,'Valo FX'!$A:$A,0)),INDEX(Base!$V:$V,MATCH($A12,Base!$A:$A,0)),0)))</f>
        <v>11.839432</v>
      </c>
      <c r="AI12" s="21">
        <f>IF(AI$1&lt;INDEX('Valo FX'!$Q:$Q,MATCH($A12,'Valo FX'!$A:$A,0)),0,IF(AI$1&lt;INDEX('Valo FX'!$R:$R,MATCH($A12,'Valo FX'!$A:$A,0)),INDEX(Base!$U:$U,MATCH($A12,Base!$A:$A,0)),IF(AI$1=INDEX('Valo FX'!$R:$R,MATCH($A12,'Valo FX'!$A:$A,0)),INDEX(Base!$V:$V,MATCH($A12,Base!$A:$A,0)),0)))</f>
        <v>11.839432</v>
      </c>
      <c r="AJ12" s="21">
        <f>IF(AJ$1&lt;INDEX('Valo FX'!$Q:$Q,MATCH($A12,'Valo FX'!$A:$A,0)),0,IF(AJ$1&lt;INDEX('Valo FX'!$R:$R,MATCH($A12,'Valo FX'!$A:$A,0)),INDEX(Base!$U:$U,MATCH($A12,Base!$A:$A,0)),IF(AJ$1=INDEX('Valo FX'!$R:$R,MATCH($A12,'Valo FX'!$A:$A,0)),INDEX(Base!$V:$V,MATCH($A12,Base!$A:$A,0)),0)))</f>
        <v>11.839432</v>
      </c>
      <c r="AK12" s="21">
        <f>IF(AK$1&lt;INDEX('Valo FX'!$Q:$Q,MATCH($A12,'Valo FX'!$A:$A,0)),0,IF(AK$1&lt;INDEX('Valo FX'!$R:$R,MATCH($A12,'Valo FX'!$A:$A,0)),INDEX(Base!$U:$U,MATCH($A12,Base!$A:$A,0)),IF(AK$1=INDEX('Valo FX'!$R:$R,MATCH($A12,'Valo FX'!$A:$A,0)),INDEX(Base!$V:$V,MATCH($A12,Base!$A:$A,0)),0)))</f>
        <v>11.839432</v>
      </c>
      <c r="AL12" s="21">
        <f>IF(AL$1&lt;INDEX('Valo FX'!$Q:$Q,MATCH($A12,'Valo FX'!$A:$A,0)),0,IF(AL$1&lt;INDEX('Valo FX'!$R:$R,MATCH($A12,'Valo FX'!$A:$A,0)),INDEX(Base!$U:$U,MATCH($A12,Base!$A:$A,0)),IF(AL$1=INDEX('Valo FX'!$R:$R,MATCH($A12,'Valo FX'!$A:$A,0)),INDEX(Base!$V:$V,MATCH($A12,Base!$A:$A,0)),0)))</f>
        <v>11.839432</v>
      </c>
      <c r="AM12" s="21">
        <f>IF(AM$1&lt;INDEX('Valo FX'!$Q:$Q,MATCH($A12,'Valo FX'!$A:$A,0)),0,IF(AM$1&lt;INDEX('Valo FX'!$R:$R,MATCH($A12,'Valo FX'!$A:$A,0)),INDEX(Base!$U:$U,MATCH($A12,Base!$A:$A,0)),IF(AM$1=INDEX('Valo FX'!$R:$R,MATCH($A12,'Valo FX'!$A:$A,0)),INDEX(Base!$V:$V,MATCH($A12,Base!$A:$A,0)),0)))</f>
        <v>11.839432</v>
      </c>
      <c r="AN12" s="21">
        <f>IF(AN$1&lt;INDEX('Valo FX'!$Q:$Q,MATCH($A12,'Valo FX'!$A:$A,0)),0,IF(AN$1&lt;INDEX('Valo FX'!$R:$R,MATCH($A12,'Valo FX'!$A:$A,0)),INDEX(Base!$U:$U,MATCH($A12,Base!$A:$A,0)),IF(AN$1=INDEX('Valo FX'!$R:$R,MATCH($A12,'Valo FX'!$A:$A,0)),INDEX(Base!$V:$V,MATCH($A12,Base!$A:$A,0)),0)))</f>
        <v>11.839432</v>
      </c>
      <c r="AO12" s="21">
        <f>IF(AO$1&lt;INDEX('Valo FX'!$Q:$Q,MATCH($A12,'Valo FX'!$A:$A,0)),0,IF(AO$1&lt;INDEX('Valo FX'!$R:$R,MATCH($A12,'Valo FX'!$A:$A,0)),INDEX(Base!$U:$U,MATCH($A12,Base!$A:$A,0)),IF(AO$1=INDEX('Valo FX'!$R:$R,MATCH($A12,'Valo FX'!$A:$A,0)),INDEX(Base!$V:$V,MATCH($A12,Base!$A:$A,0)),0)))</f>
        <v>11.839432</v>
      </c>
      <c r="AP12" s="21">
        <f>IF(AP$1&lt;INDEX('Valo FX'!$Q:$Q,MATCH($A12,'Valo FX'!$A:$A,0)),0,IF(AP$1&lt;INDEX('Valo FX'!$R:$R,MATCH($A12,'Valo FX'!$A:$A,0)),INDEX(Base!$U:$U,MATCH($A12,Base!$A:$A,0)),IF(AP$1=INDEX('Valo FX'!$R:$R,MATCH($A12,'Valo FX'!$A:$A,0)),INDEX(Base!$V:$V,MATCH($A12,Base!$A:$A,0)),0)))</f>
        <v>11.839432</v>
      </c>
      <c r="AQ12" s="21">
        <f>IF(AQ$1&lt;INDEX('Valo FX'!$Q:$Q,MATCH($A12,'Valo FX'!$A:$A,0)),0,IF(AQ$1&lt;INDEX('Valo FX'!$R:$R,MATCH($A12,'Valo FX'!$A:$A,0)),INDEX(Base!$U:$U,MATCH($A12,Base!$A:$A,0)),IF(AQ$1=INDEX('Valo FX'!$R:$R,MATCH($A12,'Valo FX'!$A:$A,0)),INDEX(Base!$V:$V,MATCH($A12,Base!$A:$A,0)),0)))</f>
        <v>11.839432</v>
      </c>
      <c r="AR12" s="21">
        <f>IF(AR$1&lt;INDEX('Valo FX'!$Q:$Q,MATCH($A12,'Valo FX'!$A:$A,0)),0,IF(AR$1&lt;INDEX('Valo FX'!$R:$R,MATCH($A12,'Valo FX'!$A:$A,0)),INDEX(Base!$U:$U,MATCH($A12,Base!$A:$A,0)),IF(AR$1=INDEX('Valo FX'!$R:$R,MATCH($A12,'Valo FX'!$A:$A,0)),INDEX(Base!$V:$V,MATCH($A12,Base!$A:$A,0)),0)))</f>
        <v>11.839432</v>
      </c>
      <c r="AS12" s="21">
        <f>IF(AS$1&lt;INDEX('Valo FX'!$Q:$Q,MATCH($A12,'Valo FX'!$A:$A,0)),0,IF(AS$1&lt;INDEX('Valo FX'!$R:$R,MATCH($A12,'Valo FX'!$A:$A,0)),INDEX(Base!$U:$U,MATCH($A12,Base!$A:$A,0)),IF(AS$1=INDEX('Valo FX'!$R:$R,MATCH($A12,'Valo FX'!$A:$A,0)),INDEX(Base!$V:$V,MATCH($A12,Base!$A:$A,0)),0)))</f>
        <v>11.839432</v>
      </c>
      <c r="AT12" s="21">
        <f>IF(AT$1&lt;INDEX('Valo FX'!$Q:$Q,MATCH($A12,'Valo FX'!$A:$A,0)),0,IF(AT$1&lt;INDEX('Valo FX'!$R:$R,MATCH($A12,'Valo FX'!$A:$A,0)),INDEX(Base!$U:$U,MATCH($A12,Base!$A:$A,0)),IF(AT$1=INDEX('Valo FX'!$R:$R,MATCH($A12,'Valo FX'!$A:$A,0)),INDEX(Base!$V:$V,MATCH($A12,Base!$A:$A,0)),0)))</f>
        <v>11.839432</v>
      </c>
      <c r="AU12" s="21">
        <f>IF(AU$1&lt;INDEX('Valo FX'!$Q:$Q,MATCH($A12,'Valo FX'!$A:$A,0)),0,IF(AU$1&lt;INDEX('Valo FX'!$R:$R,MATCH($A12,'Valo FX'!$A:$A,0)),INDEX(Base!$U:$U,MATCH($A12,Base!$A:$A,0)),IF(AU$1=INDEX('Valo FX'!$R:$R,MATCH($A12,'Valo FX'!$A:$A,0)),INDEX(Base!$V:$V,MATCH($A12,Base!$A:$A,0)),0)))</f>
        <v>11.839432</v>
      </c>
      <c r="AV12" s="21">
        <f>IF(AV$1&lt;INDEX('Valo FX'!$Q:$Q,MATCH($A12,'Valo FX'!$A:$A,0)),0,IF(AV$1&lt;INDEX('Valo FX'!$R:$R,MATCH($A12,'Valo FX'!$A:$A,0)),INDEX(Base!$U:$U,MATCH($A12,Base!$A:$A,0)),IF(AV$1=INDEX('Valo FX'!$R:$R,MATCH($A12,'Valo FX'!$A:$A,0)),INDEX(Base!$V:$V,MATCH($A12,Base!$A:$A,0)),0)))</f>
        <v>11.839432</v>
      </c>
      <c r="AW12" s="21">
        <f>IF(AW$1&lt;INDEX('Valo FX'!$Q:$Q,MATCH($A12,'Valo FX'!$A:$A,0)),0,IF(AW$1&lt;INDEX('Valo FX'!$R:$R,MATCH($A12,'Valo FX'!$A:$A,0)),INDEX(Base!$U:$U,MATCH($A12,Base!$A:$A,0)),IF(AW$1=INDEX('Valo FX'!$R:$R,MATCH($A12,'Valo FX'!$A:$A,0)),INDEX(Base!$V:$V,MATCH($A12,Base!$A:$A,0)),0)))</f>
        <v>11.839432</v>
      </c>
      <c r="AX12" s="21">
        <f>IF(AX$1&lt;INDEX('Valo FX'!$Q:$Q,MATCH($A12,'Valo FX'!$A:$A,0)),0,IF(AX$1&lt;INDEX('Valo FX'!$R:$R,MATCH($A12,'Valo FX'!$A:$A,0)),INDEX(Base!$U:$U,MATCH($A12,Base!$A:$A,0)),IF(AX$1=INDEX('Valo FX'!$R:$R,MATCH($A12,'Valo FX'!$A:$A,0)),INDEX(Base!$V:$V,MATCH($A12,Base!$A:$A,0)),0)))</f>
        <v>11.839432</v>
      </c>
      <c r="AY12" s="21">
        <f>IF(AY$1&lt;INDEX('Valo FX'!$Q:$Q,MATCH($A12,'Valo FX'!$A:$A,0)),0,IF(AY$1&lt;INDEX('Valo FX'!$R:$R,MATCH($A12,'Valo FX'!$A:$A,0)),INDEX(Base!$U:$U,MATCH($A12,Base!$A:$A,0)),IF(AY$1=INDEX('Valo FX'!$R:$R,MATCH($A12,'Valo FX'!$A:$A,0)),INDEX(Base!$V:$V,MATCH($A12,Base!$A:$A,0)),0)))</f>
        <v>11.839432</v>
      </c>
      <c r="AZ12" s="21">
        <f>IF(AZ$1&lt;INDEX('Valo FX'!$Q:$Q,MATCH($A12,'Valo FX'!$A:$A,0)),0,IF(AZ$1&lt;INDEX('Valo FX'!$R:$R,MATCH($A12,'Valo FX'!$A:$A,0)),INDEX(Base!$U:$U,MATCH($A12,Base!$A:$A,0)),IF(AZ$1=INDEX('Valo FX'!$R:$R,MATCH($A12,'Valo FX'!$A:$A,0)),INDEX(Base!$V:$V,MATCH($A12,Base!$A:$A,0)),0)))</f>
        <v>11.839432</v>
      </c>
      <c r="BA12" s="21">
        <f>IF(BA$1&lt;INDEX('Valo FX'!$Q:$Q,MATCH($A12,'Valo FX'!$A:$A,0)),0,IF(BA$1&lt;INDEX('Valo FX'!$R:$R,MATCH($A12,'Valo FX'!$A:$A,0)),INDEX(Base!$U:$U,MATCH($A12,Base!$A:$A,0)),IF(BA$1=INDEX('Valo FX'!$R:$R,MATCH($A12,'Valo FX'!$A:$A,0)),INDEX(Base!$V:$V,MATCH($A12,Base!$A:$A,0)),0)))</f>
        <v>11.839432</v>
      </c>
      <c r="BB12" s="21">
        <f>IF(BB$1&lt;INDEX('Valo FX'!$Q:$Q,MATCH($A12,'Valo FX'!$A:$A,0)),0,IF(BB$1&lt;INDEX('Valo FX'!$R:$R,MATCH($A12,'Valo FX'!$A:$A,0)),INDEX(Base!$U:$U,MATCH($A12,Base!$A:$A,0)),IF(BB$1=INDEX('Valo FX'!$R:$R,MATCH($A12,'Valo FX'!$A:$A,0)),INDEX(Base!$V:$V,MATCH($A12,Base!$A:$A,0)),0)))</f>
        <v>11.839432</v>
      </c>
      <c r="BC12" s="21">
        <f>IF(BC$1&lt;INDEX('Valo FX'!$Q:$Q,MATCH($A12,'Valo FX'!$A:$A,0)),0,IF(BC$1&lt;INDEX('Valo FX'!$R:$R,MATCH($A12,'Valo FX'!$A:$A,0)),INDEX(Base!$U:$U,MATCH($A12,Base!$A:$A,0)),IF(BC$1=INDEX('Valo FX'!$R:$R,MATCH($A12,'Valo FX'!$A:$A,0)),INDEX(Base!$V:$V,MATCH($A12,Base!$A:$A,0)),0)))</f>
        <v>11.839432</v>
      </c>
      <c r="BD12" s="21">
        <f>IF(BD$1&lt;INDEX('Valo FX'!$Q:$Q,MATCH($A12,'Valo FX'!$A:$A,0)),0,IF(BD$1&lt;INDEX('Valo FX'!$R:$R,MATCH($A12,'Valo FX'!$A:$A,0)),INDEX(Base!$U:$U,MATCH($A12,Base!$A:$A,0)),IF(BD$1=INDEX('Valo FX'!$R:$R,MATCH($A12,'Valo FX'!$A:$A,0)),INDEX(Base!$V:$V,MATCH($A12,Base!$A:$A,0)),0)))</f>
        <v>11.839432</v>
      </c>
      <c r="BE12" s="21">
        <f>IF(BE$1&lt;INDEX('Valo FX'!$Q:$Q,MATCH($A12,'Valo FX'!$A:$A,0)),0,IF(BE$1&lt;INDEX('Valo FX'!$R:$R,MATCH($A12,'Valo FX'!$A:$A,0)),INDEX(Base!$U:$U,MATCH($A12,Base!$A:$A,0)),IF(BE$1=INDEX('Valo FX'!$R:$R,MATCH($A12,'Valo FX'!$A:$A,0)),INDEX(Base!$V:$V,MATCH($A12,Base!$A:$A,0)),0)))</f>
        <v>11.839432</v>
      </c>
      <c r="BF12" s="21">
        <f>IF(BF$1&lt;INDEX('Valo FX'!$Q:$Q,MATCH($A12,'Valo FX'!$A:$A,0)),0,IF(BF$1&lt;INDEX('Valo FX'!$R:$R,MATCH($A12,'Valo FX'!$A:$A,0)),INDEX(Base!$U:$U,MATCH($A12,Base!$A:$A,0)),IF(BF$1=INDEX('Valo FX'!$R:$R,MATCH($A12,'Valo FX'!$A:$A,0)),INDEX(Base!$V:$V,MATCH($A12,Base!$A:$A,0)),0)))</f>
        <v>11.839432</v>
      </c>
      <c r="BG12" s="21">
        <f>IF(BG$1&lt;INDEX('Valo FX'!$Q:$Q,MATCH($A12,'Valo FX'!$A:$A,0)),0,IF(BG$1&lt;INDEX('Valo FX'!$R:$R,MATCH($A12,'Valo FX'!$A:$A,0)),INDEX(Base!$U:$U,MATCH($A12,Base!$A:$A,0)),IF(BG$1=INDEX('Valo FX'!$R:$R,MATCH($A12,'Valo FX'!$A:$A,0)),INDEX(Base!$V:$V,MATCH($A12,Base!$A:$A,0)),0)))</f>
        <v>11.839432</v>
      </c>
      <c r="BH12" s="21">
        <f>IF(BH$1&lt;INDEX('Valo FX'!$Q:$Q,MATCH($A12,'Valo FX'!$A:$A,0)),0,IF(BH$1&lt;INDEX('Valo FX'!$R:$R,MATCH($A12,'Valo FX'!$A:$A,0)),INDEX(Base!$U:$U,MATCH($A12,Base!$A:$A,0)),IF(BH$1=INDEX('Valo FX'!$R:$R,MATCH($A12,'Valo FX'!$A:$A,0)),INDEX(Base!$V:$V,MATCH($A12,Base!$A:$A,0)),0)))</f>
        <v>11.839432</v>
      </c>
      <c r="BI12" s="21">
        <f>IF(BI$1&lt;INDEX('Valo FX'!$Q:$Q,MATCH($A12,'Valo FX'!$A:$A,0)),0,IF(BI$1&lt;INDEX('Valo FX'!$R:$R,MATCH($A12,'Valo FX'!$A:$A,0)),INDEX(Base!$U:$U,MATCH($A12,Base!$A:$A,0)),IF(BI$1=INDEX('Valo FX'!$R:$R,MATCH($A12,'Valo FX'!$A:$A,0)),INDEX(Base!$V:$V,MATCH($A12,Base!$A:$A,0)),0)))</f>
        <v>11.839432</v>
      </c>
      <c r="BJ12" s="21">
        <f>IF(BJ$1&lt;INDEX('Valo FX'!$Q:$Q,MATCH($A12,'Valo FX'!$A:$A,0)),0,IF(BJ$1&lt;INDEX('Valo FX'!$R:$R,MATCH($A12,'Valo FX'!$A:$A,0)),INDEX(Base!$U:$U,MATCH($A12,Base!$A:$A,0)),IF(BJ$1=INDEX('Valo FX'!$R:$R,MATCH($A12,'Valo FX'!$A:$A,0)),INDEX(Base!$V:$V,MATCH($A12,Base!$A:$A,0)),0)))</f>
        <v>11.839432</v>
      </c>
      <c r="BK12" s="21">
        <f>IF(BK$1&lt;INDEX('Valo FX'!$Q:$Q,MATCH($A12,'Valo FX'!$A:$A,0)),0,IF(BK$1&lt;INDEX('Valo FX'!$R:$R,MATCH($A12,'Valo FX'!$A:$A,0)),INDEX(Base!$U:$U,MATCH($A12,Base!$A:$A,0)),IF(BK$1=INDEX('Valo FX'!$R:$R,MATCH($A12,'Valo FX'!$A:$A,0)),INDEX(Base!$V:$V,MATCH($A12,Base!$A:$A,0)),0)))</f>
        <v>11.839432</v>
      </c>
      <c r="BL12" s="21">
        <f>IF(BL$1&lt;INDEX('Valo FX'!$Q:$Q,MATCH($A12,'Valo FX'!$A:$A,0)),0,IF(BL$1&lt;INDEX('Valo FX'!$R:$R,MATCH($A12,'Valo FX'!$A:$A,0)),INDEX(Base!$U:$U,MATCH($A12,Base!$A:$A,0)),IF(BL$1=INDEX('Valo FX'!$R:$R,MATCH($A12,'Valo FX'!$A:$A,0)),INDEX(Base!$V:$V,MATCH($A12,Base!$A:$A,0)),0)))</f>
        <v>11.839432</v>
      </c>
      <c r="BM12" s="21">
        <f>IF(BM$1&lt;INDEX('Valo FX'!$Q:$Q,MATCH($A12,'Valo FX'!$A:$A,0)),0,IF(BM$1&lt;INDEX('Valo FX'!$R:$R,MATCH($A12,'Valo FX'!$A:$A,0)),INDEX(Base!$U:$U,MATCH($A12,Base!$A:$A,0)),IF(BM$1=INDEX('Valo FX'!$R:$R,MATCH($A12,'Valo FX'!$A:$A,0)),INDEX(Base!$V:$V,MATCH($A12,Base!$A:$A,0)),0)))</f>
        <v>11.839432</v>
      </c>
      <c r="BN12" s="21">
        <f>IF(BN$1&lt;INDEX('Valo FX'!$Q:$Q,MATCH($A12,'Valo FX'!$A:$A,0)),0,IF(BN$1&lt;INDEX('Valo FX'!$R:$R,MATCH($A12,'Valo FX'!$A:$A,0)),INDEX(Base!$U:$U,MATCH($A12,Base!$A:$A,0)),IF(BN$1=INDEX('Valo FX'!$R:$R,MATCH($A12,'Valo FX'!$A:$A,0)),INDEX(Base!$V:$V,MATCH($A12,Base!$A:$A,0)),0)))</f>
        <v>11.839432</v>
      </c>
      <c r="BO12" s="21">
        <f>IF(BO$1&lt;INDEX('Valo FX'!$Q:$Q,MATCH($A12,'Valo FX'!$A:$A,0)),0,IF(BO$1&lt;INDEX('Valo FX'!$R:$R,MATCH($A12,'Valo FX'!$A:$A,0)),INDEX(Base!$U:$U,MATCH($A12,Base!$A:$A,0)),IF(BO$1=INDEX('Valo FX'!$R:$R,MATCH($A12,'Valo FX'!$A:$A,0)),INDEX(Base!$V:$V,MATCH($A12,Base!$A:$A,0)),0)))</f>
        <v>11.839432</v>
      </c>
      <c r="BP12" s="21">
        <f>IF(BP$1&lt;INDEX('Valo FX'!$Q:$Q,MATCH($A12,'Valo FX'!$A:$A,0)),0,IF(BP$1&lt;INDEX('Valo FX'!$R:$R,MATCH($A12,'Valo FX'!$A:$A,0)),INDEX(Base!$U:$U,MATCH($A12,Base!$A:$A,0)),IF(BP$1=INDEX('Valo FX'!$R:$R,MATCH($A12,'Valo FX'!$A:$A,0)),INDEX(Base!$V:$V,MATCH($A12,Base!$A:$A,0)),0)))</f>
        <v>11.839432</v>
      </c>
      <c r="BQ12" s="21">
        <f>IF(BQ$1&lt;INDEX('Valo FX'!$Q:$Q,MATCH($A12,'Valo FX'!$A:$A,0)),0,IF(BQ$1&lt;INDEX('Valo FX'!$R:$R,MATCH($A12,'Valo FX'!$A:$A,0)),INDEX(Base!$U:$U,MATCH($A12,Base!$A:$A,0)),IF(BQ$1=INDEX('Valo FX'!$R:$R,MATCH($A12,'Valo FX'!$A:$A,0)),INDEX(Base!$V:$V,MATCH($A12,Base!$A:$A,0)),0)))</f>
        <v>11.839432</v>
      </c>
      <c r="BR12" s="21">
        <f>IF(BR$1&lt;INDEX('Valo FX'!$Q:$Q,MATCH($A12,'Valo FX'!$A:$A,0)),0,IF(BR$1&lt;INDEX('Valo FX'!$R:$R,MATCH($A12,'Valo FX'!$A:$A,0)),INDEX(Base!$U:$U,MATCH($A12,Base!$A:$A,0)),IF(BR$1=INDEX('Valo FX'!$R:$R,MATCH($A12,'Valo FX'!$A:$A,0)),INDEX(Base!$V:$V,MATCH($A12,Base!$A:$A,0)),0)))</f>
        <v>11.839432</v>
      </c>
      <c r="BS12" s="21">
        <f>IF(BS$1&lt;INDEX('Valo FX'!$Q:$Q,MATCH($A12,'Valo FX'!$A:$A,0)),0,IF(BS$1&lt;INDEX('Valo FX'!$R:$R,MATCH($A12,'Valo FX'!$A:$A,0)),INDEX(Base!$U:$U,MATCH($A12,Base!$A:$A,0)),IF(BS$1=INDEX('Valo FX'!$R:$R,MATCH($A12,'Valo FX'!$A:$A,0)),INDEX(Base!$V:$V,MATCH($A12,Base!$A:$A,0)),0)))</f>
        <v>11.839432</v>
      </c>
      <c r="BT12" s="21">
        <f>IF(BT$1&lt;INDEX('Valo FX'!$Q:$Q,MATCH($A12,'Valo FX'!$A:$A,0)),0,IF(BT$1&lt;INDEX('Valo FX'!$R:$R,MATCH($A12,'Valo FX'!$A:$A,0)),INDEX(Base!$U:$U,MATCH($A12,Base!$A:$A,0)),IF(BT$1=INDEX('Valo FX'!$R:$R,MATCH($A12,'Valo FX'!$A:$A,0)),INDEX(Base!$V:$V,MATCH($A12,Base!$A:$A,0)),0)))</f>
        <v>11.839432</v>
      </c>
      <c r="BU12" s="21">
        <f>IF(BU$1&lt;INDEX('Valo FX'!$Q:$Q,MATCH($A12,'Valo FX'!$A:$A,0)),0,IF(BU$1&lt;INDEX('Valo FX'!$R:$R,MATCH($A12,'Valo FX'!$A:$A,0)),INDEX(Base!$U:$U,MATCH($A12,Base!$A:$A,0)),IF(BU$1=INDEX('Valo FX'!$R:$R,MATCH($A12,'Valo FX'!$A:$A,0)),INDEX(Base!$V:$V,MATCH($A12,Base!$A:$A,0)),0)))</f>
        <v>11.839432</v>
      </c>
      <c r="BV12" s="21">
        <f>IF(BV$1&lt;INDEX('Valo FX'!$Q:$Q,MATCH($A12,'Valo FX'!$A:$A,0)),0,IF(BV$1&lt;INDEX('Valo FX'!$R:$R,MATCH($A12,'Valo FX'!$A:$A,0)),INDEX(Base!$U:$U,MATCH($A12,Base!$A:$A,0)),IF(BV$1=INDEX('Valo FX'!$R:$R,MATCH($A12,'Valo FX'!$A:$A,0)),INDEX(Base!$V:$V,MATCH($A12,Base!$A:$A,0)),0)))</f>
        <v>11.839432</v>
      </c>
      <c r="BW12" s="21">
        <f>IF(BW$1&lt;INDEX('Valo FX'!$Q:$Q,MATCH($A12,'Valo FX'!$A:$A,0)),0,IF(BW$1&lt;INDEX('Valo FX'!$R:$R,MATCH($A12,'Valo FX'!$A:$A,0)),INDEX(Base!$U:$U,MATCH($A12,Base!$A:$A,0)),IF(BW$1=INDEX('Valo FX'!$R:$R,MATCH($A12,'Valo FX'!$A:$A,0)),INDEX(Base!$V:$V,MATCH($A12,Base!$A:$A,0)),0)))</f>
        <v>11.839432</v>
      </c>
      <c r="BX12" s="21">
        <f>IF(BX$1&lt;INDEX('Valo FX'!$Q:$Q,MATCH($A12,'Valo FX'!$A:$A,0)),0,IF(BX$1&lt;INDEX('Valo FX'!$R:$R,MATCH($A12,'Valo FX'!$A:$A,0)),INDEX(Base!$U:$U,MATCH($A12,Base!$A:$A,0)),IF(BX$1=INDEX('Valo FX'!$R:$R,MATCH($A12,'Valo FX'!$A:$A,0)),INDEX(Base!$V:$V,MATCH($A12,Base!$A:$A,0)),0)))</f>
        <v>11.839432</v>
      </c>
      <c r="BY12" s="21">
        <f>IF(BY$1&lt;INDEX('Valo FX'!$Q:$Q,MATCH($A12,'Valo FX'!$A:$A,0)),0,IF(BY$1&lt;INDEX('Valo FX'!$R:$R,MATCH($A12,'Valo FX'!$A:$A,0)),INDEX(Base!$U:$U,MATCH($A12,Base!$A:$A,0)),IF(BY$1=INDEX('Valo FX'!$R:$R,MATCH($A12,'Valo FX'!$A:$A,0)),INDEX(Base!$V:$V,MATCH($A12,Base!$A:$A,0)),0)))</f>
        <v>11.839432</v>
      </c>
      <c r="BZ12" s="21">
        <f>IF(BZ$1&lt;INDEX('Valo FX'!$Q:$Q,MATCH($A12,'Valo FX'!$A:$A,0)),0,IF(BZ$1&lt;INDEX('Valo FX'!$R:$R,MATCH($A12,'Valo FX'!$A:$A,0)),INDEX(Base!$U:$U,MATCH($A12,Base!$A:$A,0)),IF(BZ$1=INDEX('Valo FX'!$R:$R,MATCH($A12,'Valo FX'!$A:$A,0)),INDEX(Base!$V:$V,MATCH($A12,Base!$A:$A,0)),0)))</f>
        <v>11.839432</v>
      </c>
      <c r="CA12" s="21">
        <f>IF(CA$1&lt;INDEX('Valo FX'!$Q:$Q,MATCH($A12,'Valo FX'!$A:$A,0)),0,IF(CA$1&lt;INDEX('Valo FX'!$R:$R,MATCH($A12,'Valo FX'!$A:$A,0)),INDEX(Base!$U:$U,MATCH($A12,Base!$A:$A,0)),IF(CA$1=INDEX('Valo FX'!$R:$R,MATCH($A12,'Valo FX'!$A:$A,0)),INDEX(Base!$V:$V,MATCH($A12,Base!$A:$A,0)),0)))</f>
        <v>11.839432</v>
      </c>
      <c r="CB12" s="21">
        <f>IF(CB$1&lt;INDEX('Valo FX'!$Q:$Q,MATCH($A12,'Valo FX'!$A:$A,0)),0,IF(CB$1&lt;INDEX('Valo FX'!$R:$R,MATCH($A12,'Valo FX'!$A:$A,0)),INDEX(Base!$U:$U,MATCH($A12,Base!$A:$A,0)),IF(CB$1=INDEX('Valo FX'!$R:$R,MATCH($A12,'Valo FX'!$A:$A,0)),INDEX(Base!$V:$V,MATCH($A12,Base!$A:$A,0)),0)))</f>
        <v>11.839432</v>
      </c>
      <c r="CC12" s="21">
        <f>IF(CC$1&lt;INDEX('Valo FX'!$Q:$Q,MATCH($A12,'Valo FX'!$A:$A,0)),0,IF(CC$1&lt;INDEX('Valo FX'!$R:$R,MATCH($A12,'Valo FX'!$A:$A,0)),INDEX(Base!$U:$U,MATCH($A12,Base!$A:$A,0)),IF(CC$1=INDEX('Valo FX'!$R:$R,MATCH($A12,'Valo FX'!$A:$A,0)),INDEX(Base!$V:$V,MATCH($A12,Base!$A:$A,0)),0)))</f>
        <v>11.839432</v>
      </c>
      <c r="CD12" s="21">
        <f>IF(CD$1&lt;INDEX('Valo FX'!$Q:$Q,MATCH($A12,'Valo FX'!$A:$A,0)),0,IF(CD$1&lt;INDEX('Valo FX'!$R:$R,MATCH($A12,'Valo FX'!$A:$A,0)),INDEX(Base!$U:$U,MATCH($A12,Base!$A:$A,0)),IF(CD$1=INDEX('Valo FX'!$R:$R,MATCH($A12,'Valo FX'!$A:$A,0)),INDEX(Base!$V:$V,MATCH($A12,Base!$A:$A,0)),0)))</f>
        <v>11.839432</v>
      </c>
      <c r="CE12" s="21">
        <f>IF(CE$1&lt;INDEX('Valo FX'!$Q:$Q,MATCH($A12,'Valo FX'!$A:$A,0)),0,IF(CE$1&lt;INDEX('Valo FX'!$R:$R,MATCH($A12,'Valo FX'!$A:$A,0)),INDEX(Base!$U:$U,MATCH($A12,Base!$A:$A,0)),IF(CE$1=INDEX('Valo FX'!$R:$R,MATCH($A12,'Valo FX'!$A:$A,0)),INDEX(Base!$V:$V,MATCH($A12,Base!$A:$A,0)),0)))</f>
        <v>11.839432</v>
      </c>
      <c r="CF12" s="21">
        <f>IF(CF$1&lt;INDEX('Valo FX'!$Q:$Q,MATCH($A12,'Valo FX'!$A:$A,0)),0,IF(CF$1&lt;INDEX('Valo FX'!$R:$R,MATCH($A12,'Valo FX'!$A:$A,0)),INDEX(Base!$U:$U,MATCH($A12,Base!$A:$A,0)),IF(CF$1=INDEX('Valo FX'!$R:$R,MATCH($A12,'Valo FX'!$A:$A,0)),INDEX(Base!$V:$V,MATCH($A12,Base!$A:$A,0)),0)))</f>
        <v>11.839432</v>
      </c>
      <c r="CG12" s="21">
        <f>IF(CG$1&lt;INDEX('Valo FX'!$Q:$Q,MATCH($A12,'Valo FX'!$A:$A,0)),0,IF(CG$1&lt;INDEX('Valo FX'!$R:$R,MATCH($A12,'Valo FX'!$A:$A,0)),INDEX(Base!$U:$U,MATCH($A12,Base!$A:$A,0)),IF(CG$1=INDEX('Valo FX'!$R:$R,MATCH($A12,'Valo FX'!$A:$A,0)),INDEX(Base!$V:$V,MATCH($A12,Base!$A:$A,0)),0)))</f>
        <v>11.839432</v>
      </c>
      <c r="CH12" s="21">
        <f>IF(CH$1&lt;INDEX('Valo FX'!$Q:$Q,MATCH($A12,'Valo FX'!$A:$A,0)),0,IF(CH$1&lt;INDEX('Valo FX'!$R:$R,MATCH($A12,'Valo FX'!$A:$A,0)),INDEX(Base!$U:$U,MATCH($A12,Base!$A:$A,0)),IF(CH$1=INDEX('Valo FX'!$R:$R,MATCH($A12,'Valo FX'!$A:$A,0)),INDEX(Base!$V:$V,MATCH($A12,Base!$A:$A,0)),0)))</f>
        <v>11.839432</v>
      </c>
      <c r="CI12" s="21">
        <f>IF(CI$1&lt;INDEX('Valo FX'!$Q:$Q,MATCH($A12,'Valo FX'!$A:$A,0)),0,IF(CI$1&lt;INDEX('Valo FX'!$R:$R,MATCH($A12,'Valo FX'!$A:$A,0)),INDEX(Base!$U:$U,MATCH($A12,Base!$A:$A,0)),IF(CI$1=INDEX('Valo FX'!$R:$R,MATCH($A12,'Valo FX'!$A:$A,0)),INDEX(Base!$V:$V,MATCH($A12,Base!$A:$A,0)),0)))</f>
        <v>11.839432</v>
      </c>
      <c r="CJ12" s="21">
        <f>IF(CJ$1&lt;INDEX('Valo FX'!$Q:$Q,MATCH($A12,'Valo FX'!$A:$A,0)),0,IF(CJ$1&lt;INDEX('Valo FX'!$R:$R,MATCH($A12,'Valo FX'!$A:$A,0)),INDEX(Base!$U:$U,MATCH($A12,Base!$A:$A,0)),IF(CJ$1=INDEX('Valo FX'!$R:$R,MATCH($A12,'Valo FX'!$A:$A,0)),INDEX(Base!$V:$V,MATCH($A12,Base!$A:$A,0)),0)))</f>
        <v>11.839432</v>
      </c>
      <c r="CK12" s="21">
        <f>IF(CK$1&lt;INDEX('Valo FX'!$Q:$Q,MATCH($A12,'Valo FX'!$A:$A,0)),0,IF(CK$1&lt;INDEX('Valo FX'!$R:$R,MATCH($A12,'Valo FX'!$A:$A,0)),INDEX(Base!$U:$U,MATCH($A12,Base!$A:$A,0)),IF(CK$1=INDEX('Valo FX'!$R:$R,MATCH($A12,'Valo FX'!$A:$A,0)),INDEX(Base!$V:$V,MATCH($A12,Base!$A:$A,0)),0)))</f>
        <v>11.839432</v>
      </c>
      <c r="CL12" s="21">
        <f>IF(CL$1&lt;INDEX('Valo FX'!$Q:$Q,MATCH($A12,'Valo FX'!$A:$A,0)),0,IF(CL$1&lt;INDEX('Valo FX'!$R:$R,MATCH($A12,'Valo FX'!$A:$A,0)),INDEX(Base!$U:$U,MATCH($A12,Base!$A:$A,0)),IF(CL$1=INDEX('Valo FX'!$R:$R,MATCH($A12,'Valo FX'!$A:$A,0)),INDEX(Base!$V:$V,MATCH($A12,Base!$A:$A,0)),0)))</f>
        <v>11.839432</v>
      </c>
      <c r="CM12" s="21">
        <f>IF(CM$1&lt;INDEX('Valo FX'!$Q:$Q,MATCH($A12,'Valo FX'!$A:$A,0)),0,IF(CM$1&lt;INDEX('Valo FX'!$R:$R,MATCH($A12,'Valo FX'!$A:$A,0)),INDEX(Base!$U:$U,MATCH($A12,Base!$A:$A,0)),IF(CM$1=INDEX('Valo FX'!$R:$R,MATCH($A12,'Valo FX'!$A:$A,0)),INDEX(Base!$V:$V,MATCH($A12,Base!$A:$A,0)),0)))</f>
        <v>11.839432</v>
      </c>
      <c r="CN12" s="21">
        <f>IF(CN$1&lt;INDEX('Valo FX'!$Q:$Q,MATCH($A12,'Valo FX'!$A:$A,0)),0,IF(CN$1&lt;INDEX('Valo FX'!$R:$R,MATCH($A12,'Valo FX'!$A:$A,0)),INDEX(Base!$U:$U,MATCH($A12,Base!$A:$A,0)),IF(CN$1=INDEX('Valo FX'!$R:$R,MATCH($A12,'Valo FX'!$A:$A,0)),INDEX(Base!$V:$V,MATCH($A12,Base!$A:$A,0)),0)))</f>
        <v>11.839432</v>
      </c>
      <c r="CO12" s="21">
        <f>IF(CO$1&lt;INDEX('Valo FX'!$Q:$Q,MATCH($A12,'Valo FX'!$A:$A,0)),0,IF(CO$1&lt;INDEX('Valo FX'!$R:$R,MATCH($A12,'Valo FX'!$A:$A,0)),INDEX(Base!$U:$U,MATCH($A12,Base!$A:$A,0)),IF(CO$1=INDEX('Valo FX'!$R:$R,MATCH($A12,'Valo FX'!$A:$A,0)),INDEX(Base!$V:$V,MATCH($A12,Base!$A:$A,0)),0)))</f>
        <v>11.839432</v>
      </c>
      <c r="CP12" s="21">
        <f>IF(CP$1&lt;INDEX('Valo FX'!$Q:$Q,MATCH($A12,'Valo FX'!$A:$A,0)),0,IF(CP$1&lt;INDEX('Valo FX'!$R:$R,MATCH($A12,'Valo FX'!$A:$A,0)),INDEX(Base!$U:$U,MATCH($A12,Base!$A:$A,0)),IF(CP$1=INDEX('Valo FX'!$R:$R,MATCH($A12,'Valo FX'!$A:$A,0)),INDEX(Base!$V:$V,MATCH($A12,Base!$A:$A,0)),0)))</f>
        <v>11.839432</v>
      </c>
      <c r="CQ12" s="21">
        <f>IF(CQ$1&lt;INDEX('Valo FX'!$Q:$Q,MATCH($A12,'Valo FX'!$A:$A,0)),0,IF(CQ$1&lt;INDEX('Valo FX'!$R:$R,MATCH($A12,'Valo FX'!$A:$A,0)),INDEX(Base!$U:$U,MATCH($A12,Base!$A:$A,0)),IF(CQ$1=INDEX('Valo FX'!$R:$R,MATCH($A12,'Valo FX'!$A:$A,0)),INDEX(Base!$V:$V,MATCH($A12,Base!$A:$A,0)),0)))</f>
        <v>11.839432</v>
      </c>
      <c r="CR12" s="21">
        <f>IF(CR$1&lt;INDEX('Valo FX'!$Q:$Q,MATCH($A12,'Valo FX'!$A:$A,0)),0,IF(CR$1&lt;INDEX('Valo FX'!$R:$R,MATCH($A12,'Valo FX'!$A:$A,0)),INDEX(Base!$U:$U,MATCH($A12,Base!$A:$A,0)),IF(CR$1=INDEX('Valo FX'!$R:$R,MATCH($A12,'Valo FX'!$A:$A,0)),INDEX(Base!$V:$V,MATCH($A12,Base!$A:$A,0)),0)))</f>
        <v>11.839432</v>
      </c>
      <c r="CS12" s="21">
        <f>IF(CS$1&lt;INDEX('Valo FX'!$Q:$Q,MATCH($A12,'Valo FX'!$A:$A,0)),0,IF(CS$1&lt;INDEX('Valo FX'!$R:$R,MATCH($A12,'Valo FX'!$A:$A,0)),INDEX(Base!$U:$U,MATCH($A12,Base!$A:$A,0)),IF(CS$1=INDEX('Valo FX'!$R:$R,MATCH($A12,'Valo FX'!$A:$A,0)),INDEX(Base!$V:$V,MATCH($A12,Base!$A:$A,0)),0)))</f>
        <v>11.839432</v>
      </c>
      <c r="CT12" s="21">
        <f>IF(CT$1&lt;INDEX('Valo FX'!$Q:$Q,MATCH($A12,'Valo FX'!$A:$A,0)),0,IF(CT$1&lt;INDEX('Valo FX'!$R:$R,MATCH($A12,'Valo FX'!$A:$A,0)),INDEX(Base!$U:$U,MATCH($A12,Base!$A:$A,0)),IF(CT$1=INDEX('Valo FX'!$R:$R,MATCH($A12,'Valo FX'!$A:$A,0)),INDEX(Base!$V:$V,MATCH($A12,Base!$A:$A,0)),0)))</f>
        <v>11.839432</v>
      </c>
      <c r="CU12" s="21">
        <f>IF(CU$1&lt;INDEX('Valo FX'!$Q:$Q,MATCH($A12,'Valo FX'!$A:$A,0)),0,IF(CU$1&lt;INDEX('Valo FX'!$R:$R,MATCH($A12,'Valo FX'!$A:$A,0)),INDEX(Base!$U:$U,MATCH($A12,Base!$A:$A,0)),IF(CU$1=INDEX('Valo FX'!$R:$R,MATCH($A12,'Valo FX'!$A:$A,0)),INDEX(Base!$V:$V,MATCH($A12,Base!$A:$A,0)),0)))</f>
        <v>11.839432</v>
      </c>
      <c r="CV12" s="21">
        <f>IF(CV$1&lt;INDEX('Valo FX'!$Q:$Q,MATCH($A12,'Valo FX'!$A:$A,0)),0,IF(CV$1&lt;INDEX('Valo FX'!$R:$R,MATCH($A12,'Valo FX'!$A:$A,0)),INDEX(Base!$U:$U,MATCH($A12,Base!$A:$A,0)),IF(CV$1=INDEX('Valo FX'!$R:$R,MATCH($A12,'Valo FX'!$A:$A,0)),INDEX(Base!$V:$V,MATCH($A12,Base!$A:$A,0)),0)))</f>
        <v>11.839432</v>
      </c>
      <c r="CW12" s="21">
        <f>IF(CW$1&lt;INDEX('Valo FX'!$Q:$Q,MATCH($A12,'Valo FX'!$A:$A,0)),0,IF(CW$1&lt;INDEX('Valo FX'!$R:$R,MATCH($A12,'Valo FX'!$A:$A,0)),INDEX(Base!$U:$U,MATCH($A12,Base!$A:$A,0)),IF(CW$1=INDEX('Valo FX'!$R:$R,MATCH($A12,'Valo FX'!$A:$A,0)),INDEX(Base!$V:$V,MATCH($A12,Base!$A:$A,0)),0)))</f>
        <v>11.839432</v>
      </c>
      <c r="CX12" s="21">
        <f>IF(CX$1&lt;INDEX('Valo FX'!$Q:$Q,MATCH($A12,'Valo FX'!$A:$A,0)),0,IF(CX$1&lt;INDEX('Valo FX'!$R:$R,MATCH($A12,'Valo FX'!$A:$A,0)),INDEX(Base!$U:$U,MATCH($A12,Base!$A:$A,0)),IF(CX$1=INDEX('Valo FX'!$R:$R,MATCH($A12,'Valo FX'!$A:$A,0)),INDEX(Base!$V:$V,MATCH($A12,Base!$A:$A,0)),0)))</f>
        <v>11.839432</v>
      </c>
      <c r="CY12" s="21">
        <f>IF(CY$1&lt;INDEX('Valo FX'!$Q:$Q,MATCH($A12,'Valo FX'!$A:$A,0)),0,IF(CY$1&lt;INDEX('Valo FX'!$R:$R,MATCH($A12,'Valo FX'!$A:$A,0)),INDEX(Base!$U:$U,MATCH($A12,Base!$A:$A,0)),IF(CY$1=INDEX('Valo FX'!$R:$R,MATCH($A12,'Valo FX'!$A:$A,0)),INDEX(Base!$V:$V,MATCH($A12,Base!$A:$A,0)),0)))</f>
        <v>11.839432</v>
      </c>
      <c r="CZ12" s="21">
        <f>IF(CZ$1&lt;INDEX('Valo FX'!$Q:$Q,MATCH($A12,'Valo FX'!$A:$A,0)),0,IF(CZ$1&lt;INDEX('Valo FX'!$R:$R,MATCH($A12,'Valo FX'!$A:$A,0)),INDEX(Base!$U:$U,MATCH($A12,Base!$A:$A,0)),IF(CZ$1=INDEX('Valo FX'!$R:$R,MATCH($A12,'Valo FX'!$A:$A,0)),INDEX(Base!$V:$V,MATCH($A12,Base!$A:$A,0)),0)))</f>
        <v>11.839432</v>
      </c>
      <c r="DA12" s="21">
        <f>IF(DA$1&lt;INDEX('Valo FX'!$Q:$Q,MATCH($A12,'Valo FX'!$A:$A,0)),0,IF(DA$1&lt;INDEX('Valo FX'!$R:$R,MATCH($A12,'Valo FX'!$A:$A,0)),INDEX(Base!$U:$U,MATCH($A12,Base!$A:$A,0)),IF(DA$1=INDEX('Valo FX'!$R:$R,MATCH($A12,'Valo FX'!$A:$A,0)),INDEX(Base!$V:$V,MATCH($A12,Base!$A:$A,0)),0)))</f>
        <v>11.839432</v>
      </c>
      <c r="DB12" s="21">
        <f>IF(DB$1&lt;INDEX('Valo FX'!$Q:$Q,MATCH($A12,'Valo FX'!$A:$A,0)),0,IF(DB$1&lt;INDEX('Valo FX'!$R:$R,MATCH($A12,'Valo FX'!$A:$A,0)),INDEX(Base!$U:$U,MATCH($A12,Base!$A:$A,0)),IF(DB$1=INDEX('Valo FX'!$R:$R,MATCH($A12,'Valo FX'!$A:$A,0)),INDEX(Base!$V:$V,MATCH($A12,Base!$A:$A,0)),0)))</f>
        <v>11.839432</v>
      </c>
      <c r="DC12" s="21">
        <f>IF(DC$1&lt;INDEX('Valo FX'!$Q:$Q,MATCH($A12,'Valo FX'!$A:$A,0)),0,IF(DC$1&lt;INDEX('Valo FX'!$R:$R,MATCH($A12,'Valo FX'!$A:$A,0)),INDEX(Base!$U:$U,MATCH($A12,Base!$A:$A,0)),IF(DC$1=INDEX('Valo FX'!$R:$R,MATCH($A12,'Valo FX'!$A:$A,0)),INDEX(Base!$V:$V,MATCH($A12,Base!$A:$A,0)),0)))</f>
        <v>11.839432</v>
      </c>
      <c r="DD12" s="21">
        <f>IF(DD$1&lt;INDEX('Valo FX'!$Q:$Q,MATCH($A12,'Valo FX'!$A:$A,0)),0,IF(DD$1&lt;INDEX('Valo FX'!$R:$R,MATCH($A12,'Valo FX'!$A:$A,0)),INDEX(Base!$U:$U,MATCH($A12,Base!$A:$A,0)),IF(DD$1=INDEX('Valo FX'!$R:$R,MATCH($A12,'Valo FX'!$A:$A,0)),INDEX(Base!$V:$V,MATCH($A12,Base!$A:$A,0)),0)))</f>
        <v>11.839432</v>
      </c>
      <c r="DE12" s="21">
        <f>IF(DE$1&lt;INDEX('Valo FX'!$Q:$Q,MATCH($A12,'Valo FX'!$A:$A,0)),0,IF(DE$1&lt;INDEX('Valo FX'!$R:$R,MATCH($A12,'Valo FX'!$A:$A,0)),INDEX(Base!$U:$U,MATCH($A12,Base!$A:$A,0)),IF(DE$1=INDEX('Valo FX'!$R:$R,MATCH($A12,'Valo FX'!$A:$A,0)),INDEX(Base!$V:$V,MATCH($A12,Base!$A:$A,0)),0)))</f>
        <v>11.839432</v>
      </c>
      <c r="DF12" s="21">
        <f>IF(DF$1&lt;INDEX('Valo FX'!$Q:$Q,MATCH($A12,'Valo FX'!$A:$A,0)),0,IF(DF$1&lt;INDEX('Valo FX'!$R:$R,MATCH($A12,'Valo FX'!$A:$A,0)),INDEX(Base!$U:$U,MATCH($A12,Base!$A:$A,0)),IF(DF$1=INDEX('Valo FX'!$R:$R,MATCH($A12,'Valo FX'!$A:$A,0)),INDEX(Base!$V:$V,MATCH($A12,Base!$A:$A,0)),0)))</f>
        <v>11.839432</v>
      </c>
      <c r="DG12" s="21">
        <f>IF(DG$1&lt;INDEX('Valo FX'!$Q:$Q,MATCH($A12,'Valo FX'!$A:$A,0)),0,IF(DG$1&lt;INDEX('Valo FX'!$R:$R,MATCH($A12,'Valo FX'!$A:$A,0)),INDEX(Base!$U:$U,MATCH($A12,Base!$A:$A,0)),IF(DG$1=INDEX('Valo FX'!$R:$R,MATCH($A12,'Valo FX'!$A:$A,0)),INDEX(Base!$V:$V,MATCH($A12,Base!$A:$A,0)),0)))</f>
        <v>11.839432</v>
      </c>
      <c r="DH12" s="21">
        <f>IF(DH$1&lt;INDEX('Valo FX'!$Q:$Q,MATCH($A12,'Valo FX'!$A:$A,0)),0,IF(DH$1&lt;INDEX('Valo FX'!$R:$R,MATCH($A12,'Valo FX'!$A:$A,0)),INDEX(Base!$U:$U,MATCH($A12,Base!$A:$A,0)),IF(DH$1=INDEX('Valo FX'!$R:$R,MATCH($A12,'Valo FX'!$A:$A,0)),INDEX(Base!$V:$V,MATCH($A12,Base!$A:$A,0)),0)))</f>
        <v>11.839432</v>
      </c>
      <c r="DI12" s="21">
        <f>IF(DI$1&lt;INDEX('Valo FX'!$Q:$Q,MATCH($A12,'Valo FX'!$A:$A,0)),0,IF(DI$1&lt;INDEX('Valo FX'!$R:$R,MATCH($A12,'Valo FX'!$A:$A,0)),INDEX(Base!$U:$U,MATCH($A12,Base!$A:$A,0)),IF(DI$1=INDEX('Valo FX'!$R:$R,MATCH($A12,'Valo FX'!$A:$A,0)),INDEX(Base!$V:$V,MATCH($A12,Base!$A:$A,0)),0)))</f>
        <v>11.839432</v>
      </c>
      <c r="DJ12" s="21">
        <f>IF(DJ$1&lt;INDEX('Valo FX'!$Q:$Q,MATCH($A12,'Valo FX'!$A:$A,0)),0,IF(DJ$1&lt;INDEX('Valo FX'!$R:$R,MATCH($A12,'Valo FX'!$A:$A,0)),INDEX(Base!$U:$U,MATCH($A12,Base!$A:$A,0)),IF(DJ$1=INDEX('Valo FX'!$R:$R,MATCH($A12,'Valo FX'!$A:$A,0)),INDEX(Base!$V:$V,MATCH($A12,Base!$A:$A,0)),0)))</f>
        <v>11.839432</v>
      </c>
      <c r="DK12" s="21">
        <f>IF(DK$1&lt;INDEX('Valo FX'!$Q:$Q,MATCH($A12,'Valo FX'!$A:$A,0)),0,IF(DK$1&lt;INDEX('Valo FX'!$R:$R,MATCH($A12,'Valo FX'!$A:$A,0)),INDEX(Base!$U:$U,MATCH($A12,Base!$A:$A,0)),IF(DK$1=INDEX('Valo FX'!$R:$R,MATCH($A12,'Valo FX'!$A:$A,0)),INDEX(Base!$V:$V,MATCH($A12,Base!$A:$A,0)),0)))</f>
        <v>11.839432</v>
      </c>
      <c r="DL12" s="21">
        <f>IF(DL$1&lt;INDEX('Valo FX'!$Q:$Q,MATCH($A12,'Valo FX'!$A:$A,0)),0,IF(DL$1&lt;INDEX('Valo FX'!$R:$R,MATCH($A12,'Valo FX'!$A:$A,0)),INDEX(Base!$U:$U,MATCH($A12,Base!$A:$A,0)),IF(DL$1=INDEX('Valo FX'!$R:$R,MATCH($A12,'Valo FX'!$A:$A,0)),INDEX(Base!$V:$V,MATCH($A12,Base!$A:$A,0)),0)))</f>
        <v>11.839432</v>
      </c>
      <c r="DM12" s="21">
        <f>IF(DM$1&lt;INDEX('Valo FX'!$Q:$Q,MATCH($A12,'Valo FX'!$A:$A,0)),0,IF(DM$1&lt;INDEX('Valo FX'!$R:$R,MATCH($A12,'Valo FX'!$A:$A,0)),INDEX(Base!$U:$U,MATCH($A12,Base!$A:$A,0)),IF(DM$1=INDEX('Valo FX'!$R:$R,MATCH($A12,'Valo FX'!$A:$A,0)),INDEX(Base!$V:$V,MATCH($A12,Base!$A:$A,0)),0)))</f>
        <v>11.839432</v>
      </c>
      <c r="DN12" s="21">
        <f>IF(DN$1&lt;INDEX('Valo FX'!$Q:$Q,MATCH($A12,'Valo FX'!$A:$A,0)),0,IF(DN$1&lt;INDEX('Valo FX'!$R:$R,MATCH($A12,'Valo FX'!$A:$A,0)),INDEX(Base!$U:$U,MATCH($A12,Base!$A:$A,0)),IF(DN$1=INDEX('Valo FX'!$R:$R,MATCH($A12,'Valo FX'!$A:$A,0)),INDEX(Base!$V:$V,MATCH($A12,Base!$A:$A,0)),0)))</f>
        <v>11.839432</v>
      </c>
      <c r="DO12" s="21">
        <f>IF(DO$1&lt;INDEX('Valo FX'!$Q:$Q,MATCH($A12,'Valo FX'!$A:$A,0)),0,IF(DO$1&lt;INDEX('Valo FX'!$R:$R,MATCH($A12,'Valo FX'!$A:$A,0)),INDEX(Base!$U:$U,MATCH($A12,Base!$A:$A,0)),IF(DO$1=INDEX('Valo FX'!$R:$R,MATCH($A12,'Valo FX'!$A:$A,0)),INDEX(Base!$V:$V,MATCH($A12,Base!$A:$A,0)),0)))</f>
        <v>11.839432</v>
      </c>
      <c r="DP12" s="21">
        <f>IF(DP$1&lt;INDEX('Valo FX'!$Q:$Q,MATCH($A12,'Valo FX'!$A:$A,0)),0,IF(DP$1&lt;INDEX('Valo FX'!$R:$R,MATCH($A12,'Valo FX'!$A:$A,0)),INDEX(Base!$U:$U,MATCH($A12,Base!$A:$A,0)),IF(DP$1=INDEX('Valo FX'!$R:$R,MATCH($A12,'Valo FX'!$A:$A,0)),INDEX(Base!$V:$V,MATCH($A12,Base!$A:$A,0)),0)))</f>
        <v>11.839432</v>
      </c>
      <c r="DQ12" s="21">
        <f>IF(DQ$1&lt;INDEX('Valo FX'!$Q:$Q,MATCH($A12,'Valo FX'!$A:$A,0)),0,IF(DQ$1&lt;INDEX('Valo FX'!$R:$R,MATCH($A12,'Valo FX'!$A:$A,0)),INDEX(Base!$U:$U,MATCH($A12,Base!$A:$A,0)),IF(DQ$1=INDEX('Valo FX'!$R:$R,MATCH($A12,'Valo FX'!$A:$A,0)),INDEX(Base!$V:$V,MATCH($A12,Base!$A:$A,0)),0)))</f>
        <v>11.839432</v>
      </c>
      <c r="DR12" s="21">
        <f>IF(DR$1&lt;INDEX('Valo FX'!$Q:$Q,MATCH($A12,'Valo FX'!$A:$A,0)),0,IF(DR$1&lt;INDEX('Valo FX'!$R:$R,MATCH($A12,'Valo FX'!$A:$A,0)),INDEX(Base!$U:$U,MATCH($A12,Base!$A:$A,0)),IF(DR$1=INDEX('Valo FX'!$R:$R,MATCH($A12,'Valo FX'!$A:$A,0)),INDEX(Base!$V:$V,MATCH($A12,Base!$A:$A,0)),0)))</f>
        <v>11.839432</v>
      </c>
      <c r="DS12" s="21">
        <f>IF(DS$1&lt;INDEX('Valo FX'!$Q:$Q,MATCH($A12,'Valo FX'!$A:$A,0)),0,IF(DS$1&lt;INDEX('Valo FX'!$R:$R,MATCH($A12,'Valo FX'!$A:$A,0)),INDEX(Base!$U:$U,MATCH($A12,Base!$A:$A,0)),IF(DS$1=INDEX('Valo FX'!$R:$R,MATCH($A12,'Valo FX'!$A:$A,0)),INDEX(Base!$V:$V,MATCH($A12,Base!$A:$A,0)),0)))</f>
        <v>11.839432</v>
      </c>
      <c r="DT12" s="21">
        <f>IF(DT$1&lt;INDEX('Valo FX'!$Q:$Q,MATCH($A12,'Valo FX'!$A:$A,0)),0,IF(DT$1&lt;INDEX('Valo FX'!$R:$R,MATCH($A12,'Valo FX'!$A:$A,0)),INDEX(Base!$U:$U,MATCH($A12,Base!$A:$A,0)),IF(DT$1=INDEX('Valo FX'!$R:$R,MATCH($A12,'Valo FX'!$A:$A,0)),INDEX(Base!$V:$V,MATCH($A12,Base!$A:$A,0)),0)))</f>
        <v>11.839432</v>
      </c>
      <c r="DU12" s="21">
        <f>IF(DU$1&lt;INDEX('Valo FX'!$Q:$Q,MATCH($A12,'Valo FX'!$A:$A,0)),0,IF(DU$1&lt;INDEX('Valo FX'!$R:$R,MATCH($A12,'Valo FX'!$A:$A,0)),INDEX(Base!$U:$U,MATCH($A12,Base!$A:$A,0)),IF(DU$1=INDEX('Valo FX'!$R:$R,MATCH($A12,'Valo FX'!$A:$A,0)),INDEX(Base!$V:$V,MATCH($A12,Base!$A:$A,0)),0)))</f>
        <v>11.839432</v>
      </c>
      <c r="DV12" s="21">
        <f>IF(DV$1&lt;INDEX('Valo FX'!$Q:$Q,MATCH($A12,'Valo FX'!$A:$A,0)),0,IF(DV$1&lt;INDEX('Valo FX'!$R:$R,MATCH($A12,'Valo FX'!$A:$A,0)),INDEX(Base!$U:$U,MATCH($A12,Base!$A:$A,0)),IF(DV$1=INDEX('Valo FX'!$R:$R,MATCH($A12,'Valo FX'!$A:$A,0)),INDEX(Base!$V:$V,MATCH($A12,Base!$A:$A,0)),0)))</f>
        <v>11.839432</v>
      </c>
      <c r="DW12" s="21">
        <f>IF(DW$1&lt;INDEX('Valo FX'!$Q:$Q,MATCH($A12,'Valo FX'!$A:$A,0)),0,IF(DW$1&lt;INDEX('Valo FX'!$R:$R,MATCH($A12,'Valo FX'!$A:$A,0)),INDEX(Base!$U:$U,MATCH($A12,Base!$A:$A,0)),IF(DW$1=INDEX('Valo FX'!$R:$R,MATCH($A12,'Valo FX'!$A:$A,0)),INDEX(Base!$V:$V,MATCH($A12,Base!$A:$A,0)),0)))</f>
        <v>11.839432</v>
      </c>
      <c r="DX12" s="21">
        <f>IF(DX$1&lt;INDEX('Valo FX'!$Q:$Q,MATCH($A12,'Valo FX'!$A:$A,0)),0,IF(DX$1&lt;INDEX('Valo FX'!$R:$R,MATCH($A12,'Valo FX'!$A:$A,0)),INDEX(Base!$U:$U,MATCH($A12,Base!$A:$A,0)),IF(DX$1=INDEX('Valo FX'!$R:$R,MATCH($A12,'Valo FX'!$A:$A,0)),INDEX(Base!$V:$V,MATCH($A12,Base!$A:$A,0)),0)))</f>
        <v>11.839432</v>
      </c>
      <c r="DY12" s="21">
        <f>IF(DY$1&lt;INDEX('Valo FX'!$Q:$Q,MATCH($A12,'Valo FX'!$A:$A,0)),0,IF(DY$1&lt;INDEX('Valo FX'!$R:$R,MATCH($A12,'Valo FX'!$A:$A,0)),INDEX(Base!$U:$U,MATCH($A12,Base!$A:$A,0)),IF(DY$1=INDEX('Valo FX'!$R:$R,MATCH($A12,'Valo FX'!$A:$A,0)),INDEX(Base!$V:$V,MATCH($A12,Base!$A:$A,0)),0)))</f>
        <v>11.839432</v>
      </c>
      <c r="DZ12" s="21">
        <f>IF(DZ$1&lt;INDEX('Valo FX'!$Q:$Q,MATCH($A12,'Valo FX'!$A:$A,0)),0,IF(DZ$1&lt;INDEX('Valo FX'!$R:$R,MATCH($A12,'Valo FX'!$A:$A,0)),INDEX(Base!$U:$U,MATCH($A12,Base!$A:$A,0)),IF(DZ$1=INDEX('Valo FX'!$R:$R,MATCH($A12,'Valo FX'!$A:$A,0)),INDEX(Base!$V:$V,MATCH($A12,Base!$A:$A,0)),0)))</f>
        <v>11.839432</v>
      </c>
      <c r="EA12" s="21">
        <f>IF(EA$1&lt;INDEX('Valo FX'!$Q:$Q,MATCH($A12,'Valo FX'!$A:$A,0)),0,IF(EA$1&lt;INDEX('Valo FX'!$R:$R,MATCH($A12,'Valo FX'!$A:$A,0)),INDEX(Base!$U:$U,MATCH($A12,Base!$A:$A,0)),IF(EA$1=INDEX('Valo FX'!$R:$R,MATCH($A12,'Valo FX'!$A:$A,0)),INDEX(Base!$V:$V,MATCH($A12,Base!$A:$A,0)),0)))</f>
        <v>11.839432</v>
      </c>
      <c r="EB12" s="21">
        <f>IF(EB$1&lt;INDEX('Valo FX'!$Q:$Q,MATCH($A12,'Valo FX'!$A:$A,0)),0,IF(EB$1&lt;INDEX('Valo FX'!$R:$R,MATCH($A12,'Valo FX'!$A:$A,0)),INDEX(Base!$U:$U,MATCH($A12,Base!$A:$A,0)),IF(EB$1=INDEX('Valo FX'!$R:$R,MATCH($A12,'Valo FX'!$A:$A,0)),INDEX(Base!$V:$V,MATCH($A12,Base!$A:$A,0)),0)))</f>
        <v>11.839432</v>
      </c>
      <c r="EC12" s="21">
        <f>IF(EC$1&lt;INDEX('Valo FX'!$Q:$Q,MATCH($A12,'Valo FX'!$A:$A,0)),0,IF(EC$1&lt;INDEX('Valo FX'!$R:$R,MATCH($A12,'Valo FX'!$A:$A,0)),INDEX(Base!$U:$U,MATCH($A12,Base!$A:$A,0)),IF(EC$1=INDEX('Valo FX'!$R:$R,MATCH($A12,'Valo FX'!$A:$A,0)),INDEX(Base!$V:$V,MATCH($A12,Base!$A:$A,0)),0)))</f>
        <v>11.839432</v>
      </c>
      <c r="ED12" s="21">
        <f>IF(ED$1&lt;INDEX('Valo FX'!$Q:$Q,MATCH($A12,'Valo FX'!$A:$A,0)),0,IF(ED$1&lt;INDEX('Valo FX'!$R:$R,MATCH($A12,'Valo FX'!$A:$A,0)),INDEX(Base!$U:$U,MATCH($A12,Base!$A:$A,0)),IF(ED$1=INDEX('Valo FX'!$R:$R,MATCH($A12,'Valo FX'!$A:$A,0)),INDEX(Base!$V:$V,MATCH($A12,Base!$A:$A,0)),0)))</f>
        <v>11.839432</v>
      </c>
      <c r="EE12" s="21">
        <f>IF(EE$1&lt;INDEX('Valo FX'!$Q:$Q,MATCH($A12,'Valo FX'!$A:$A,0)),0,IF(EE$1&lt;INDEX('Valo FX'!$R:$R,MATCH($A12,'Valo FX'!$A:$A,0)),INDEX(Base!$U:$U,MATCH($A12,Base!$A:$A,0)),IF(EE$1=INDEX('Valo FX'!$R:$R,MATCH($A12,'Valo FX'!$A:$A,0)),INDEX(Base!$V:$V,MATCH($A12,Base!$A:$A,0)),0)))</f>
        <v>11.839432</v>
      </c>
      <c r="EF12" s="21">
        <f>IF(EF$1&lt;INDEX('Valo FX'!$Q:$Q,MATCH($A12,'Valo FX'!$A:$A,0)),0,IF(EF$1&lt;INDEX('Valo FX'!$R:$R,MATCH($A12,'Valo FX'!$A:$A,0)),INDEX(Base!$U:$U,MATCH($A12,Base!$A:$A,0)),IF(EF$1=INDEX('Valo FX'!$R:$R,MATCH($A12,'Valo FX'!$A:$A,0)),INDEX(Base!$V:$V,MATCH($A12,Base!$A:$A,0)),0)))</f>
        <v>11.839432</v>
      </c>
      <c r="EG12" s="21">
        <f>IF(EG$1&lt;INDEX('Valo FX'!$Q:$Q,MATCH($A12,'Valo FX'!$A:$A,0)),0,IF(EG$1&lt;INDEX('Valo FX'!$R:$R,MATCH($A12,'Valo FX'!$A:$A,0)),INDEX(Base!$U:$U,MATCH($A12,Base!$A:$A,0)),IF(EG$1=INDEX('Valo FX'!$R:$R,MATCH($A12,'Valo FX'!$A:$A,0)),INDEX(Base!$V:$V,MATCH($A12,Base!$A:$A,0)),0)))</f>
        <v>11.839432</v>
      </c>
      <c r="EH12" s="21">
        <f>IF(EH$1&lt;INDEX('Valo FX'!$Q:$Q,MATCH($A12,'Valo FX'!$A:$A,0)),0,IF(EH$1&lt;INDEX('Valo FX'!$R:$R,MATCH($A12,'Valo FX'!$A:$A,0)),INDEX(Base!$U:$U,MATCH($A12,Base!$A:$A,0)),IF(EH$1=INDEX('Valo FX'!$R:$R,MATCH($A12,'Valo FX'!$A:$A,0)),INDEX(Base!$V:$V,MATCH($A12,Base!$A:$A,0)),0)))</f>
        <v>11.839432</v>
      </c>
      <c r="EI12" s="21">
        <f>IF(EI$1&lt;INDEX('Valo FX'!$Q:$Q,MATCH($A12,'Valo FX'!$A:$A,0)),0,IF(EI$1&lt;INDEX('Valo FX'!$R:$R,MATCH($A12,'Valo FX'!$A:$A,0)),INDEX(Base!$U:$U,MATCH($A12,Base!$A:$A,0)),IF(EI$1=INDEX('Valo FX'!$R:$R,MATCH($A12,'Valo FX'!$A:$A,0)),INDEX(Base!$V:$V,MATCH($A12,Base!$A:$A,0)),0)))</f>
        <v>11.839432</v>
      </c>
      <c r="EJ12" s="21">
        <f>IF(EJ$1&lt;INDEX('Valo FX'!$Q:$Q,MATCH($A12,'Valo FX'!$A:$A,0)),0,IF(EJ$1&lt;INDEX('Valo FX'!$R:$R,MATCH($A12,'Valo FX'!$A:$A,0)),INDEX(Base!$U:$U,MATCH($A12,Base!$A:$A,0)),IF(EJ$1=INDEX('Valo FX'!$R:$R,MATCH($A12,'Valo FX'!$A:$A,0)),INDEX(Base!$V:$V,MATCH($A12,Base!$A:$A,0)),0)))</f>
        <v>11.839432</v>
      </c>
      <c r="EK12" s="21">
        <f>IF(EK$1&lt;INDEX('Valo FX'!$Q:$Q,MATCH($A12,'Valo FX'!$A:$A,0)),0,IF(EK$1&lt;INDEX('Valo FX'!$R:$R,MATCH($A12,'Valo FX'!$A:$A,0)),INDEX(Base!$U:$U,MATCH($A12,Base!$A:$A,0)),IF(EK$1=INDEX('Valo FX'!$R:$R,MATCH($A12,'Valo FX'!$A:$A,0)),INDEX(Base!$V:$V,MATCH($A12,Base!$A:$A,0)),0)))</f>
        <v>11.839432</v>
      </c>
      <c r="EL12" s="21">
        <f>IF(EL$1&lt;INDEX('Valo FX'!$Q:$Q,MATCH($A12,'Valo FX'!$A:$A,0)),0,IF(EL$1&lt;INDEX('Valo FX'!$R:$R,MATCH($A12,'Valo FX'!$A:$A,0)),INDEX(Base!$U:$U,MATCH($A12,Base!$A:$A,0)),IF(EL$1=INDEX('Valo FX'!$R:$R,MATCH($A12,'Valo FX'!$A:$A,0)),INDEX(Base!$V:$V,MATCH($A12,Base!$A:$A,0)),0)))</f>
        <v>11.839432</v>
      </c>
      <c r="EM12" s="21">
        <f>IF(EM$1&lt;INDEX('Valo FX'!$Q:$Q,MATCH($A12,'Valo FX'!$A:$A,0)),0,IF(EM$1&lt;INDEX('Valo FX'!$R:$R,MATCH($A12,'Valo FX'!$A:$A,0)),INDEX(Base!$U:$U,MATCH($A12,Base!$A:$A,0)),IF(EM$1=INDEX('Valo FX'!$R:$R,MATCH($A12,'Valo FX'!$A:$A,0)),INDEX(Base!$V:$V,MATCH($A12,Base!$A:$A,0)),0)))</f>
        <v>11.839432</v>
      </c>
      <c r="EN12" s="21">
        <f>IF(EN$1&lt;INDEX('Valo FX'!$Q:$Q,MATCH($A12,'Valo FX'!$A:$A,0)),0,IF(EN$1&lt;INDEX('Valo FX'!$R:$R,MATCH($A12,'Valo FX'!$A:$A,0)),INDEX(Base!$U:$U,MATCH($A12,Base!$A:$A,0)),IF(EN$1=INDEX('Valo FX'!$R:$R,MATCH($A12,'Valo FX'!$A:$A,0)),INDEX(Base!$V:$V,MATCH($A12,Base!$A:$A,0)),0)))</f>
        <v>11.839432</v>
      </c>
      <c r="EO12" s="21">
        <f>IF(EO$1&lt;INDEX('Valo FX'!$Q:$Q,MATCH($A12,'Valo FX'!$A:$A,0)),0,IF(EO$1&lt;INDEX('Valo FX'!$R:$R,MATCH($A12,'Valo FX'!$A:$A,0)),INDEX(Base!$U:$U,MATCH($A12,Base!$A:$A,0)),IF(EO$1=INDEX('Valo FX'!$R:$R,MATCH($A12,'Valo FX'!$A:$A,0)),INDEX(Base!$V:$V,MATCH($A12,Base!$A:$A,0)),0)))</f>
        <v>11.839432</v>
      </c>
      <c r="EP12" s="21">
        <f>IF(EP$1&lt;INDEX('Valo FX'!$Q:$Q,MATCH($A12,'Valo FX'!$A:$A,0)),0,IF(EP$1&lt;INDEX('Valo FX'!$R:$R,MATCH($A12,'Valo FX'!$A:$A,0)),INDEX(Base!$U:$U,MATCH($A12,Base!$A:$A,0)),IF(EP$1=INDEX('Valo FX'!$R:$R,MATCH($A12,'Valo FX'!$A:$A,0)),INDEX(Base!$V:$V,MATCH($A12,Base!$A:$A,0)),0)))</f>
        <v>11.839432</v>
      </c>
      <c r="EQ12" s="21">
        <f>IF(EQ$1&lt;INDEX('Valo FX'!$Q:$Q,MATCH($A12,'Valo FX'!$A:$A,0)),0,IF(EQ$1&lt;INDEX('Valo FX'!$R:$R,MATCH($A12,'Valo FX'!$A:$A,0)),INDEX(Base!$U:$U,MATCH($A12,Base!$A:$A,0)),IF(EQ$1=INDEX('Valo FX'!$R:$R,MATCH($A12,'Valo FX'!$A:$A,0)),INDEX(Base!$V:$V,MATCH($A12,Base!$A:$A,0)),0)))</f>
        <v>11.839432</v>
      </c>
      <c r="ER12" s="21">
        <f>IF(ER$1&lt;INDEX('Valo FX'!$Q:$Q,MATCH($A12,'Valo FX'!$A:$A,0)),0,IF(ER$1&lt;INDEX('Valo FX'!$R:$R,MATCH($A12,'Valo FX'!$A:$A,0)),INDEX(Base!$U:$U,MATCH($A12,Base!$A:$A,0)),IF(ER$1=INDEX('Valo FX'!$R:$R,MATCH($A12,'Valo FX'!$A:$A,0)),INDEX(Base!$V:$V,MATCH($A12,Base!$A:$A,0)),0)))</f>
        <v>11.839432</v>
      </c>
      <c r="ES12" s="21">
        <f>IF(ES$1&lt;INDEX('Valo FX'!$Q:$Q,MATCH($A12,'Valo FX'!$A:$A,0)),0,IF(ES$1&lt;INDEX('Valo FX'!$R:$R,MATCH($A12,'Valo FX'!$A:$A,0)),INDEX(Base!$U:$U,MATCH($A12,Base!$A:$A,0)),IF(ES$1=INDEX('Valo FX'!$R:$R,MATCH($A12,'Valo FX'!$A:$A,0)),INDEX(Base!$V:$V,MATCH($A12,Base!$A:$A,0)),0)))</f>
        <v>11.839432</v>
      </c>
      <c r="ET12" s="21">
        <f>IF(ET$1&lt;INDEX('Valo FX'!$Q:$Q,MATCH($A12,'Valo FX'!$A:$A,0)),0,IF(ET$1&lt;INDEX('Valo FX'!$R:$R,MATCH($A12,'Valo FX'!$A:$A,0)),INDEX(Base!$U:$U,MATCH($A12,Base!$A:$A,0)),IF(ET$1=INDEX('Valo FX'!$R:$R,MATCH($A12,'Valo FX'!$A:$A,0)),INDEX(Base!$V:$V,MATCH($A12,Base!$A:$A,0)),0)))</f>
        <v>11.839432</v>
      </c>
      <c r="EU12" s="21">
        <f>IF(EU$1&lt;INDEX('Valo FX'!$Q:$Q,MATCH($A12,'Valo FX'!$A:$A,0)),0,IF(EU$1&lt;INDEX('Valo FX'!$R:$R,MATCH($A12,'Valo FX'!$A:$A,0)),INDEX(Base!$U:$U,MATCH($A12,Base!$A:$A,0)),IF(EU$1=INDEX('Valo FX'!$R:$R,MATCH($A12,'Valo FX'!$A:$A,0)),INDEX(Base!$V:$V,MATCH($A12,Base!$A:$A,0)),0)))</f>
        <v>11.839432</v>
      </c>
      <c r="EV12" s="21">
        <f>IF(EV$1&lt;INDEX('Valo FX'!$Q:$Q,MATCH($A12,'Valo FX'!$A:$A,0)),0,IF(EV$1&lt;INDEX('Valo FX'!$R:$R,MATCH($A12,'Valo FX'!$A:$A,0)),INDEX(Base!$U:$U,MATCH($A12,Base!$A:$A,0)),IF(EV$1=INDEX('Valo FX'!$R:$R,MATCH($A12,'Valo FX'!$A:$A,0)),INDEX(Base!$V:$V,MATCH($A12,Base!$A:$A,0)),0)))</f>
        <v>11.839432</v>
      </c>
      <c r="EW12" s="21">
        <f>IF(EW$1&lt;INDEX('Valo FX'!$Q:$Q,MATCH($A12,'Valo FX'!$A:$A,0)),0,IF(EW$1&lt;INDEX('Valo FX'!$R:$R,MATCH($A12,'Valo FX'!$A:$A,0)),INDEX(Base!$U:$U,MATCH($A12,Base!$A:$A,0)),IF(EW$1=INDEX('Valo FX'!$R:$R,MATCH($A12,'Valo FX'!$A:$A,0)),INDEX(Base!$V:$V,MATCH($A12,Base!$A:$A,0)),0)))</f>
        <v>11.839432</v>
      </c>
      <c r="EX12" s="21">
        <f>IF(EX$1&lt;INDEX('Valo FX'!$Q:$Q,MATCH($A12,'Valo FX'!$A:$A,0)),0,IF(EX$1&lt;INDEX('Valo FX'!$R:$R,MATCH($A12,'Valo FX'!$A:$A,0)),INDEX(Base!$U:$U,MATCH($A12,Base!$A:$A,0)),IF(EX$1=INDEX('Valo FX'!$R:$R,MATCH($A12,'Valo FX'!$A:$A,0)),INDEX(Base!$V:$V,MATCH($A12,Base!$A:$A,0)),0)))</f>
        <v>11.839432</v>
      </c>
      <c r="EY12" s="21">
        <f>IF(EY$1&lt;INDEX('Valo FX'!$Q:$Q,MATCH($A12,'Valo FX'!$A:$A,0)),0,IF(EY$1&lt;INDEX('Valo FX'!$R:$R,MATCH($A12,'Valo FX'!$A:$A,0)),INDEX(Base!$U:$U,MATCH($A12,Base!$A:$A,0)),IF(EY$1=INDEX('Valo FX'!$R:$R,MATCH($A12,'Valo FX'!$A:$A,0)),INDEX(Base!$V:$V,MATCH($A12,Base!$A:$A,0)),0)))</f>
        <v>11.839432</v>
      </c>
      <c r="EZ12" s="21">
        <f>IF(EZ$1&lt;INDEX('Valo FX'!$Q:$Q,MATCH($A12,'Valo FX'!$A:$A,0)),0,IF(EZ$1&lt;INDEX('Valo FX'!$R:$R,MATCH($A12,'Valo FX'!$A:$A,0)),INDEX(Base!$U:$U,MATCH($A12,Base!$A:$A,0)),IF(EZ$1=INDEX('Valo FX'!$R:$R,MATCH($A12,'Valo FX'!$A:$A,0)),INDEX(Base!$V:$V,MATCH($A12,Base!$A:$A,0)),0)))</f>
        <v>11.839432</v>
      </c>
      <c r="FA12" s="21">
        <f>IF(FA$1&lt;INDEX('Valo FX'!$Q:$Q,MATCH($A12,'Valo FX'!$A:$A,0)),0,IF(FA$1&lt;INDEX('Valo FX'!$R:$R,MATCH($A12,'Valo FX'!$A:$A,0)),INDEX(Base!$U:$U,MATCH($A12,Base!$A:$A,0)),IF(FA$1=INDEX('Valo FX'!$R:$R,MATCH($A12,'Valo FX'!$A:$A,0)),INDEX(Base!$V:$V,MATCH($A12,Base!$A:$A,0)),0)))</f>
        <v>11.839432</v>
      </c>
      <c r="FB12" s="21">
        <f>IF(FB$1&lt;INDEX('Valo FX'!$Q:$Q,MATCH($A12,'Valo FX'!$A:$A,0)),0,IF(FB$1&lt;INDEX('Valo FX'!$R:$R,MATCH($A12,'Valo FX'!$A:$A,0)),INDEX(Base!$U:$U,MATCH($A12,Base!$A:$A,0)),IF(FB$1=INDEX('Valo FX'!$R:$R,MATCH($A12,'Valo FX'!$A:$A,0)),INDEX(Base!$V:$V,MATCH($A12,Base!$A:$A,0)),0)))</f>
        <v>11.839432</v>
      </c>
      <c r="FC12" s="21">
        <f>IF(FC$1&lt;INDEX('Valo FX'!$Q:$Q,MATCH($A12,'Valo FX'!$A:$A,0)),0,IF(FC$1&lt;INDEX('Valo FX'!$R:$R,MATCH($A12,'Valo FX'!$A:$A,0)),INDEX(Base!$U:$U,MATCH($A12,Base!$A:$A,0)),IF(FC$1=INDEX('Valo FX'!$R:$R,MATCH($A12,'Valo FX'!$A:$A,0)),INDEX(Base!$V:$V,MATCH($A12,Base!$A:$A,0)),0)))</f>
        <v>11.839432</v>
      </c>
      <c r="FD12" s="21">
        <f>IF(FD$1&lt;INDEX('Valo FX'!$Q:$Q,MATCH($A12,'Valo FX'!$A:$A,0)),0,IF(FD$1&lt;INDEX('Valo FX'!$R:$R,MATCH($A12,'Valo FX'!$A:$A,0)),INDEX(Base!$U:$U,MATCH($A12,Base!$A:$A,0)),IF(FD$1=INDEX('Valo FX'!$R:$R,MATCH($A12,'Valo FX'!$A:$A,0)),INDEX(Base!$V:$V,MATCH($A12,Base!$A:$A,0)),0)))</f>
        <v>11.839432</v>
      </c>
      <c r="FE12" s="21">
        <f>IF(FE$1&lt;INDEX('Valo FX'!$Q:$Q,MATCH($A12,'Valo FX'!$A:$A,0)),0,IF(FE$1&lt;INDEX('Valo FX'!$R:$R,MATCH($A12,'Valo FX'!$A:$A,0)),INDEX(Base!$U:$U,MATCH($A12,Base!$A:$A,0)),IF(FE$1=INDEX('Valo FX'!$R:$R,MATCH($A12,'Valo FX'!$A:$A,0)),INDEX(Base!$V:$V,MATCH($A12,Base!$A:$A,0)),0)))</f>
        <v>11.839432</v>
      </c>
      <c r="FF12" s="21">
        <f>IF(FF$1&lt;INDEX('Valo FX'!$Q:$Q,MATCH($A12,'Valo FX'!$A:$A,0)),0,IF(FF$1&lt;INDEX('Valo FX'!$R:$R,MATCH($A12,'Valo FX'!$A:$A,0)),INDEX(Base!$U:$U,MATCH($A12,Base!$A:$A,0)),IF(FF$1=INDEX('Valo FX'!$R:$R,MATCH($A12,'Valo FX'!$A:$A,0)),INDEX(Base!$V:$V,MATCH($A12,Base!$A:$A,0)),0)))</f>
        <v>11.839432</v>
      </c>
      <c r="FG12" s="21">
        <f>IF(FG$1&lt;INDEX('Valo FX'!$Q:$Q,MATCH($A12,'Valo FX'!$A:$A,0)),0,IF(FG$1&lt;INDEX('Valo FX'!$R:$R,MATCH($A12,'Valo FX'!$A:$A,0)),INDEX(Base!$U:$U,MATCH($A12,Base!$A:$A,0)),IF(FG$1=INDEX('Valo FX'!$R:$R,MATCH($A12,'Valo FX'!$A:$A,0)),INDEX(Base!$V:$V,MATCH($A12,Base!$A:$A,0)),0)))</f>
        <v>11.839432</v>
      </c>
      <c r="FH12" s="21">
        <f>IF(FH$1&lt;INDEX('Valo FX'!$Q:$Q,MATCH($A12,'Valo FX'!$A:$A,0)),0,IF(FH$1&lt;INDEX('Valo FX'!$R:$R,MATCH($A12,'Valo FX'!$A:$A,0)),INDEX(Base!$U:$U,MATCH($A12,Base!$A:$A,0)),IF(FH$1=INDEX('Valo FX'!$R:$R,MATCH($A12,'Valo FX'!$A:$A,0)),INDEX(Base!$V:$V,MATCH($A12,Base!$A:$A,0)),0)))</f>
        <v>11.839432</v>
      </c>
      <c r="FI12" s="21">
        <f>IF(FI$1&lt;INDEX('Valo FX'!$Q:$Q,MATCH($A12,'Valo FX'!$A:$A,0)),0,IF(FI$1&lt;INDEX('Valo FX'!$R:$R,MATCH($A12,'Valo FX'!$A:$A,0)),INDEX(Base!$U:$U,MATCH($A12,Base!$A:$A,0)),IF(FI$1=INDEX('Valo FX'!$R:$R,MATCH($A12,'Valo FX'!$A:$A,0)),INDEX(Base!$V:$V,MATCH($A12,Base!$A:$A,0)),0)))</f>
        <v>11.839432</v>
      </c>
      <c r="FJ12" s="21">
        <f>IF(FJ$1&lt;INDEX('Valo FX'!$Q:$Q,MATCH($A12,'Valo FX'!$A:$A,0)),0,IF(FJ$1&lt;INDEX('Valo FX'!$R:$R,MATCH($A12,'Valo FX'!$A:$A,0)),INDEX(Base!$U:$U,MATCH($A12,Base!$A:$A,0)),IF(FJ$1=INDEX('Valo FX'!$R:$R,MATCH($A12,'Valo FX'!$A:$A,0)),INDEX(Base!$V:$V,MATCH($A12,Base!$A:$A,0)),0)))</f>
        <v>11.839432</v>
      </c>
      <c r="FK12" s="21">
        <f>IF(FK$1&lt;INDEX('Valo FX'!$Q:$Q,MATCH($A12,'Valo FX'!$A:$A,0)),0,IF(FK$1&lt;INDEX('Valo FX'!$R:$R,MATCH($A12,'Valo FX'!$A:$A,0)),INDEX(Base!$U:$U,MATCH($A12,Base!$A:$A,0)),IF(FK$1=INDEX('Valo FX'!$R:$R,MATCH($A12,'Valo FX'!$A:$A,0)),INDEX(Base!$V:$V,MATCH($A12,Base!$A:$A,0)),0)))</f>
        <v>11.839432</v>
      </c>
      <c r="FL12" s="21">
        <f>IF(FL$1&lt;INDEX('Valo FX'!$Q:$Q,MATCH($A12,'Valo FX'!$A:$A,0)),0,IF(FL$1&lt;INDEX('Valo FX'!$R:$R,MATCH($A12,'Valo FX'!$A:$A,0)),INDEX(Base!$U:$U,MATCH($A12,Base!$A:$A,0)),IF(FL$1=INDEX('Valo FX'!$R:$R,MATCH($A12,'Valo FX'!$A:$A,0)),INDEX(Base!$V:$V,MATCH($A12,Base!$A:$A,0)),0)))</f>
        <v>11.839432</v>
      </c>
      <c r="FM12" s="21">
        <f>IF(FM$1&lt;INDEX('Valo FX'!$Q:$Q,MATCH($A12,'Valo FX'!$A:$A,0)),0,IF(FM$1&lt;INDEX('Valo FX'!$R:$R,MATCH($A12,'Valo FX'!$A:$A,0)),INDEX(Base!$U:$U,MATCH($A12,Base!$A:$A,0)),IF(FM$1=INDEX('Valo FX'!$R:$R,MATCH($A12,'Valo FX'!$A:$A,0)),INDEX(Base!$V:$V,MATCH($A12,Base!$A:$A,0)),0)))</f>
        <v>11.839432</v>
      </c>
      <c r="FN12" s="21">
        <f>IF(FN$1&lt;INDEX('Valo FX'!$Q:$Q,MATCH($A12,'Valo FX'!$A:$A,0)),0,IF(FN$1&lt;INDEX('Valo FX'!$R:$R,MATCH($A12,'Valo FX'!$A:$A,0)),INDEX(Base!$U:$U,MATCH($A12,Base!$A:$A,0)),IF(FN$1=INDEX('Valo FX'!$R:$R,MATCH($A12,'Valo FX'!$A:$A,0)),INDEX(Base!$V:$V,MATCH($A12,Base!$A:$A,0)),0)))</f>
        <v>11.839432</v>
      </c>
      <c r="FO12" s="21">
        <f>IF(FO$1&lt;INDEX('Valo FX'!$Q:$Q,MATCH($A12,'Valo FX'!$A:$A,0)),0,IF(FO$1&lt;INDEX('Valo FX'!$R:$R,MATCH($A12,'Valo FX'!$A:$A,0)),INDEX(Base!$U:$U,MATCH($A12,Base!$A:$A,0)),IF(FO$1=INDEX('Valo FX'!$R:$R,MATCH($A12,'Valo FX'!$A:$A,0)),INDEX(Base!$V:$V,MATCH($A12,Base!$A:$A,0)),0)))</f>
        <v>11.839432</v>
      </c>
      <c r="FP12" s="21">
        <f>IF(FP$1&lt;INDEX('Valo FX'!$Q:$Q,MATCH($A12,'Valo FX'!$A:$A,0)),0,IF(FP$1&lt;INDEX('Valo FX'!$R:$R,MATCH($A12,'Valo FX'!$A:$A,0)),INDEX(Base!$U:$U,MATCH($A12,Base!$A:$A,0)),IF(FP$1=INDEX('Valo FX'!$R:$R,MATCH($A12,'Valo FX'!$A:$A,0)),INDEX(Base!$V:$V,MATCH($A12,Base!$A:$A,0)),0)))</f>
        <v>11.839432</v>
      </c>
      <c r="FQ12" s="21">
        <f>IF(FQ$1&lt;INDEX('Valo FX'!$Q:$Q,MATCH($A12,'Valo FX'!$A:$A,0)),0,IF(FQ$1&lt;INDEX('Valo FX'!$R:$R,MATCH($A12,'Valo FX'!$A:$A,0)),INDEX(Base!$U:$U,MATCH($A12,Base!$A:$A,0)),IF(FQ$1=INDEX('Valo FX'!$R:$R,MATCH($A12,'Valo FX'!$A:$A,0)),INDEX(Base!$V:$V,MATCH($A12,Base!$A:$A,0)),0)))</f>
        <v>11.839432</v>
      </c>
      <c r="FR12" s="21">
        <f>IF(FR$1&lt;INDEX('Valo FX'!$Q:$Q,MATCH($A12,'Valo FX'!$A:$A,0)),0,IF(FR$1&lt;INDEX('Valo FX'!$R:$R,MATCH($A12,'Valo FX'!$A:$A,0)),INDEX(Base!$U:$U,MATCH($A12,Base!$A:$A,0)),IF(FR$1=INDEX('Valo FX'!$R:$R,MATCH($A12,'Valo FX'!$A:$A,0)),INDEX(Base!$V:$V,MATCH($A12,Base!$A:$A,0)),0)))</f>
        <v>11.839432</v>
      </c>
      <c r="FS12" s="21">
        <f>IF(FS$1&lt;INDEX('Valo FX'!$Q:$Q,MATCH($A12,'Valo FX'!$A:$A,0)),0,IF(FS$1&lt;INDEX('Valo FX'!$R:$R,MATCH($A12,'Valo FX'!$A:$A,0)),INDEX(Base!$U:$U,MATCH($A12,Base!$A:$A,0)),IF(FS$1=INDEX('Valo FX'!$R:$R,MATCH($A12,'Valo FX'!$A:$A,0)),INDEX(Base!$V:$V,MATCH($A12,Base!$A:$A,0)),0)))</f>
        <v>11.839432</v>
      </c>
      <c r="FT12" s="21">
        <f>IF(FT$1&lt;INDEX('Valo FX'!$Q:$Q,MATCH($A12,'Valo FX'!$A:$A,0)),0,IF(FT$1&lt;INDEX('Valo FX'!$R:$R,MATCH($A12,'Valo FX'!$A:$A,0)),INDEX(Base!$U:$U,MATCH($A12,Base!$A:$A,0)),IF(FT$1=INDEX('Valo FX'!$R:$R,MATCH($A12,'Valo FX'!$A:$A,0)),INDEX(Base!$V:$V,MATCH($A12,Base!$A:$A,0)),0)))</f>
        <v>11.839432</v>
      </c>
      <c r="FU12" s="21">
        <f>IF(FU$1&lt;INDEX('Valo FX'!$Q:$Q,MATCH($A12,'Valo FX'!$A:$A,0)),0,IF(FU$1&lt;INDEX('Valo FX'!$R:$R,MATCH($A12,'Valo FX'!$A:$A,0)),INDEX(Base!$U:$U,MATCH($A12,Base!$A:$A,0)),IF(FU$1=INDEX('Valo FX'!$R:$R,MATCH($A12,'Valo FX'!$A:$A,0)),INDEX(Base!$V:$V,MATCH($A12,Base!$A:$A,0)),0)))</f>
        <v>11.839432</v>
      </c>
      <c r="FV12" s="21">
        <f>IF(FV$1&lt;INDEX('Valo FX'!$Q:$Q,MATCH($A12,'Valo FX'!$A:$A,0)),0,IF(FV$1&lt;INDEX('Valo FX'!$R:$R,MATCH($A12,'Valo FX'!$A:$A,0)),INDEX(Base!$U:$U,MATCH($A12,Base!$A:$A,0)),IF(FV$1=INDEX('Valo FX'!$R:$R,MATCH($A12,'Valo FX'!$A:$A,0)),INDEX(Base!$V:$V,MATCH($A12,Base!$A:$A,0)),0)))</f>
        <v>11.839432</v>
      </c>
      <c r="FW12" s="21">
        <f>IF(FW$1&lt;INDEX('Valo FX'!$Q:$Q,MATCH($A12,'Valo FX'!$A:$A,0)),0,IF(FW$1&lt;INDEX('Valo FX'!$R:$R,MATCH($A12,'Valo FX'!$A:$A,0)),INDEX(Base!$U:$U,MATCH($A12,Base!$A:$A,0)),IF(FW$1=INDEX('Valo FX'!$R:$R,MATCH($A12,'Valo FX'!$A:$A,0)),INDEX(Base!$V:$V,MATCH($A12,Base!$A:$A,0)),0)))</f>
        <v>11.839432</v>
      </c>
      <c r="FX12" s="21">
        <f>IF(FX$1&lt;INDEX('Valo FX'!$Q:$Q,MATCH($A12,'Valo FX'!$A:$A,0)),0,IF(FX$1&lt;INDEX('Valo FX'!$R:$R,MATCH($A12,'Valo FX'!$A:$A,0)),INDEX(Base!$U:$U,MATCH($A12,Base!$A:$A,0)),IF(FX$1=INDEX('Valo FX'!$R:$R,MATCH($A12,'Valo FX'!$A:$A,0)),INDEX(Base!$V:$V,MATCH($A12,Base!$A:$A,0)),0)))</f>
        <v>11.839432</v>
      </c>
      <c r="FY12" s="21">
        <f>IF(FY$1&lt;INDEX('Valo FX'!$Q:$Q,MATCH($A12,'Valo FX'!$A:$A,0)),0,IF(FY$1&lt;INDEX('Valo FX'!$R:$R,MATCH($A12,'Valo FX'!$A:$A,0)),INDEX(Base!$U:$U,MATCH($A12,Base!$A:$A,0)),IF(FY$1=INDEX('Valo FX'!$R:$R,MATCH($A12,'Valo FX'!$A:$A,0)),INDEX(Base!$V:$V,MATCH($A12,Base!$A:$A,0)),0)))</f>
        <v>11.839432</v>
      </c>
      <c r="FZ12" s="21">
        <f>IF(FZ$1&lt;INDEX('Valo FX'!$Q:$Q,MATCH($A12,'Valo FX'!$A:$A,0)),0,IF(FZ$1&lt;INDEX('Valo FX'!$R:$R,MATCH($A12,'Valo FX'!$A:$A,0)),INDEX(Base!$U:$U,MATCH($A12,Base!$A:$A,0)),IF(FZ$1=INDEX('Valo FX'!$R:$R,MATCH($A12,'Valo FX'!$A:$A,0)),INDEX(Base!$V:$V,MATCH($A12,Base!$A:$A,0)),0)))</f>
        <v>11.839432</v>
      </c>
      <c r="GA12" s="21">
        <f>IF(GA$1&lt;INDEX('Valo FX'!$Q:$Q,MATCH($A12,'Valo FX'!$A:$A,0)),0,IF(GA$1&lt;INDEX('Valo FX'!$R:$R,MATCH($A12,'Valo FX'!$A:$A,0)),INDEX(Base!$U:$U,MATCH($A12,Base!$A:$A,0)),IF(GA$1=INDEX('Valo FX'!$R:$R,MATCH($A12,'Valo FX'!$A:$A,0)),INDEX(Base!$V:$V,MATCH($A12,Base!$A:$A,0)),0)))</f>
        <v>11.839432</v>
      </c>
      <c r="GB12" s="21">
        <f>IF(GB$1&lt;INDEX('Valo FX'!$Q:$Q,MATCH($A12,'Valo FX'!$A:$A,0)),0,IF(GB$1&lt;INDEX('Valo FX'!$R:$R,MATCH($A12,'Valo FX'!$A:$A,0)),INDEX(Base!$U:$U,MATCH($A12,Base!$A:$A,0)),IF(GB$1=INDEX('Valo FX'!$R:$R,MATCH($A12,'Valo FX'!$A:$A,0)),INDEX(Base!$V:$V,MATCH($A12,Base!$A:$A,0)),0)))</f>
        <v>11.839432</v>
      </c>
      <c r="GC12" s="21">
        <f>IF(GC$1&lt;INDEX('Valo FX'!$Q:$Q,MATCH($A12,'Valo FX'!$A:$A,0)),0,IF(GC$1&lt;INDEX('Valo FX'!$R:$R,MATCH($A12,'Valo FX'!$A:$A,0)),INDEX(Base!$U:$U,MATCH($A12,Base!$A:$A,0)),IF(GC$1=INDEX('Valo FX'!$R:$R,MATCH($A12,'Valo FX'!$A:$A,0)),INDEX(Base!$V:$V,MATCH($A12,Base!$A:$A,0)),0)))</f>
        <v>11.839432</v>
      </c>
      <c r="GD12" s="21">
        <f>IF(GD$1&lt;INDEX('Valo FX'!$Q:$Q,MATCH($A12,'Valo FX'!$A:$A,0)),0,IF(GD$1&lt;INDEX('Valo FX'!$R:$R,MATCH($A12,'Valo FX'!$A:$A,0)),INDEX(Base!$U:$U,MATCH($A12,Base!$A:$A,0)),IF(GD$1=INDEX('Valo FX'!$R:$R,MATCH($A12,'Valo FX'!$A:$A,0)),INDEX(Base!$V:$V,MATCH($A12,Base!$A:$A,0)),0)))</f>
        <v>11.839432</v>
      </c>
      <c r="GE12" s="21">
        <f>IF(GE$1&lt;INDEX('Valo FX'!$Q:$Q,MATCH($A12,'Valo FX'!$A:$A,0)),0,IF(GE$1&lt;INDEX('Valo FX'!$R:$R,MATCH($A12,'Valo FX'!$A:$A,0)),INDEX(Base!$U:$U,MATCH($A12,Base!$A:$A,0)),IF(GE$1=INDEX('Valo FX'!$R:$R,MATCH($A12,'Valo FX'!$A:$A,0)),INDEX(Base!$V:$V,MATCH($A12,Base!$A:$A,0)),0)))</f>
        <v>11.839432</v>
      </c>
      <c r="GF12" s="21">
        <f>IF(GF$1&lt;INDEX('Valo FX'!$Q:$Q,MATCH($A12,'Valo FX'!$A:$A,0)),0,IF(GF$1&lt;INDEX('Valo FX'!$R:$R,MATCH($A12,'Valo FX'!$A:$A,0)),INDEX(Base!$U:$U,MATCH($A12,Base!$A:$A,0)),IF(GF$1=INDEX('Valo FX'!$R:$R,MATCH($A12,'Valo FX'!$A:$A,0)),INDEX(Base!$V:$V,MATCH($A12,Base!$A:$A,0)),0)))</f>
        <v>11.839432</v>
      </c>
      <c r="GG12" s="21">
        <f>IF(GG$1&lt;INDEX('Valo FX'!$Q:$Q,MATCH($A12,'Valo FX'!$A:$A,0)),0,IF(GG$1&lt;INDEX('Valo FX'!$R:$R,MATCH($A12,'Valo FX'!$A:$A,0)),INDEX(Base!$U:$U,MATCH($A12,Base!$A:$A,0)),IF(GG$1=INDEX('Valo FX'!$R:$R,MATCH($A12,'Valo FX'!$A:$A,0)),INDEX(Base!$V:$V,MATCH($A12,Base!$A:$A,0)),0)))</f>
        <v>11.839432</v>
      </c>
      <c r="GH12" s="21">
        <f>IF(GH$1&lt;INDEX('Valo FX'!$Q:$Q,MATCH($A12,'Valo FX'!$A:$A,0)),0,IF(GH$1&lt;INDEX('Valo FX'!$R:$R,MATCH($A12,'Valo FX'!$A:$A,0)),INDEX(Base!$U:$U,MATCH($A12,Base!$A:$A,0)),IF(GH$1=INDEX('Valo FX'!$R:$R,MATCH($A12,'Valo FX'!$A:$A,0)),INDEX(Base!$V:$V,MATCH($A12,Base!$A:$A,0)),0)))</f>
        <v>11.839432</v>
      </c>
      <c r="GI12" s="21">
        <f>IF(GI$1&lt;INDEX('Valo FX'!$Q:$Q,MATCH($A12,'Valo FX'!$A:$A,0)),0,IF(GI$1&lt;INDEX('Valo FX'!$R:$R,MATCH($A12,'Valo FX'!$A:$A,0)),INDEX(Base!$U:$U,MATCH($A12,Base!$A:$A,0)),IF(GI$1=INDEX('Valo FX'!$R:$R,MATCH($A12,'Valo FX'!$A:$A,0)),INDEX(Base!$V:$V,MATCH($A12,Base!$A:$A,0)),0)))</f>
        <v>11.839432</v>
      </c>
      <c r="GJ12" s="21">
        <f>IF(GJ$1&lt;INDEX('Valo FX'!$Q:$Q,MATCH($A12,'Valo FX'!$A:$A,0)),0,IF(GJ$1&lt;INDEX('Valo FX'!$R:$R,MATCH($A12,'Valo FX'!$A:$A,0)),INDEX(Base!$U:$U,MATCH($A12,Base!$A:$A,0)),IF(GJ$1=INDEX('Valo FX'!$R:$R,MATCH($A12,'Valo FX'!$A:$A,0)),INDEX(Base!$V:$V,MATCH($A12,Base!$A:$A,0)),0)))</f>
        <v>11.839432</v>
      </c>
      <c r="GK12" s="21">
        <f>IF(GK$1&lt;INDEX('Valo FX'!$Q:$Q,MATCH($A12,'Valo FX'!$A:$A,0)),0,IF(GK$1&lt;INDEX('Valo FX'!$R:$R,MATCH($A12,'Valo FX'!$A:$A,0)),INDEX(Base!$U:$U,MATCH($A12,Base!$A:$A,0)),IF(GK$1=INDEX('Valo FX'!$R:$R,MATCH($A12,'Valo FX'!$A:$A,0)),INDEX(Base!$V:$V,MATCH($A12,Base!$A:$A,0)),0)))</f>
        <v>11.839432</v>
      </c>
      <c r="GL12" s="21">
        <f>IF(GL$1&lt;INDEX('Valo FX'!$Q:$Q,MATCH($A12,'Valo FX'!$A:$A,0)),0,IF(GL$1&lt;INDEX('Valo FX'!$R:$R,MATCH($A12,'Valo FX'!$A:$A,0)),INDEX(Base!$U:$U,MATCH($A12,Base!$A:$A,0)),IF(GL$1=INDEX('Valo FX'!$R:$R,MATCH($A12,'Valo FX'!$A:$A,0)),INDEX(Base!$V:$V,MATCH($A12,Base!$A:$A,0)),0)))</f>
        <v>11.839432</v>
      </c>
      <c r="GM12" s="21">
        <f>IF(GM$1&lt;INDEX('Valo FX'!$Q:$Q,MATCH($A12,'Valo FX'!$A:$A,0)),0,IF(GM$1&lt;INDEX('Valo FX'!$R:$R,MATCH($A12,'Valo FX'!$A:$A,0)),INDEX(Base!$U:$U,MATCH($A12,Base!$A:$A,0)),IF(GM$1=INDEX('Valo FX'!$R:$R,MATCH($A12,'Valo FX'!$A:$A,0)),INDEX(Base!$V:$V,MATCH($A12,Base!$A:$A,0)),0)))</f>
        <v>11.839432</v>
      </c>
      <c r="GN12" s="21">
        <f>IF(GN$1&lt;INDEX('Valo FX'!$Q:$Q,MATCH($A12,'Valo FX'!$A:$A,0)),0,IF(GN$1&lt;INDEX('Valo FX'!$R:$R,MATCH($A12,'Valo FX'!$A:$A,0)),INDEX(Base!$U:$U,MATCH($A12,Base!$A:$A,0)),IF(GN$1=INDEX('Valo FX'!$R:$R,MATCH($A12,'Valo FX'!$A:$A,0)),INDEX(Base!$V:$V,MATCH($A12,Base!$A:$A,0)),0)))</f>
        <v>11.839432</v>
      </c>
      <c r="GO12" s="21">
        <f>IF(GO$1&lt;INDEX('Valo FX'!$Q:$Q,MATCH($A12,'Valo FX'!$A:$A,0)),0,IF(GO$1&lt;INDEX('Valo FX'!$R:$R,MATCH($A12,'Valo FX'!$A:$A,0)),INDEX(Base!$U:$U,MATCH($A12,Base!$A:$A,0)),IF(GO$1=INDEX('Valo FX'!$R:$R,MATCH($A12,'Valo FX'!$A:$A,0)),INDEX(Base!$V:$V,MATCH($A12,Base!$A:$A,0)),0)))</f>
        <v>11.839432</v>
      </c>
      <c r="GP12" s="21">
        <f>IF(GP$1&lt;INDEX('Valo FX'!$Q:$Q,MATCH($A12,'Valo FX'!$A:$A,0)),0,IF(GP$1&lt;INDEX('Valo FX'!$R:$R,MATCH($A12,'Valo FX'!$A:$A,0)),INDEX(Base!$U:$U,MATCH($A12,Base!$A:$A,0)),IF(GP$1=INDEX('Valo FX'!$R:$R,MATCH($A12,'Valo FX'!$A:$A,0)),INDEX(Base!$V:$V,MATCH($A12,Base!$A:$A,0)),0)))</f>
        <v>11.839432</v>
      </c>
      <c r="GQ12" s="21">
        <f>IF(GQ$1&lt;INDEX('Valo FX'!$Q:$Q,MATCH($A12,'Valo FX'!$A:$A,0)),0,IF(GQ$1&lt;INDEX('Valo FX'!$R:$R,MATCH($A12,'Valo FX'!$A:$A,0)),INDEX(Base!$U:$U,MATCH($A12,Base!$A:$A,0)),IF(GQ$1=INDEX('Valo FX'!$R:$R,MATCH($A12,'Valo FX'!$A:$A,0)),INDEX(Base!$V:$V,MATCH($A12,Base!$A:$A,0)),0)))</f>
        <v>11.839432</v>
      </c>
      <c r="GR12" s="21">
        <f>IF(GR$1&lt;INDEX('Valo FX'!$Q:$Q,MATCH($A12,'Valo FX'!$A:$A,0)),0,IF(GR$1&lt;INDEX('Valo FX'!$R:$R,MATCH($A12,'Valo FX'!$A:$A,0)),INDEX(Base!$U:$U,MATCH($A12,Base!$A:$A,0)),IF(GR$1=INDEX('Valo FX'!$R:$R,MATCH($A12,'Valo FX'!$A:$A,0)),INDEX(Base!$V:$V,MATCH($A12,Base!$A:$A,0)),0)))</f>
        <v>11.839432</v>
      </c>
      <c r="GS12" s="21">
        <f>IF(GS$1&lt;INDEX('Valo FX'!$Q:$Q,MATCH($A12,'Valo FX'!$A:$A,0)),0,IF(GS$1&lt;INDEX('Valo FX'!$R:$R,MATCH($A12,'Valo FX'!$A:$A,0)),INDEX(Base!$U:$U,MATCH($A12,Base!$A:$A,0)),IF(GS$1=INDEX('Valo FX'!$R:$R,MATCH($A12,'Valo FX'!$A:$A,0)),INDEX(Base!$V:$V,MATCH($A12,Base!$A:$A,0)),0)))</f>
        <v>11.839432</v>
      </c>
      <c r="GT12" s="21">
        <f>IF(GT$1&lt;INDEX('Valo FX'!$Q:$Q,MATCH($A12,'Valo FX'!$A:$A,0)),0,IF(GT$1&lt;INDEX('Valo FX'!$R:$R,MATCH($A12,'Valo FX'!$A:$A,0)),INDEX(Base!$U:$U,MATCH($A12,Base!$A:$A,0)),IF(GT$1=INDEX('Valo FX'!$R:$R,MATCH($A12,'Valo FX'!$A:$A,0)),INDEX(Base!$V:$V,MATCH($A12,Base!$A:$A,0)),0)))</f>
        <v>11.839432</v>
      </c>
      <c r="GU12" s="21">
        <f>IF(GU$1&lt;INDEX('Valo FX'!$Q:$Q,MATCH($A12,'Valo FX'!$A:$A,0)),0,IF(GU$1&lt;INDEX('Valo FX'!$R:$R,MATCH($A12,'Valo FX'!$A:$A,0)),INDEX(Base!$U:$U,MATCH($A12,Base!$A:$A,0)),IF(GU$1=INDEX('Valo FX'!$R:$R,MATCH($A12,'Valo FX'!$A:$A,0)),INDEX(Base!$V:$V,MATCH($A12,Base!$A:$A,0)),0)))</f>
        <v>11.839432</v>
      </c>
      <c r="GV12" s="21">
        <f>IF(GV$1&lt;INDEX('Valo FX'!$Q:$Q,MATCH($A12,'Valo FX'!$A:$A,0)),0,IF(GV$1&lt;INDEX('Valo FX'!$R:$R,MATCH($A12,'Valo FX'!$A:$A,0)),INDEX(Base!$U:$U,MATCH($A12,Base!$A:$A,0)),IF(GV$1=INDEX('Valo FX'!$R:$R,MATCH($A12,'Valo FX'!$A:$A,0)),INDEX(Base!$V:$V,MATCH($A12,Base!$A:$A,0)),0)))</f>
        <v>11.839432</v>
      </c>
      <c r="GW12" s="21">
        <f>IF(GW$1&lt;INDEX('Valo FX'!$Q:$Q,MATCH($A12,'Valo FX'!$A:$A,0)),0,IF(GW$1&lt;INDEX('Valo FX'!$R:$R,MATCH($A12,'Valo FX'!$A:$A,0)),INDEX(Base!$U:$U,MATCH($A12,Base!$A:$A,0)),IF(GW$1=INDEX('Valo FX'!$R:$R,MATCH($A12,'Valo FX'!$A:$A,0)),INDEX(Base!$V:$V,MATCH($A12,Base!$A:$A,0)),0)))</f>
        <v>11.839432</v>
      </c>
      <c r="GX12" s="21">
        <f>IF(GX$1&lt;INDEX('Valo FX'!$Q:$Q,MATCH($A12,'Valo FX'!$A:$A,0)),0,IF(GX$1&lt;INDEX('Valo FX'!$R:$R,MATCH($A12,'Valo FX'!$A:$A,0)),INDEX(Base!$U:$U,MATCH($A12,Base!$A:$A,0)),IF(GX$1=INDEX('Valo FX'!$R:$R,MATCH($A12,'Valo FX'!$A:$A,0)),INDEX(Base!$V:$V,MATCH($A12,Base!$A:$A,0)),0)))</f>
        <v>11.839432</v>
      </c>
      <c r="GY12" s="21">
        <f>IF(GY$1&lt;INDEX('Valo FX'!$Q:$Q,MATCH($A12,'Valo FX'!$A:$A,0)),0,IF(GY$1&lt;INDEX('Valo FX'!$R:$R,MATCH($A12,'Valo FX'!$A:$A,0)),INDEX(Base!$U:$U,MATCH($A12,Base!$A:$A,0)),IF(GY$1=INDEX('Valo FX'!$R:$R,MATCH($A12,'Valo FX'!$A:$A,0)),INDEX(Base!$V:$V,MATCH($A12,Base!$A:$A,0)),0)))</f>
        <v>11.839432</v>
      </c>
      <c r="GZ12" s="21">
        <f>IF(GZ$1&lt;INDEX('Valo FX'!$Q:$Q,MATCH($A12,'Valo FX'!$A:$A,0)),0,IF(GZ$1&lt;INDEX('Valo FX'!$R:$R,MATCH($A12,'Valo FX'!$A:$A,0)),INDEX(Base!$U:$U,MATCH($A12,Base!$A:$A,0)),IF(GZ$1=INDEX('Valo FX'!$R:$R,MATCH($A12,'Valo FX'!$A:$A,0)),INDEX(Base!$V:$V,MATCH($A12,Base!$A:$A,0)),0)))</f>
        <v>11.839432</v>
      </c>
      <c r="HA12" s="21">
        <f>IF(HA$1&lt;INDEX('Valo FX'!$Q:$Q,MATCH($A12,'Valo FX'!$A:$A,0)),0,IF(HA$1&lt;INDEX('Valo FX'!$R:$R,MATCH($A12,'Valo FX'!$A:$A,0)),INDEX(Base!$U:$U,MATCH($A12,Base!$A:$A,0)),IF(HA$1=INDEX('Valo FX'!$R:$R,MATCH($A12,'Valo FX'!$A:$A,0)),INDEX(Base!$V:$V,MATCH($A12,Base!$A:$A,0)),0)))</f>
        <v>11.839432</v>
      </c>
      <c r="HB12" s="21">
        <f>IF(HB$1&lt;INDEX('Valo FX'!$Q:$Q,MATCH($A12,'Valo FX'!$A:$A,0)),0,IF(HB$1&lt;INDEX('Valo FX'!$R:$R,MATCH($A12,'Valo FX'!$A:$A,0)),INDEX(Base!$U:$U,MATCH($A12,Base!$A:$A,0)),IF(HB$1=INDEX('Valo FX'!$R:$R,MATCH($A12,'Valo FX'!$A:$A,0)),INDEX(Base!$V:$V,MATCH($A12,Base!$A:$A,0)),0)))</f>
        <v>11.839432</v>
      </c>
      <c r="HC12" s="21">
        <f>IF(HC$1&lt;INDEX('Valo FX'!$Q:$Q,MATCH($A12,'Valo FX'!$A:$A,0)),0,IF(HC$1&lt;INDEX('Valo FX'!$R:$R,MATCH($A12,'Valo FX'!$A:$A,0)),INDEX(Base!$U:$U,MATCH($A12,Base!$A:$A,0)),IF(HC$1=INDEX('Valo FX'!$R:$R,MATCH($A12,'Valo FX'!$A:$A,0)),INDEX(Base!$V:$V,MATCH($A12,Base!$A:$A,0)),0)))</f>
        <v>11.839432</v>
      </c>
      <c r="HD12" s="21">
        <f>IF(HD$1&lt;INDEX('Valo FX'!$Q:$Q,MATCH($A12,'Valo FX'!$A:$A,0)),0,IF(HD$1&lt;INDEX('Valo FX'!$R:$R,MATCH($A12,'Valo FX'!$A:$A,0)),INDEX(Base!$U:$U,MATCH($A12,Base!$A:$A,0)),IF(HD$1=INDEX('Valo FX'!$R:$R,MATCH($A12,'Valo FX'!$A:$A,0)),INDEX(Base!$V:$V,MATCH($A12,Base!$A:$A,0)),0)))</f>
        <v>11.839432</v>
      </c>
      <c r="HE12" s="21">
        <f>IF(HE$1&lt;INDEX('Valo FX'!$Q:$Q,MATCH($A12,'Valo FX'!$A:$A,0)),0,IF(HE$1&lt;INDEX('Valo FX'!$R:$R,MATCH($A12,'Valo FX'!$A:$A,0)),INDEX(Base!$U:$U,MATCH($A12,Base!$A:$A,0)),IF(HE$1=INDEX('Valo FX'!$R:$R,MATCH($A12,'Valo FX'!$A:$A,0)),INDEX(Base!$V:$V,MATCH($A12,Base!$A:$A,0)),0)))</f>
        <v>11.839432</v>
      </c>
      <c r="HF12" s="21">
        <f>IF(HF$1&lt;INDEX('Valo FX'!$Q:$Q,MATCH($A12,'Valo FX'!$A:$A,0)),0,IF(HF$1&lt;INDEX('Valo FX'!$R:$R,MATCH($A12,'Valo FX'!$A:$A,0)),INDEX(Base!$U:$U,MATCH($A12,Base!$A:$A,0)),IF(HF$1=INDEX('Valo FX'!$R:$R,MATCH($A12,'Valo FX'!$A:$A,0)),INDEX(Base!$V:$V,MATCH($A12,Base!$A:$A,0)),0)))</f>
        <v>11.839432</v>
      </c>
      <c r="HG12" s="21">
        <f>IF(HG$1&lt;INDEX('Valo FX'!$Q:$Q,MATCH($A12,'Valo FX'!$A:$A,0)),0,IF(HG$1&lt;INDEX('Valo FX'!$R:$R,MATCH($A12,'Valo FX'!$A:$A,0)),INDEX(Base!$U:$U,MATCH($A12,Base!$A:$A,0)),IF(HG$1=INDEX('Valo FX'!$R:$R,MATCH($A12,'Valo FX'!$A:$A,0)),INDEX(Base!$V:$V,MATCH($A12,Base!$A:$A,0)),0)))</f>
        <v>11.839432</v>
      </c>
      <c r="HH12" s="21">
        <f>IF(HH$1&lt;INDEX('Valo FX'!$Q:$Q,MATCH($A12,'Valo FX'!$A:$A,0)),0,IF(HH$1&lt;INDEX('Valo FX'!$R:$R,MATCH($A12,'Valo FX'!$A:$A,0)),INDEX(Base!$U:$U,MATCH($A12,Base!$A:$A,0)),IF(HH$1=INDEX('Valo FX'!$R:$R,MATCH($A12,'Valo FX'!$A:$A,0)),INDEX(Base!$V:$V,MATCH($A12,Base!$A:$A,0)),0)))</f>
        <v>11.839432</v>
      </c>
      <c r="HI12" s="21">
        <f>IF(HI$1&lt;INDEX('Valo FX'!$Q:$Q,MATCH($A12,'Valo FX'!$A:$A,0)),0,IF(HI$1&lt;INDEX('Valo FX'!$R:$R,MATCH($A12,'Valo FX'!$A:$A,0)),INDEX(Base!$U:$U,MATCH($A12,Base!$A:$A,0)),IF(HI$1=INDEX('Valo FX'!$R:$R,MATCH($A12,'Valo FX'!$A:$A,0)),INDEX(Base!$V:$V,MATCH($A12,Base!$A:$A,0)),0)))</f>
        <v>11.839432</v>
      </c>
      <c r="HJ12" s="21">
        <f>IF(HJ$1&lt;INDEX('Valo FX'!$Q:$Q,MATCH($A12,'Valo FX'!$A:$A,0)),0,IF(HJ$1&lt;INDEX('Valo FX'!$R:$R,MATCH($A12,'Valo FX'!$A:$A,0)),INDEX(Base!$U:$U,MATCH($A12,Base!$A:$A,0)),IF(HJ$1=INDEX('Valo FX'!$R:$R,MATCH($A12,'Valo FX'!$A:$A,0)),INDEX(Base!$V:$V,MATCH($A12,Base!$A:$A,0)),0)))</f>
        <v>11.839432</v>
      </c>
      <c r="HK12" s="21">
        <f>IF(HK$1&lt;INDEX('Valo FX'!$Q:$Q,MATCH($A12,'Valo FX'!$A:$A,0)),0,IF(HK$1&lt;INDEX('Valo FX'!$R:$R,MATCH($A12,'Valo FX'!$A:$A,0)),INDEX(Base!$U:$U,MATCH($A12,Base!$A:$A,0)),IF(HK$1=INDEX('Valo FX'!$R:$R,MATCH($A12,'Valo FX'!$A:$A,0)),INDEX(Base!$V:$V,MATCH($A12,Base!$A:$A,0)),0)))</f>
        <v>11.839432</v>
      </c>
      <c r="HL12" s="21">
        <f>IF(HL$1&lt;INDEX('Valo FX'!$Q:$Q,MATCH($A12,'Valo FX'!$A:$A,0)),0,IF(HL$1&lt;INDEX('Valo FX'!$R:$R,MATCH($A12,'Valo FX'!$A:$A,0)),INDEX(Base!$U:$U,MATCH($A12,Base!$A:$A,0)),IF(HL$1=INDEX('Valo FX'!$R:$R,MATCH($A12,'Valo FX'!$A:$A,0)),INDEX(Base!$V:$V,MATCH($A12,Base!$A:$A,0)),0)))</f>
        <v>11.839432</v>
      </c>
      <c r="HM12" s="21">
        <f>IF(HM$1&lt;INDEX('Valo FX'!$Q:$Q,MATCH($A12,'Valo FX'!$A:$A,0)),0,IF(HM$1&lt;INDEX('Valo FX'!$R:$R,MATCH($A12,'Valo FX'!$A:$A,0)),INDEX(Base!$U:$U,MATCH($A12,Base!$A:$A,0)),IF(HM$1=INDEX('Valo FX'!$R:$R,MATCH($A12,'Valo FX'!$A:$A,0)),INDEX(Base!$V:$V,MATCH($A12,Base!$A:$A,0)),0)))</f>
        <v>11.839432</v>
      </c>
      <c r="HN12" s="21">
        <f>IF(HN$1&lt;INDEX('Valo FX'!$Q:$Q,MATCH($A12,'Valo FX'!$A:$A,0)),0,IF(HN$1&lt;INDEX('Valo FX'!$R:$R,MATCH($A12,'Valo FX'!$A:$A,0)),INDEX(Base!$U:$U,MATCH($A12,Base!$A:$A,0)),IF(HN$1=INDEX('Valo FX'!$R:$R,MATCH($A12,'Valo FX'!$A:$A,0)),INDEX(Base!$V:$V,MATCH($A12,Base!$A:$A,0)),0)))</f>
        <v>11.839432</v>
      </c>
      <c r="HO12" s="21">
        <f>IF(HO$1&lt;INDEX('Valo FX'!$Q:$Q,MATCH($A12,'Valo FX'!$A:$A,0)),0,IF(HO$1&lt;INDEX('Valo FX'!$R:$R,MATCH($A12,'Valo FX'!$A:$A,0)),INDEX(Base!$U:$U,MATCH($A12,Base!$A:$A,0)),IF(HO$1=INDEX('Valo FX'!$R:$R,MATCH($A12,'Valo FX'!$A:$A,0)),INDEX(Base!$V:$V,MATCH($A12,Base!$A:$A,0)),0)))</f>
        <v>11.839432</v>
      </c>
      <c r="HP12" s="21">
        <f>IF(HP$1&lt;INDEX('Valo FX'!$Q:$Q,MATCH($A12,'Valo FX'!$A:$A,0)),0,IF(HP$1&lt;INDEX('Valo FX'!$R:$R,MATCH($A12,'Valo FX'!$A:$A,0)),INDEX(Base!$U:$U,MATCH($A12,Base!$A:$A,0)),IF(HP$1=INDEX('Valo FX'!$R:$R,MATCH($A12,'Valo FX'!$A:$A,0)),INDEX(Base!$V:$V,MATCH($A12,Base!$A:$A,0)),0)))</f>
        <v>11.839432</v>
      </c>
      <c r="HQ12" s="21">
        <f>IF(HQ$1&lt;INDEX('Valo FX'!$Q:$Q,MATCH($A12,'Valo FX'!$A:$A,0)),0,IF(HQ$1&lt;INDEX('Valo FX'!$R:$R,MATCH($A12,'Valo FX'!$A:$A,0)),INDEX(Base!$U:$U,MATCH($A12,Base!$A:$A,0)),IF(HQ$1=INDEX('Valo FX'!$R:$R,MATCH($A12,'Valo FX'!$A:$A,0)),INDEX(Base!$V:$V,MATCH($A12,Base!$A:$A,0)),0)))</f>
        <v>11.839432</v>
      </c>
      <c r="HR12" s="21">
        <f>IF(HR$1&lt;INDEX('Valo FX'!$Q:$Q,MATCH($A12,'Valo FX'!$A:$A,0)),0,IF(HR$1&lt;INDEX('Valo FX'!$R:$R,MATCH($A12,'Valo FX'!$A:$A,0)),INDEX(Base!$U:$U,MATCH($A12,Base!$A:$A,0)),IF(HR$1=INDEX('Valo FX'!$R:$R,MATCH($A12,'Valo FX'!$A:$A,0)),INDEX(Base!$V:$V,MATCH($A12,Base!$A:$A,0)),0)))</f>
        <v>11.839432</v>
      </c>
      <c r="HS12" s="21">
        <f>IF(HS$1&lt;INDEX('Valo FX'!$Q:$Q,MATCH($A12,'Valo FX'!$A:$A,0)),0,IF(HS$1&lt;INDEX('Valo FX'!$R:$R,MATCH($A12,'Valo FX'!$A:$A,0)),INDEX(Base!$U:$U,MATCH($A12,Base!$A:$A,0)),IF(HS$1=INDEX('Valo FX'!$R:$R,MATCH($A12,'Valo FX'!$A:$A,0)),INDEX(Base!$V:$V,MATCH($A12,Base!$A:$A,0)),0)))</f>
        <v>11.839432</v>
      </c>
      <c r="HT12" s="21">
        <f>IF(HT$1&lt;INDEX('Valo FX'!$Q:$Q,MATCH($A12,'Valo FX'!$A:$A,0)),0,IF(HT$1&lt;INDEX('Valo FX'!$R:$R,MATCH($A12,'Valo FX'!$A:$A,0)),INDEX(Base!$U:$U,MATCH($A12,Base!$A:$A,0)),IF(HT$1=INDEX('Valo FX'!$R:$R,MATCH($A12,'Valo FX'!$A:$A,0)),INDEX(Base!$V:$V,MATCH($A12,Base!$A:$A,0)),0)))</f>
        <v>11.839432</v>
      </c>
      <c r="HU12" s="21">
        <f>IF(HU$1&lt;INDEX('Valo FX'!$Q:$Q,MATCH($A12,'Valo FX'!$A:$A,0)),0,IF(HU$1&lt;INDEX('Valo FX'!$R:$R,MATCH($A12,'Valo FX'!$A:$A,0)),INDEX(Base!$U:$U,MATCH($A12,Base!$A:$A,0)),IF(HU$1=INDEX('Valo FX'!$R:$R,MATCH($A12,'Valo FX'!$A:$A,0)),INDEX(Base!$V:$V,MATCH($A12,Base!$A:$A,0)),0)))</f>
        <v>11.839432</v>
      </c>
      <c r="HV12" s="21">
        <f>IF(HV$1&lt;INDEX('Valo FX'!$Q:$Q,MATCH($A12,'Valo FX'!$A:$A,0)),0,IF(HV$1&lt;INDEX('Valo FX'!$R:$R,MATCH($A12,'Valo FX'!$A:$A,0)),INDEX(Base!$U:$U,MATCH($A12,Base!$A:$A,0)),IF(HV$1=INDEX('Valo FX'!$R:$R,MATCH($A12,'Valo FX'!$A:$A,0)),INDEX(Base!$V:$V,MATCH($A12,Base!$A:$A,0)),0)))</f>
        <v>11.839432</v>
      </c>
      <c r="HW12" s="21">
        <f>IF(HW$1&lt;INDEX('Valo FX'!$Q:$Q,MATCH($A12,'Valo FX'!$A:$A,0)),0,IF(HW$1&lt;INDEX('Valo FX'!$R:$R,MATCH($A12,'Valo FX'!$A:$A,0)),INDEX(Base!$U:$U,MATCH($A12,Base!$A:$A,0)),IF(HW$1=INDEX('Valo FX'!$R:$R,MATCH($A12,'Valo FX'!$A:$A,0)),INDEX(Base!$V:$V,MATCH($A12,Base!$A:$A,0)),0)))</f>
        <v>11.839432</v>
      </c>
      <c r="HX12" s="21">
        <f>IF(HX$1&lt;INDEX('Valo FX'!$Q:$Q,MATCH($A12,'Valo FX'!$A:$A,0)),0,IF(HX$1&lt;INDEX('Valo FX'!$R:$R,MATCH($A12,'Valo FX'!$A:$A,0)),INDEX(Base!$U:$U,MATCH($A12,Base!$A:$A,0)),IF(HX$1=INDEX('Valo FX'!$R:$R,MATCH($A12,'Valo FX'!$A:$A,0)),INDEX(Base!$V:$V,MATCH($A12,Base!$A:$A,0)),0)))</f>
        <v>11.839432</v>
      </c>
      <c r="HY12" s="21">
        <f>IF(HY$1&lt;INDEX('Valo FX'!$Q:$Q,MATCH($A12,'Valo FX'!$A:$A,0)),0,IF(HY$1&lt;INDEX('Valo FX'!$R:$R,MATCH($A12,'Valo FX'!$A:$A,0)),INDEX(Base!$U:$U,MATCH($A12,Base!$A:$A,0)),IF(HY$1=INDEX('Valo FX'!$R:$R,MATCH($A12,'Valo FX'!$A:$A,0)),INDEX(Base!$V:$V,MATCH($A12,Base!$A:$A,0)),0)))</f>
        <v>11.839432</v>
      </c>
      <c r="HZ12" s="21">
        <f>IF(HZ$1&lt;INDEX('Valo FX'!$Q:$Q,MATCH($A12,'Valo FX'!$A:$A,0)),0,IF(HZ$1&lt;INDEX('Valo FX'!$R:$R,MATCH($A12,'Valo FX'!$A:$A,0)),INDEX(Base!$U:$U,MATCH($A12,Base!$A:$A,0)),IF(HZ$1=INDEX('Valo FX'!$R:$R,MATCH($A12,'Valo FX'!$A:$A,0)),INDEX(Base!$V:$V,MATCH($A12,Base!$A:$A,0)),0)))</f>
        <v>11.839432</v>
      </c>
      <c r="IA12" s="21">
        <f>IF(IA$1&lt;INDEX('Valo FX'!$Q:$Q,MATCH($A12,'Valo FX'!$A:$A,0)),0,IF(IA$1&lt;INDEX('Valo FX'!$R:$R,MATCH($A12,'Valo FX'!$A:$A,0)),INDEX(Base!$U:$U,MATCH($A12,Base!$A:$A,0)),IF(IA$1=INDEX('Valo FX'!$R:$R,MATCH($A12,'Valo FX'!$A:$A,0)),INDEX(Base!$V:$V,MATCH($A12,Base!$A:$A,0)),0)))</f>
        <v>11.839432</v>
      </c>
      <c r="IB12" s="21">
        <f>IF(IB$1&lt;INDEX('Valo FX'!$Q:$Q,MATCH($A12,'Valo FX'!$A:$A,0)),0,IF(IB$1&lt;INDEX('Valo FX'!$R:$R,MATCH($A12,'Valo FX'!$A:$A,0)),INDEX(Base!$U:$U,MATCH($A12,Base!$A:$A,0)),IF(IB$1=INDEX('Valo FX'!$R:$R,MATCH($A12,'Valo FX'!$A:$A,0)),INDEX(Base!$V:$V,MATCH($A12,Base!$A:$A,0)),0)))</f>
        <v>11.839432</v>
      </c>
      <c r="IC12" s="21">
        <f>IF(IC$1&lt;INDEX('Valo FX'!$Q:$Q,MATCH($A12,'Valo FX'!$A:$A,0)),0,IF(IC$1&lt;INDEX('Valo FX'!$R:$R,MATCH($A12,'Valo FX'!$A:$A,0)),INDEX(Base!$U:$U,MATCH($A12,Base!$A:$A,0)),IF(IC$1=INDEX('Valo FX'!$R:$R,MATCH($A12,'Valo FX'!$A:$A,0)),INDEX(Base!$V:$V,MATCH($A12,Base!$A:$A,0)),0)))</f>
        <v>11.839432</v>
      </c>
      <c r="ID12" s="21">
        <f>IF(ID$1&lt;INDEX('Valo FX'!$Q:$Q,MATCH($A12,'Valo FX'!$A:$A,0)),0,IF(ID$1&lt;INDEX('Valo FX'!$R:$R,MATCH($A12,'Valo FX'!$A:$A,0)),INDEX(Base!$U:$U,MATCH($A12,Base!$A:$A,0)),IF(ID$1=INDEX('Valo FX'!$R:$R,MATCH($A12,'Valo FX'!$A:$A,0)),INDEX(Base!$V:$V,MATCH($A12,Base!$A:$A,0)),0)))</f>
        <v>11.839432</v>
      </c>
      <c r="IE12" s="21">
        <f>IF(IE$1&lt;INDEX('Valo FX'!$Q:$Q,MATCH($A12,'Valo FX'!$A:$A,0)),0,IF(IE$1&lt;INDEX('Valo FX'!$R:$R,MATCH($A12,'Valo FX'!$A:$A,0)),INDEX(Base!$U:$U,MATCH($A12,Base!$A:$A,0)),IF(IE$1=INDEX('Valo FX'!$R:$R,MATCH($A12,'Valo FX'!$A:$A,0)),INDEX(Base!$V:$V,MATCH($A12,Base!$A:$A,0)),0)))</f>
        <v>11.839432</v>
      </c>
      <c r="IF12" s="21">
        <f>IF(IF$1&lt;INDEX('Valo FX'!$Q:$Q,MATCH($A12,'Valo FX'!$A:$A,0)),0,IF(IF$1&lt;INDEX('Valo FX'!$R:$R,MATCH($A12,'Valo FX'!$A:$A,0)),INDEX(Base!$U:$U,MATCH($A12,Base!$A:$A,0)),IF(IF$1=INDEX('Valo FX'!$R:$R,MATCH($A12,'Valo FX'!$A:$A,0)),INDEX(Base!$V:$V,MATCH($A12,Base!$A:$A,0)),0)))</f>
        <v>11.839432</v>
      </c>
      <c r="IG12" s="21">
        <f>IF(IG$1&lt;INDEX('Valo FX'!$Q:$Q,MATCH($A12,'Valo FX'!$A:$A,0)),0,IF(IG$1&lt;INDEX('Valo FX'!$R:$R,MATCH($A12,'Valo FX'!$A:$A,0)),INDEX(Base!$U:$U,MATCH($A12,Base!$A:$A,0)),IF(IG$1=INDEX('Valo FX'!$R:$R,MATCH($A12,'Valo FX'!$A:$A,0)),INDEX(Base!$V:$V,MATCH($A12,Base!$A:$A,0)),0)))</f>
        <v>11.839432</v>
      </c>
      <c r="IH12" s="21">
        <f>IF(IH$1&lt;INDEX('Valo FX'!$Q:$Q,MATCH($A12,'Valo FX'!$A:$A,0)),0,IF(IH$1&lt;INDEX('Valo FX'!$R:$R,MATCH($A12,'Valo FX'!$A:$A,0)),INDEX(Base!$U:$U,MATCH($A12,Base!$A:$A,0)),IF(IH$1=INDEX('Valo FX'!$R:$R,MATCH($A12,'Valo FX'!$A:$A,0)),INDEX(Base!$V:$V,MATCH($A12,Base!$A:$A,0)),0)))</f>
        <v>11.839432</v>
      </c>
      <c r="II12" s="21">
        <f>IF(II$1&lt;INDEX('Valo FX'!$Q:$Q,MATCH($A12,'Valo FX'!$A:$A,0)),0,IF(II$1&lt;INDEX('Valo FX'!$R:$R,MATCH($A12,'Valo FX'!$A:$A,0)),INDEX(Base!$U:$U,MATCH($A12,Base!$A:$A,0)),IF(II$1=INDEX('Valo FX'!$R:$R,MATCH($A12,'Valo FX'!$A:$A,0)),INDEX(Base!$V:$V,MATCH($A12,Base!$A:$A,0)),0)))</f>
        <v>11.839432</v>
      </c>
      <c r="IJ12" s="21">
        <f>IF(IJ$1&lt;INDEX('Valo FX'!$Q:$Q,MATCH($A12,'Valo FX'!$A:$A,0)),0,IF(IJ$1&lt;INDEX('Valo FX'!$R:$R,MATCH($A12,'Valo FX'!$A:$A,0)),INDEX(Base!$U:$U,MATCH($A12,Base!$A:$A,0)),IF(IJ$1=INDEX('Valo FX'!$R:$R,MATCH($A12,'Valo FX'!$A:$A,0)),INDEX(Base!$V:$V,MATCH($A12,Base!$A:$A,0)),0)))</f>
        <v>11.839432</v>
      </c>
      <c r="IK12" s="21">
        <f>IF(IK$1&lt;INDEX('Valo FX'!$Q:$Q,MATCH($A12,'Valo FX'!$A:$A,0)),0,IF(IK$1&lt;INDEX('Valo FX'!$R:$R,MATCH($A12,'Valo FX'!$A:$A,0)),INDEX(Base!$U:$U,MATCH($A12,Base!$A:$A,0)),IF(IK$1=INDEX('Valo FX'!$R:$R,MATCH($A12,'Valo FX'!$A:$A,0)),INDEX(Base!$V:$V,MATCH($A12,Base!$A:$A,0)),0)))</f>
        <v>11.839432</v>
      </c>
      <c r="IL12" s="21">
        <f>IF(IL$1&lt;INDEX('Valo FX'!$Q:$Q,MATCH($A12,'Valo FX'!$A:$A,0)),0,IF(IL$1&lt;INDEX('Valo FX'!$R:$R,MATCH($A12,'Valo FX'!$A:$A,0)),INDEX(Base!$U:$U,MATCH($A12,Base!$A:$A,0)),IF(IL$1=INDEX('Valo FX'!$R:$R,MATCH($A12,'Valo FX'!$A:$A,0)),INDEX(Base!$V:$V,MATCH($A12,Base!$A:$A,0)),0)))</f>
        <v>11.839432</v>
      </c>
      <c r="IM12" s="21">
        <f>IF(IM$1&lt;INDEX('Valo FX'!$Q:$Q,MATCH($A12,'Valo FX'!$A:$A,0)),0,IF(IM$1&lt;INDEX('Valo FX'!$R:$R,MATCH($A12,'Valo FX'!$A:$A,0)),INDEX(Base!$U:$U,MATCH($A12,Base!$A:$A,0)),IF(IM$1=INDEX('Valo FX'!$R:$R,MATCH($A12,'Valo FX'!$A:$A,0)),INDEX(Base!$V:$V,MATCH($A12,Base!$A:$A,0)),0)))</f>
        <v>11.839432</v>
      </c>
      <c r="IN12" s="21">
        <f>IF(IN$1&lt;INDEX('Valo FX'!$Q:$Q,MATCH($A12,'Valo FX'!$A:$A,0)),0,IF(IN$1&lt;INDEX('Valo FX'!$R:$R,MATCH($A12,'Valo FX'!$A:$A,0)),INDEX(Base!$U:$U,MATCH($A12,Base!$A:$A,0)),IF(IN$1=INDEX('Valo FX'!$R:$R,MATCH($A12,'Valo FX'!$A:$A,0)),INDEX(Base!$V:$V,MATCH($A12,Base!$A:$A,0)),0)))</f>
        <v>11.839432</v>
      </c>
      <c r="IO12" s="21">
        <f>IF(IO$1&lt;INDEX('Valo FX'!$Q:$Q,MATCH($A12,'Valo FX'!$A:$A,0)),0,IF(IO$1&lt;INDEX('Valo FX'!$R:$R,MATCH($A12,'Valo FX'!$A:$A,0)),INDEX(Base!$U:$U,MATCH($A12,Base!$A:$A,0)),IF(IO$1=INDEX('Valo FX'!$R:$R,MATCH($A12,'Valo FX'!$A:$A,0)),INDEX(Base!$V:$V,MATCH($A12,Base!$A:$A,0)),0)))</f>
        <v>11.839432</v>
      </c>
      <c r="IP12" s="21">
        <f>IF(IP$1&lt;INDEX('Valo FX'!$Q:$Q,MATCH($A12,'Valo FX'!$A:$A,0)),0,IF(IP$1&lt;INDEX('Valo FX'!$R:$R,MATCH($A12,'Valo FX'!$A:$A,0)),INDEX(Base!$U:$U,MATCH($A12,Base!$A:$A,0)),IF(IP$1=INDEX('Valo FX'!$R:$R,MATCH($A12,'Valo FX'!$A:$A,0)),INDEX(Base!$V:$V,MATCH($A12,Base!$A:$A,0)),0)))</f>
        <v>11.839432</v>
      </c>
      <c r="IQ12" s="21">
        <f>IF(IQ$1&lt;INDEX('Valo FX'!$Q:$Q,MATCH($A12,'Valo FX'!$A:$A,0)),0,IF(IQ$1&lt;INDEX('Valo FX'!$R:$R,MATCH($A12,'Valo FX'!$A:$A,0)),INDEX(Base!$U:$U,MATCH($A12,Base!$A:$A,0)),IF(IQ$1=INDEX('Valo FX'!$R:$R,MATCH($A12,'Valo FX'!$A:$A,0)),INDEX(Base!$V:$V,MATCH($A12,Base!$A:$A,0)),0)))</f>
        <v>11.839432</v>
      </c>
      <c r="IR12" s="21">
        <f>IF(IR$1&lt;INDEX('Valo FX'!$Q:$Q,MATCH($A12,'Valo FX'!$A:$A,0)),0,IF(IR$1&lt;INDEX('Valo FX'!$R:$R,MATCH($A12,'Valo FX'!$A:$A,0)),INDEX(Base!$U:$U,MATCH($A12,Base!$A:$A,0)),IF(IR$1=INDEX('Valo FX'!$R:$R,MATCH($A12,'Valo FX'!$A:$A,0)),INDEX(Base!$V:$V,MATCH($A12,Base!$A:$A,0)),0)))</f>
        <v>11.839432</v>
      </c>
      <c r="IS12" s="21">
        <f>IF(IS$1&lt;INDEX('Valo FX'!$Q:$Q,MATCH($A12,'Valo FX'!$A:$A,0)),0,IF(IS$1&lt;INDEX('Valo FX'!$R:$R,MATCH($A12,'Valo FX'!$A:$A,0)),INDEX(Base!$U:$U,MATCH($A12,Base!$A:$A,0)),IF(IS$1=INDEX('Valo FX'!$R:$R,MATCH($A12,'Valo FX'!$A:$A,0)),INDEX(Base!$V:$V,MATCH($A12,Base!$A:$A,0)),0)))</f>
        <v>11.839432</v>
      </c>
      <c r="IT12" s="21">
        <f>IF(IT$1&lt;INDEX('Valo FX'!$Q:$Q,MATCH($A12,'Valo FX'!$A:$A,0)),0,IF(IT$1&lt;INDEX('Valo FX'!$R:$R,MATCH($A12,'Valo FX'!$A:$A,0)),INDEX(Base!$U:$U,MATCH($A12,Base!$A:$A,0)),IF(IT$1=INDEX('Valo FX'!$R:$R,MATCH($A12,'Valo FX'!$A:$A,0)),INDEX(Base!$V:$V,MATCH($A12,Base!$A:$A,0)),0)))</f>
        <v>11.839432</v>
      </c>
      <c r="IU12" s="21">
        <f>IF(IU$1&lt;INDEX('Valo FX'!$Q:$Q,MATCH($A12,'Valo FX'!$A:$A,0)),0,IF(IU$1&lt;INDEX('Valo FX'!$R:$R,MATCH($A12,'Valo FX'!$A:$A,0)),INDEX(Base!$U:$U,MATCH($A12,Base!$A:$A,0)),IF(IU$1=INDEX('Valo FX'!$R:$R,MATCH($A12,'Valo FX'!$A:$A,0)),INDEX(Base!$V:$V,MATCH($A12,Base!$A:$A,0)),0)))</f>
        <v>11.839432</v>
      </c>
      <c r="IV12" s="21">
        <f>IF(IV$1&lt;INDEX('Valo FX'!$Q:$Q,MATCH($A12,'Valo FX'!$A:$A,0)),0,IF(IV$1&lt;INDEX('Valo FX'!$R:$R,MATCH($A12,'Valo FX'!$A:$A,0)),INDEX(Base!$U:$U,MATCH($A12,Base!$A:$A,0)),IF(IV$1=INDEX('Valo FX'!$R:$R,MATCH($A12,'Valo FX'!$A:$A,0)),INDEX(Base!$V:$V,MATCH($A12,Base!$A:$A,0)),0)))</f>
        <v>11.839432</v>
      </c>
      <c r="IW12" s="21">
        <f>IF(IW$1&lt;INDEX('Valo FX'!$Q:$Q,MATCH($A12,'Valo FX'!$A:$A,0)),0,IF(IW$1&lt;INDEX('Valo FX'!$R:$R,MATCH($A12,'Valo FX'!$A:$A,0)),INDEX(Base!$U:$U,MATCH($A12,Base!$A:$A,0)),IF(IW$1=INDEX('Valo FX'!$R:$R,MATCH($A12,'Valo FX'!$A:$A,0)),INDEX(Base!$V:$V,MATCH($A12,Base!$A:$A,0)),0)))</f>
        <v>11.839432</v>
      </c>
      <c r="IX12" s="21">
        <f>IF(IX$1&lt;INDEX('Valo FX'!$Q:$Q,MATCH($A12,'Valo FX'!$A:$A,0)),0,IF(IX$1&lt;INDEX('Valo FX'!$R:$R,MATCH($A12,'Valo FX'!$A:$A,0)),INDEX(Base!$U:$U,MATCH($A12,Base!$A:$A,0)),IF(IX$1=INDEX('Valo FX'!$R:$R,MATCH($A12,'Valo FX'!$A:$A,0)),INDEX(Base!$V:$V,MATCH($A12,Base!$A:$A,0)),0)))</f>
        <v>11.839432</v>
      </c>
      <c r="IY12" s="21">
        <f>IF(IY$1&lt;INDEX('Valo FX'!$Q:$Q,MATCH($A12,'Valo FX'!$A:$A,0)),0,IF(IY$1&lt;INDEX('Valo FX'!$R:$R,MATCH($A12,'Valo FX'!$A:$A,0)),INDEX(Base!$U:$U,MATCH($A12,Base!$A:$A,0)),IF(IY$1=INDEX('Valo FX'!$R:$R,MATCH($A12,'Valo FX'!$A:$A,0)),INDEX(Base!$V:$V,MATCH($A12,Base!$A:$A,0)),0)))</f>
        <v>11.839432</v>
      </c>
      <c r="IZ12" s="21">
        <f>IF(IZ$1&lt;INDEX('Valo FX'!$Q:$Q,MATCH($A12,'Valo FX'!$A:$A,0)),0,IF(IZ$1&lt;INDEX('Valo FX'!$R:$R,MATCH($A12,'Valo FX'!$A:$A,0)),INDEX(Base!$U:$U,MATCH($A12,Base!$A:$A,0)),IF(IZ$1=INDEX('Valo FX'!$R:$R,MATCH($A12,'Valo FX'!$A:$A,0)),INDEX(Base!$V:$V,MATCH($A12,Base!$A:$A,0)),0)))</f>
        <v>11.839432</v>
      </c>
      <c r="JA12" s="21">
        <f>IF(JA$1&lt;INDEX('Valo FX'!$Q:$Q,MATCH($A12,'Valo FX'!$A:$A,0)),0,IF(JA$1&lt;INDEX('Valo FX'!$R:$R,MATCH($A12,'Valo FX'!$A:$A,0)),INDEX(Base!$U:$U,MATCH($A12,Base!$A:$A,0)),IF(JA$1=INDEX('Valo FX'!$R:$R,MATCH($A12,'Valo FX'!$A:$A,0)),INDEX(Base!$V:$V,MATCH($A12,Base!$A:$A,0)),0)))</f>
        <v>11.839432</v>
      </c>
      <c r="JB12" s="21">
        <f>IF(JB$1&lt;INDEX('Valo FX'!$Q:$Q,MATCH($A12,'Valo FX'!$A:$A,0)),0,IF(JB$1&lt;INDEX('Valo FX'!$R:$R,MATCH($A12,'Valo FX'!$A:$A,0)),INDEX(Base!$U:$U,MATCH($A12,Base!$A:$A,0)),IF(JB$1=INDEX('Valo FX'!$R:$R,MATCH($A12,'Valo FX'!$A:$A,0)),INDEX(Base!$V:$V,MATCH($A12,Base!$A:$A,0)),0)))</f>
        <v>11.839432</v>
      </c>
      <c r="JC12" s="21">
        <f>IF(JC$1&lt;INDEX('Valo FX'!$Q:$Q,MATCH($A12,'Valo FX'!$A:$A,0)),0,IF(JC$1&lt;INDEX('Valo FX'!$R:$R,MATCH($A12,'Valo FX'!$A:$A,0)),INDEX(Base!$U:$U,MATCH($A12,Base!$A:$A,0)),IF(JC$1=INDEX('Valo FX'!$R:$R,MATCH($A12,'Valo FX'!$A:$A,0)),INDEX(Base!$V:$V,MATCH($A12,Base!$A:$A,0)),0)))</f>
        <v>11.839432</v>
      </c>
      <c r="JD12" s="21">
        <f>IF(JD$1&lt;INDEX('Valo FX'!$Q:$Q,MATCH($A12,'Valo FX'!$A:$A,0)),0,IF(JD$1&lt;INDEX('Valo FX'!$R:$R,MATCH($A12,'Valo FX'!$A:$A,0)),INDEX(Base!$U:$U,MATCH($A12,Base!$A:$A,0)),IF(JD$1=INDEX('Valo FX'!$R:$R,MATCH($A12,'Valo FX'!$A:$A,0)),INDEX(Base!$V:$V,MATCH($A12,Base!$A:$A,0)),0)))</f>
        <v>11.839432</v>
      </c>
      <c r="JE12" s="21">
        <f>IF(JE$1&lt;INDEX('Valo FX'!$Q:$Q,MATCH($A12,'Valo FX'!$A:$A,0)),0,IF(JE$1&lt;INDEX('Valo FX'!$R:$R,MATCH($A12,'Valo FX'!$A:$A,0)),INDEX(Base!$U:$U,MATCH($A12,Base!$A:$A,0)),IF(JE$1=INDEX('Valo FX'!$R:$R,MATCH($A12,'Valo FX'!$A:$A,0)),INDEX(Base!$V:$V,MATCH($A12,Base!$A:$A,0)),0)))</f>
        <v>11.839432</v>
      </c>
      <c r="JF12" s="21">
        <f>IF(JF$1&lt;INDEX('Valo FX'!$Q:$Q,MATCH($A12,'Valo FX'!$A:$A,0)),0,IF(JF$1&lt;INDEX('Valo FX'!$R:$R,MATCH($A12,'Valo FX'!$A:$A,0)),INDEX(Base!$U:$U,MATCH($A12,Base!$A:$A,0)),IF(JF$1=INDEX('Valo FX'!$R:$R,MATCH($A12,'Valo FX'!$A:$A,0)),INDEX(Base!$V:$V,MATCH($A12,Base!$A:$A,0)),0)))</f>
        <v>11.839432</v>
      </c>
      <c r="JG12" s="21">
        <f>IF(JG$1&lt;INDEX('Valo FX'!$Q:$Q,MATCH($A12,'Valo FX'!$A:$A,0)),0,IF(JG$1&lt;INDEX('Valo FX'!$R:$R,MATCH($A12,'Valo FX'!$A:$A,0)),INDEX(Base!$U:$U,MATCH($A12,Base!$A:$A,0)),IF(JG$1=INDEX('Valo FX'!$R:$R,MATCH($A12,'Valo FX'!$A:$A,0)),INDEX(Base!$V:$V,MATCH($A12,Base!$A:$A,0)),0)))</f>
        <v>11.839432</v>
      </c>
      <c r="JH12" s="21">
        <f>IF(JH$1&lt;INDEX('Valo FX'!$Q:$Q,MATCH($A12,'Valo FX'!$A:$A,0)),0,IF(JH$1&lt;INDEX('Valo FX'!$R:$R,MATCH($A12,'Valo FX'!$A:$A,0)),INDEX(Base!$U:$U,MATCH($A12,Base!$A:$A,0)),IF(JH$1=INDEX('Valo FX'!$R:$R,MATCH($A12,'Valo FX'!$A:$A,0)),INDEX(Base!$V:$V,MATCH($A12,Base!$A:$A,0)),0)))</f>
        <v>11.839432</v>
      </c>
      <c r="JI12" s="21">
        <f>IF(JI$1&lt;INDEX('Valo FX'!$Q:$Q,MATCH($A12,'Valo FX'!$A:$A,0)),0,IF(JI$1&lt;INDEX('Valo FX'!$R:$R,MATCH($A12,'Valo FX'!$A:$A,0)),INDEX(Base!$U:$U,MATCH($A12,Base!$A:$A,0)),IF(JI$1=INDEX('Valo FX'!$R:$R,MATCH($A12,'Valo FX'!$A:$A,0)),INDEX(Base!$V:$V,MATCH($A12,Base!$A:$A,0)),0)))</f>
        <v>11.839432</v>
      </c>
      <c r="JJ12" s="21">
        <f>IF(JJ$1&lt;INDEX('Valo FX'!$Q:$Q,MATCH($A12,'Valo FX'!$A:$A,0)),0,IF(JJ$1&lt;INDEX('Valo FX'!$R:$R,MATCH($A12,'Valo FX'!$A:$A,0)),INDEX(Base!$U:$U,MATCH($A12,Base!$A:$A,0)),IF(JJ$1=INDEX('Valo FX'!$R:$R,MATCH($A12,'Valo FX'!$A:$A,0)),INDEX(Base!$V:$V,MATCH($A12,Base!$A:$A,0)),0)))</f>
        <v>11.839432</v>
      </c>
      <c r="JK12" s="21">
        <f>IF(JK$1&lt;INDEX('Valo FX'!$Q:$Q,MATCH($A12,'Valo FX'!$A:$A,0)),0,IF(JK$1&lt;INDEX('Valo FX'!$R:$R,MATCH($A12,'Valo FX'!$A:$A,0)),INDEX(Base!$U:$U,MATCH($A12,Base!$A:$A,0)),IF(JK$1=INDEX('Valo FX'!$R:$R,MATCH($A12,'Valo FX'!$A:$A,0)),INDEX(Base!$V:$V,MATCH($A12,Base!$A:$A,0)),0)))</f>
        <v>11.839432</v>
      </c>
      <c r="JL12" s="21">
        <f>IF(JL$1&lt;INDEX('Valo FX'!$Q:$Q,MATCH($A12,'Valo FX'!$A:$A,0)),0,IF(JL$1&lt;INDEX('Valo FX'!$R:$R,MATCH($A12,'Valo FX'!$A:$A,0)),INDEX(Base!$U:$U,MATCH($A12,Base!$A:$A,0)),IF(JL$1=INDEX('Valo FX'!$R:$R,MATCH($A12,'Valo FX'!$A:$A,0)),INDEX(Base!$V:$V,MATCH($A12,Base!$A:$A,0)),0)))</f>
        <v>11.839432</v>
      </c>
      <c r="JM12" s="21">
        <f>IF(JM$1&lt;INDEX('Valo FX'!$Q:$Q,MATCH($A12,'Valo FX'!$A:$A,0)),0,IF(JM$1&lt;INDEX('Valo FX'!$R:$R,MATCH($A12,'Valo FX'!$A:$A,0)),INDEX(Base!$U:$U,MATCH($A12,Base!$A:$A,0)),IF(JM$1=INDEX('Valo FX'!$R:$R,MATCH($A12,'Valo FX'!$A:$A,0)),INDEX(Base!$V:$V,MATCH($A12,Base!$A:$A,0)),0)))</f>
        <v>11.839432</v>
      </c>
      <c r="JN12" s="21">
        <f>IF(JN$1&lt;INDEX('Valo FX'!$Q:$Q,MATCH($A12,'Valo FX'!$A:$A,0)),0,IF(JN$1&lt;INDEX('Valo FX'!$R:$R,MATCH($A12,'Valo FX'!$A:$A,0)),INDEX(Base!$U:$U,MATCH($A12,Base!$A:$A,0)),IF(JN$1=INDEX('Valo FX'!$R:$R,MATCH($A12,'Valo FX'!$A:$A,0)),INDEX(Base!$V:$V,MATCH($A12,Base!$A:$A,0)),0)))</f>
        <v>11.839432</v>
      </c>
      <c r="JO12" s="21">
        <f>IF(JO$1&lt;INDEX('Valo FX'!$Q:$Q,MATCH($A12,'Valo FX'!$A:$A,0)),0,IF(JO$1&lt;INDEX('Valo FX'!$R:$R,MATCH($A12,'Valo FX'!$A:$A,0)),INDEX(Base!$U:$U,MATCH($A12,Base!$A:$A,0)),IF(JO$1=INDEX('Valo FX'!$R:$R,MATCH($A12,'Valo FX'!$A:$A,0)),INDEX(Base!$V:$V,MATCH($A12,Base!$A:$A,0)),0)))</f>
        <v>11.839432</v>
      </c>
      <c r="JP12" s="21">
        <f>IF(JP$1&lt;INDEX('Valo FX'!$Q:$Q,MATCH($A12,'Valo FX'!$A:$A,0)),0,IF(JP$1&lt;INDEX('Valo FX'!$R:$R,MATCH($A12,'Valo FX'!$A:$A,0)),INDEX(Base!$U:$U,MATCH($A12,Base!$A:$A,0)),IF(JP$1=INDEX('Valo FX'!$R:$R,MATCH($A12,'Valo FX'!$A:$A,0)),INDEX(Base!$V:$V,MATCH($A12,Base!$A:$A,0)),0)))</f>
        <v>11.839432</v>
      </c>
      <c r="JQ12" s="21">
        <f>IF(JQ$1&lt;INDEX('Valo FX'!$Q:$Q,MATCH($A12,'Valo FX'!$A:$A,0)),0,IF(JQ$1&lt;INDEX('Valo FX'!$R:$R,MATCH($A12,'Valo FX'!$A:$A,0)),INDEX(Base!$U:$U,MATCH($A12,Base!$A:$A,0)),IF(JQ$1=INDEX('Valo FX'!$R:$R,MATCH($A12,'Valo FX'!$A:$A,0)),INDEX(Base!$V:$V,MATCH($A12,Base!$A:$A,0)),0)))</f>
        <v>11.839432</v>
      </c>
      <c r="JR12" s="21">
        <f>IF(JR$1&lt;INDEX('Valo FX'!$Q:$Q,MATCH($A12,'Valo FX'!$A:$A,0)),0,IF(JR$1&lt;INDEX('Valo FX'!$R:$R,MATCH($A12,'Valo FX'!$A:$A,0)),INDEX(Base!$U:$U,MATCH($A12,Base!$A:$A,0)),IF(JR$1=INDEX('Valo FX'!$R:$R,MATCH($A12,'Valo FX'!$A:$A,0)),INDEX(Base!$V:$V,MATCH($A12,Base!$A:$A,0)),0)))</f>
        <v>11.839432</v>
      </c>
      <c r="JS12" s="21">
        <f>IF(JS$1&lt;INDEX('Valo FX'!$Q:$Q,MATCH($A12,'Valo FX'!$A:$A,0)),0,IF(JS$1&lt;INDEX('Valo FX'!$R:$R,MATCH($A12,'Valo FX'!$A:$A,0)),INDEX(Base!$U:$U,MATCH($A12,Base!$A:$A,0)),IF(JS$1=INDEX('Valo FX'!$R:$R,MATCH($A12,'Valo FX'!$A:$A,0)),INDEX(Base!$V:$V,MATCH($A12,Base!$A:$A,0)),0)))</f>
        <v>11.839432</v>
      </c>
      <c r="JT12" s="21">
        <f>IF(JT$1&lt;INDEX('Valo FX'!$Q:$Q,MATCH($A12,'Valo FX'!$A:$A,0)),0,IF(JT$1&lt;INDEX('Valo FX'!$R:$R,MATCH($A12,'Valo FX'!$A:$A,0)),INDEX(Base!$U:$U,MATCH($A12,Base!$A:$A,0)),IF(JT$1=INDEX('Valo FX'!$R:$R,MATCH($A12,'Valo FX'!$A:$A,0)),INDEX(Base!$V:$V,MATCH($A12,Base!$A:$A,0)),0)))</f>
        <v>11.839432</v>
      </c>
      <c r="JU12" s="21">
        <f>IF(JU$1&lt;INDEX('Valo FX'!$Q:$Q,MATCH($A12,'Valo FX'!$A:$A,0)),0,IF(JU$1&lt;INDEX('Valo FX'!$R:$R,MATCH($A12,'Valo FX'!$A:$A,0)),INDEX(Base!$U:$U,MATCH($A12,Base!$A:$A,0)),IF(JU$1=INDEX('Valo FX'!$R:$R,MATCH($A12,'Valo FX'!$A:$A,0)),INDEX(Base!$V:$V,MATCH($A12,Base!$A:$A,0)),0)))</f>
        <v>11.839432</v>
      </c>
      <c r="JV12" s="21">
        <f>IF(JV$1&lt;INDEX('Valo FX'!$Q:$Q,MATCH($A12,'Valo FX'!$A:$A,0)),0,IF(JV$1&lt;INDEX('Valo FX'!$R:$R,MATCH($A12,'Valo FX'!$A:$A,0)),INDEX(Base!$U:$U,MATCH($A12,Base!$A:$A,0)),IF(JV$1=INDEX('Valo FX'!$R:$R,MATCH($A12,'Valo FX'!$A:$A,0)),INDEX(Base!$V:$V,MATCH($A12,Base!$A:$A,0)),0)))</f>
        <v>11.839432</v>
      </c>
      <c r="JW12" s="21">
        <f>IF(JW$1&lt;INDEX('Valo FX'!$Q:$Q,MATCH($A12,'Valo FX'!$A:$A,0)),0,IF(JW$1&lt;INDEX('Valo FX'!$R:$R,MATCH($A12,'Valo FX'!$A:$A,0)),INDEX(Base!$U:$U,MATCH($A12,Base!$A:$A,0)),IF(JW$1=INDEX('Valo FX'!$R:$R,MATCH($A12,'Valo FX'!$A:$A,0)),INDEX(Base!$V:$V,MATCH($A12,Base!$A:$A,0)),0)))</f>
        <v>11.839432</v>
      </c>
      <c r="JX12" s="21">
        <f>IF(JX$1&lt;INDEX('Valo FX'!$Q:$Q,MATCH($A12,'Valo FX'!$A:$A,0)),0,IF(JX$1&lt;INDEX('Valo FX'!$R:$R,MATCH($A12,'Valo FX'!$A:$A,0)),INDEX(Base!$U:$U,MATCH($A12,Base!$A:$A,0)),IF(JX$1=INDEX('Valo FX'!$R:$R,MATCH($A12,'Valo FX'!$A:$A,0)),INDEX(Base!$V:$V,MATCH($A12,Base!$A:$A,0)),0)))</f>
        <v>11.839432</v>
      </c>
      <c r="JY12" s="21">
        <f>IF(JY$1&lt;INDEX('Valo FX'!$Q:$Q,MATCH($A12,'Valo FX'!$A:$A,0)),0,IF(JY$1&lt;INDEX('Valo FX'!$R:$R,MATCH($A12,'Valo FX'!$A:$A,0)),INDEX(Base!$U:$U,MATCH($A12,Base!$A:$A,0)),IF(JY$1=INDEX('Valo FX'!$R:$R,MATCH($A12,'Valo FX'!$A:$A,0)),INDEX(Base!$V:$V,MATCH($A12,Base!$A:$A,0)),0)))</f>
        <v>11.839432</v>
      </c>
      <c r="JZ12" s="21">
        <f>IF(JZ$1&lt;INDEX('Valo FX'!$Q:$Q,MATCH($A12,'Valo FX'!$A:$A,0)),0,IF(JZ$1&lt;INDEX('Valo FX'!$R:$R,MATCH($A12,'Valo FX'!$A:$A,0)),INDEX(Base!$U:$U,MATCH($A12,Base!$A:$A,0)),IF(JZ$1=INDEX('Valo FX'!$R:$R,MATCH($A12,'Valo FX'!$A:$A,0)),INDEX(Base!$V:$V,MATCH($A12,Base!$A:$A,0)),0)))</f>
        <v>11.839432</v>
      </c>
      <c r="KA12" s="21">
        <f>IF(KA$1&lt;INDEX('Valo FX'!$Q:$Q,MATCH($A12,'Valo FX'!$A:$A,0)),0,IF(KA$1&lt;INDEX('Valo FX'!$R:$R,MATCH($A12,'Valo FX'!$A:$A,0)),INDEX(Base!$U:$U,MATCH($A12,Base!$A:$A,0)),IF(KA$1=INDEX('Valo FX'!$R:$R,MATCH($A12,'Valo FX'!$A:$A,0)),INDEX(Base!$V:$V,MATCH($A12,Base!$A:$A,0)),0)))</f>
        <v>11.839432</v>
      </c>
      <c r="KB12" s="21">
        <f>IF(KB$1&lt;INDEX('Valo FX'!$Q:$Q,MATCH($A12,'Valo FX'!$A:$A,0)),0,IF(KB$1&lt;INDEX('Valo FX'!$R:$R,MATCH($A12,'Valo FX'!$A:$A,0)),INDEX(Base!$U:$U,MATCH($A12,Base!$A:$A,0)),IF(KB$1=INDEX('Valo FX'!$R:$R,MATCH($A12,'Valo FX'!$A:$A,0)),INDEX(Base!$V:$V,MATCH($A12,Base!$A:$A,0)),0)))</f>
        <v>11.839432</v>
      </c>
      <c r="KC12" s="21">
        <f>IF(KC$1&lt;INDEX('Valo FX'!$Q:$Q,MATCH($A12,'Valo FX'!$A:$A,0)),0,IF(KC$1&lt;INDEX('Valo FX'!$R:$R,MATCH($A12,'Valo FX'!$A:$A,0)),INDEX(Base!$U:$U,MATCH($A12,Base!$A:$A,0)),IF(KC$1=INDEX('Valo FX'!$R:$R,MATCH($A12,'Valo FX'!$A:$A,0)),INDEX(Base!$V:$V,MATCH($A12,Base!$A:$A,0)),0)))</f>
        <v>11.839432</v>
      </c>
      <c r="KD12" s="21">
        <f>IF(KD$1&lt;INDEX('Valo FX'!$Q:$Q,MATCH($A12,'Valo FX'!$A:$A,0)),0,IF(KD$1&lt;INDEX('Valo FX'!$R:$R,MATCH($A12,'Valo FX'!$A:$A,0)),INDEX(Base!$U:$U,MATCH($A12,Base!$A:$A,0)),IF(KD$1=INDEX('Valo FX'!$R:$R,MATCH($A12,'Valo FX'!$A:$A,0)),INDEX(Base!$V:$V,MATCH($A12,Base!$A:$A,0)),0)))</f>
        <v>11.839432</v>
      </c>
      <c r="KE12" s="21">
        <f>IF(KE$1&lt;INDEX('Valo FX'!$Q:$Q,MATCH($A12,'Valo FX'!$A:$A,0)),0,IF(KE$1&lt;INDEX('Valo FX'!$R:$R,MATCH($A12,'Valo FX'!$A:$A,0)),INDEX(Base!$U:$U,MATCH($A12,Base!$A:$A,0)),IF(KE$1=INDEX('Valo FX'!$R:$R,MATCH($A12,'Valo FX'!$A:$A,0)),INDEX(Base!$V:$V,MATCH($A12,Base!$A:$A,0)),0)))</f>
        <v>11.839432</v>
      </c>
      <c r="KF12" s="21">
        <f>IF(KF$1&lt;INDEX('Valo FX'!$Q:$Q,MATCH($A12,'Valo FX'!$A:$A,0)),0,IF(KF$1&lt;INDEX('Valo FX'!$R:$R,MATCH($A12,'Valo FX'!$A:$A,0)),INDEX(Base!$U:$U,MATCH($A12,Base!$A:$A,0)),IF(KF$1=INDEX('Valo FX'!$R:$R,MATCH($A12,'Valo FX'!$A:$A,0)),INDEX(Base!$V:$V,MATCH($A12,Base!$A:$A,0)),0)))</f>
        <v>11.839432</v>
      </c>
      <c r="KG12" s="21">
        <f>IF(KG$1&lt;INDEX('Valo FX'!$Q:$Q,MATCH($A12,'Valo FX'!$A:$A,0)),0,IF(KG$1&lt;INDEX('Valo FX'!$R:$R,MATCH($A12,'Valo FX'!$A:$A,0)),INDEX(Base!$U:$U,MATCH($A12,Base!$A:$A,0)),IF(KG$1=INDEX('Valo FX'!$R:$R,MATCH($A12,'Valo FX'!$A:$A,0)),INDEX(Base!$V:$V,MATCH($A12,Base!$A:$A,0)),0)))</f>
        <v>11.839432</v>
      </c>
      <c r="KH12" s="21">
        <f>IF(KH$1&lt;INDEX('Valo FX'!$Q:$Q,MATCH($A12,'Valo FX'!$A:$A,0)),0,IF(KH$1&lt;INDEX('Valo FX'!$R:$R,MATCH($A12,'Valo FX'!$A:$A,0)),INDEX(Base!$U:$U,MATCH($A12,Base!$A:$A,0)),IF(KH$1=INDEX('Valo FX'!$R:$R,MATCH($A12,'Valo FX'!$A:$A,0)),INDEX(Base!$V:$V,MATCH($A12,Base!$A:$A,0)),0)))</f>
        <v>11.839432</v>
      </c>
      <c r="KI12" s="21">
        <f>IF(KI$1&lt;INDEX('Valo FX'!$Q:$Q,MATCH($A12,'Valo FX'!$A:$A,0)),0,IF(KI$1&lt;INDEX('Valo FX'!$R:$R,MATCH($A12,'Valo FX'!$A:$A,0)),INDEX(Base!$U:$U,MATCH($A12,Base!$A:$A,0)),IF(KI$1=INDEX('Valo FX'!$R:$R,MATCH($A12,'Valo FX'!$A:$A,0)),INDEX(Base!$V:$V,MATCH($A12,Base!$A:$A,0)),0)))</f>
        <v>11.839432</v>
      </c>
      <c r="KJ12" s="21">
        <f>IF(KJ$1&lt;INDEX('Valo FX'!$Q:$Q,MATCH($A12,'Valo FX'!$A:$A,0)),0,IF(KJ$1&lt;INDEX('Valo FX'!$R:$R,MATCH($A12,'Valo FX'!$A:$A,0)),INDEX(Base!$U:$U,MATCH($A12,Base!$A:$A,0)),IF(KJ$1=INDEX('Valo FX'!$R:$R,MATCH($A12,'Valo FX'!$A:$A,0)),INDEX(Base!$V:$V,MATCH($A12,Base!$A:$A,0)),0)))</f>
        <v>11.839432</v>
      </c>
      <c r="KK12" s="21">
        <f>IF(KK$1&lt;INDEX('Valo FX'!$Q:$Q,MATCH($A12,'Valo FX'!$A:$A,0)),0,IF(KK$1&lt;INDEX('Valo FX'!$R:$R,MATCH($A12,'Valo FX'!$A:$A,0)),INDEX(Base!$U:$U,MATCH($A12,Base!$A:$A,0)),IF(KK$1=INDEX('Valo FX'!$R:$R,MATCH($A12,'Valo FX'!$A:$A,0)),INDEX(Base!$V:$V,MATCH($A12,Base!$A:$A,0)),0)))</f>
        <v>11.839432</v>
      </c>
      <c r="KL12" s="21">
        <f>IF(KL$1&lt;INDEX('Valo FX'!$Q:$Q,MATCH($A12,'Valo FX'!$A:$A,0)),0,IF(KL$1&lt;INDEX('Valo FX'!$R:$R,MATCH($A12,'Valo FX'!$A:$A,0)),INDEX(Base!$U:$U,MATCH($A12,Base!$A:$A,0)),IF(KL$1=INDEX('Valo FX'!$R:$R,MATCH($A12,'Valo FX'!$A:$A,0)),INDEX(Base!$V:$V,MATCH($A12,Base!$A:$A,0)),0)))</f>
        <v>11.839432</v>
      </c>
      <c r="KM12" s="21">
        <f>IF(KM$1&lt;INDEX('Valo FX'!$Q:$Q,MATCH($A12,'Valo FX'!$A:$A,0)),0,IF(KM$1&lt;INDEX('Valo FX'!$R:$R,MATCH($A12,'Valo FX'!$A:$A,0)),INDEX(Base!$U:$U,MATCH($A12,Base!$A:$A,0)),IF(KM$1=INDEX('Valo FX'!$R:$R,MATCH($A12,'Valo FX'!$A:$A,0)),INDEX(Base!$V:$V,MATCH($A12,Base!$A:$A,0)),0)))</f>
        <v>11.839432</v>
      </c>
      <c r="KN12" s="21">
        <f>IF(KN$1&lt;INDEX('Valo FX'!$Q:$Q,MATCH($A12,'Valo FX'!$A:$A,0)),0,IF(KN$1&lt;INDEX('Valo FX'!$R:$R,MATCH($A12,'Valo FX'!$A:$A,0)),INDEX(Base!$U:$U,MATCH($A12,Base!$A:$A,0)),IF(KN$1=INDEX('Valo FX'!$R:$R,MATCH($A12,'Valo FX'!$A:$A,0)),INDEX(Base!$V:$V,MATCH($A12,Base!$A:$A,0)),0)))</f>
        <v>11.839432</v>
      </c>
      <c r="KO12" s="21">
        <f>IF(KO$1&lt;INDEX('Valo FX'!$Q:$Q,MATCH($A12,'Valo FX'!$A:$A,0)),0,IF(KO$1&lt;INDEX('Valo FX'!$R:$R,MATCH($A12,'Valo FX'!$A:$A,0)),INDEX(Base!$U:$U,MATCH($A12,Base!$A:$A,0)),IF(KO$1=INDEX('Valo FX'!$R:$R,MATCH($A12,'Valo FX'!$A:$A,0)),INDEX(Base!$V:$V,MATCH($A12,Base!$A:$A,0)),0)))</f>
        <v>11.839432</v>
      </c>
      <c r="KP12" s="21">
        <f>IF(KP$1&lt;INDEX('Valo FX'!$Q:$Q,MATCH($A12,'Valo FX'!$A:$A,0)),0,IF(KP$1&lt;INDEX('Valo FX'!$R:$R,MATCH($A12,'Valo FX'!$A:$A,0)),INDEX(Base!$U:$U,MATCH($A12,Base!$A:$A,0)),IF(KP$1=INDEX('Valo FX'!$R:$R,MATCH($A12,'Valo FX'!$A:$A,0)),INDEX(Base!$V:$V,MATCH($A12,Base!$A:$A,0)),0)))</f>
        <v>11.839432</v>
      </c>
      <c r="KQ12" s="21">
        <f>IF(KQ$1&lt;INDEX('Valo FX'!$Q:$Q,MATCH($A12,'Valo FX'!$A:$A,0)),0,IF(KQ$1&lt;INDEX('Valo FX'!$R:$R,MATCH($A12,'Valo FX'!$A:$A,0)),INDEX(Base!$U:$U,MATCH($A12,Base!$A:$A,0)),IF(KQ$1=INDEX('Valo FX'!$R:$R,MATCH($A12,'Valo FX'!$A:$A,0)),INDEX(Base!$V:$V,MATCH($A12,Base!$A:$A,0)),0)))</f>
        <v>11.839432</v>
      </c>
      <c r="KR12" s="21">
        <f>IF(KR$1&lt;INDEX('Valo FX'!$Q:$Q,MATCH($A12,'Valo FX'!$A:$A,0)),0,IF(KR$1&lt;INDEX('Valo FX'!$R:$R,MATCH($A12,'Valo FX'!$A:$A,0)),INDEX(Base!$U:$U,MATCH($A12,Base!$A:$A,0)),IF(KR$1=INDEX('Valo FX'!$R:$R,MATCH($A12,'Valo FX'!$A:$A,0)),INDEX(Base!$V:$V,MATCH($A12,Base!$A:$A,0)),0)))</f>
        <v>11.839432</v>
      </c>
      <c r="KS12" s="21">
        <f>IF(KS$1&lt;INDEX('Valo FX'!$Q:$Q,MATCH($A12,'Valo FX'!$A:$A,0)),0,IF(KS$1&lt;INDEX('Valo FX'!$R:$R,MATCH($A12,'Valo FX'!$A:$A,0)),INDEX(Base!$U:$U,MATCH($A12,Base!$A:$A,0)),IF(KS$1=INDEX('Valo FX'!$R:$R,MATCH($A12,'Valo FX'!$A:$A,0)),INDEX(Base!$V:$V,MATCH($A12,Base!$A:$A,0)),0)))</f>
        <v>11.839432</v>
      </c>
      <c r="KT12" s="21">
        <f>IF(KT$1&lt;INDEX('Valo FX'!$Q:$Q,MATCH($A12,'Valo FX'!$A:$A,0)),0,IF(KT$1&lt;INDEX('Valo FX'!$R:$R,MATCH($A12,'Valo FX'!$A:$A,0)),INDEX(Base!$U:$U,MATCH($A12,Base!$A:$A,0)),IF(KT$1=INDEX('Valo FX'!$R:$R,MATCH($A12,'Valo FX'!$A:$A,0)),INDEX(Base!$V:$V,MATCH($A12,Base!$A:$A,0)),0)))</f>
        <v>11.839432</v>
      </c>
      <c r="KU12" s="21">
        <f>IF(KU$1&lt;INDEX('Valo FX'!$Q:$Q,MATCH($A12,'Valo FX'!$A:$A,0)),0,IF(KU$1&lt;INDEX('Valo FX'!$R:$R,MATCH($A12,'Valo FX'!$A:$A,0)),INDEX(Base!$U:$U,MATCH($A12,Base!$A:$A,0)),IF(KU$1=INDEX('Valo FX'!$R:$R,MATCH($A12,'Valo FX'!$A:$A,0)),INDEX(Base!$V:$V,MATCH($A12,Base!$A:$A,0)),0)))</f>
        <v>11.839432</v>
      </c>
      <c r="KV12" s="21">
        <f>IF(KV$1&lt;INDEX('Valo FX'!$Q:$Q,MATCH($A12,'Valo FX'!$A:$A,0)),0,IF(KV$1&lt;INDEX('Valo FX'!$R:$R,MATCH($A12,'Valo FX'!$A:$A,0)),INDEX(Base!$U:$U,MATCH($A12,Base!$A:$A,0)),IF(KV$1=INDEX('Valo FX'!$R:$R,MATCH($A12,'Valo FX'!$A:$A,0)),INDEX(Base!$V:$V,MATCH($A12,Base!$A:$A,0)),0)))</f>
        <v>11.839432</v>
      </c>
      <c r="KW12" s="21">
        <f>IF(KW$1&lt;INDEX('Valo FX'!$Q:$Q,MATCH($A12,'Valo FX'!$A:$A,0)),0,IF(KW$1&lt;INDEX('Valo FX'!$R:$R,MATCH($A12,'Valo FX'!$A:$A,0)),INDEX(Base!$U:$U,MATCH($A12,Base!$A:$A,0)),IF(KW$1=INDEX('Valo FX'!$R:$R,MATCH($A12,'Valo FX'!$A:$A,0)),INDEX(Base!$V:$V,MATCH($A12,Base!$A:$A,0)),0)))</f>
        <v>11.839432</v>
      </c>
      <c r="KX12" s="21">
        <f>IF(KX$1&lt;INDEX('Valo FX'!$Q:$Q,MATCH($A12,'Valo FX'!$A:$A,0)),0,IF(KX$1&lt;INDEX('Valo FX'!$R:$R,MATCH($A12,'Valo FX'!$A:$A,0)),INDEX(Base!$U:$U,MATCH($A12,Base!$A:$A,0)),IF(KX$1=INDEX('Valo FX'!$R:$R,MATCH($A12,'Valo FX'!$A:$A,0)),INDEX(Base!$V:$V,MATCH($A12,Base!$A:$A,0)),0)))</f>
        <v>11.839432</v>
      </c>
      <c r="KY12" s="21">
        <f>IF(KY$1&lt;INDEX('Valo FX'!$Q:$Q,MATCH($A12,'Valo FX'!$A:$A,0)),0,IF(KY$1&lt;INDEX('Valo FX'!$R:$R,MATCH($A12,'Valo FX'!$A:$A,0)),INDEX(Base!$U:$U,MATCH($A12,Base!$A:$A,0)),IF(KY$1=INDEX('Valo FX'!$R:$R,MATCH($A12,'Valo FX'!$A:$A,0)),INDEX(Base!$V:$V,MATCH($A12,Base!$A:$A,0)),0)))</f>
        <v>11.839432</v>
      </c>
      <c r="KZ12" s="21">
        <f>IF(KZ$1&lt;INDEX('Valo FX'!$Q:$Q,MATCH($A12,'Valo FX'!$A:$A,0)),0,IF(KZ$1&lt;INDEX('Valo FX'!$R:$R,MATCH($A12,'Valo FX'!$A:$A,0)),INDEX(Base!$U:$U,MATCH($A12,Base!$A:$A,0)),IF(KZ$1=INDEX('Valo FX'!$R:$R,MATCH($A12,'Valo FX'!$A:$A,0)),INDEX(Base!$V:$V,MATCH($A12,Base!$A:$A,0)),0)))</f>
        <v>11.839432</v>
      </c>
      <c r="LA12" s="21">
        <f>IF(LA$1&lt;INDEX('Valo FX'!$Q:$Q,MATCH($A12,'Valo FX'!$A:$A,0)),0,IF(LA$1&lt;INDEX('Valo FX'!$R:$R,MATCH($A12,'Valo FX'!$A:$A,0)),INDEX(Base!$U:$U,MATCH($A12,Base!$A:$A,0)),IF(LA$1=INDEX('Valo FX'!$R:$R,MATCH($A12,'Valo FX'!$A:$A,0)),INDEX(Base!$V:$V,MATCH($A12,Base!$A:$A,0)),0)))</f>
        <v>11.839432</v>
      </c>
      <c r="LB12" s="21">
        <f>IF(LB$1&lt;INDEX('Valo FX'!$Q:$Q,MATCH($A12,'Valo FX'!$A:$A,0)),0,IF(LB$1&lt;INDEX('Valo FX'!$R:$R,MATCH($A12,'Valo FX'!$A:$A,0)),INDEX(Base!$U:$U,MATCH($A12,Base!$A:$A,0)),IF(LB$1=INDEX('Valo FX'!$R:$R,MATCH($A12,'Valo FX'!$A:$A,0)),INDEX(Base!$V:$V,MATCH($A12,Base!$A:$A,0)),0)))</f>
        <v>11.839432</v>
      </c>
      <c r="LC12" s="21">
        <f>IF(LC$1&lt;INDEX('Valo FX'!$Q:$Q,MATCH($A12,'Valo FX'!$A:$A,0)),0,IF(LC$1&lt;INDEX('Valo FX'!$R:$R,MATCH($A12,'Valo FX'!$A:$A,0)),INDEX(Base!$U:$U,MATCH($A12,Base!$A:$A,0)),IF(LC$1=INDEX('Valo FX'!$R:$R,MATCH($A12,'Valo FX'!$A:$A,0)),INDEX(Base!$V:$V,MATCH($A12,Base!$A:$A,0)),0)))</f>
        <v>11.839432</v>
      </c>
      <c r="LD12" s="21">
        <f>IF(LD$1&lt;INDEX('Valo FX'!$Q:$Q,MATCH($A12,'Valo FX'!$A:$A,0)),0,IF(LD$1&lt;INDEX('Valo FX'!$R:$R,MATCH($A12,'Valo FX'!$A:$A,0)),INDEX(Base!$U:$U,MATCH($A12,Base!$A:$A,0)),IF(LD$1=INDEX('Valo FX'!$R:$R,MATCH($A12,'Valo FX'!$A:$A,0)),INDEX(Base!$V:$V,MATCH($A12,Base!$A:$A,0)),0)))</f>
        <v>11.839432</v>
      </c>
      <c r="LE12" s="21">
        <f>IF(LE$1&lt;INDEX('Valo FX'!$Q:$Q,MATCH($A12,'Valo FX'!$A:$A,0)),0,IF(LE$1&lt;INDEX('Valo FX'!$R:$R,MATCH($A12,'Valo FX'!$A:$A,0)),INDEX(Base!$U:$U,MATCH($A12,Base!$A:$A,0)),IF(LE$1=INDEX('Valo FX'!$R:$R,MATCH($A12,'Valo FX'!$A:$A,0)),INDEX(Base!$V:$V,MATCH($A12,Base!$A:$A,0)),0)))</f>
        <v>11.839432</v>
      </c>
      <c r="LF12" s="21">
        <f>IF(LF$1&lt;INDEX('Valo FX'!$Q:$Q,MATCH($A12,'Valo FX'!$A:$A,0)),0,IF(LF$1&lt;INDEX('Valo FX'!$R:$R,MATCH($A12,'Valo FX'!$A:$A,0)),INDEX(Base!$U:$U,MATCH($A12,Base!$A:$A,0)),IF(LF$1=INDEX('Valo FX'!$R:$R,MATCH($A12,'Valo FX'!$A:$A,0)),INDEX(Base!$V:$V,MATCH($A12,Base!$A:$A,0)),0)))</f>
        <v>11.839432</v>
      </c>
      <c r="LG12" s="21">
        <f>IF(LG$1&lt;INDEX('Valo FX'!$Q:$Q,MATCH($A12,'Valo FX'!$A:$A,0)),0,IF(LG$1&lt;INDEX('Valo FX'!$R:$R,MATCH($A12,'Valo FX'!$A:$A,0)),INDEX(Base!$U:$U,MATCH($A12,Base!$A:$A,0)),IF(LG$1=INDEX('Valo FX'!$R:$R,MATCH($A12,'Valo FX'!$A:$A,0)),INDEX(Base!$V:$V,MATCH($A12,Base!$A:$A,0)),0)))</f>
        <v>11.839432</v>
      </c>
      <c r="LH12" s="21">
        <f>IF(LH$1&lt;INDEX('Valo FX'!$Q:$Q,MATCH($A12,'Valo FX'!$A:$A,0)),0,IF(LH$1&lt;INDEX('Valo FX'!$R:$R,MATCH($A12,'Valo FX'!$A:$A,0)),INDEX(Base!$U:$U,MATCH($A12,Base!$A:$A,0)),IF(LH$1=INDEX('Valo FX'!$R:$R,MATCH($A12,'Valo FX'!$A:$A,0)),INDEX(Base!$V:$V,MATCH($A12,Base!$A:$A,0)),0)))</f>
        <v>11.839432</v>
      </c>
      <c r="LI12" s="21">
        <f>IF(LI$1&lt;INDEX('Valo FX'!$Q:$Q,MATCH($A12,'Valo FX'!$A:$A,0)),0,IF(LI$1&lt;INDEX('Valo FX'!$R:$R,MATCH($A12,'Valo FX'!$A:$A,0)),INDEX(Base!$U:$U,MATCH($A12,Base!$A:$A,0)),IF(LI$1=INDEX('Valo FX'!$R:$R,MATCH($A12,'Valo FX'!$A:$A,0)),INDEX(Base!$V:$V,MATCH($A12,Base!$A:$A,0)),0)))</f>
        <v>11.839432</v>
      </c>
      <c r="LJ12" s="21">
        <f>IF(LJ$1&lt;INDEX('Valo FX'!$Q:$Q,MATCH($A12,'Valo FX'!$A:$A,0)),0,IF(LJ$1&lt;INDEX('Valo FX'!$R:$R,MATCH($A12,'Valo FX'!$A:$A,0)),INDEX(Base!$U:$U,MATCH($A12,Base!$A:$A,0)),IF(LJ$1=INDEX('Valo FX'!$R:$R,MATCH($A12,'Valo FX'!$A:$A,0)),INDEX(Base!$V:$V,MATCH($A12,Base!$A:$A,0)),0)))</f>
        <v>11.839432</v>
      </c>
      <c r="LK12" s="21">
        <f>IF(LK$1&lt;INDEX('Valo FX'!$Q:$Q,MATCH($A12,'Valo FX'!$A:$A,0)),0,IF(LK$1&lt;INDEX('Valo FX'!$R:$R,MATCH($A12,'Valo FX'!$A:$A,0)),INDEX(Base!$U:$U,MATCH($A12,Base!$A:$A,0)),IF(LK$1=INDEX('Valo FX'!$R:$R,MATCH($A12,'Valo FX'!$A:$A,0)),INDEX(Base!$V:$V,MATCH($A12,Base!$A:$A,0)),0)))</f>
        <v>11.839432</v>
      </c>
      <c r="LL12" s="21">
        <f>IF(LL$1&lt;INDEX('Valo FX'!$Q:$Q,MATCH($A12,'Valo FX'!$A:$A,0)),0,IF(LL$1&lt;INDEX('Valo FX'!$R:$R,MATCH($A12,'Valo FX'!$A:$A,0)),INDEX(Base!$U:$U,MATCH($A12,Base!$A:$A,0)),IF(LL$1=INDEX('Valo FX'!$R:$R,MATCH($A12,'Valo FX'!$A:$A,0)),INDEX(Base!$V:$V,MATCH($A12,Base!$A:$A,0)),0)))</f>
        <v>11.839432</v>
      </c>
      <c r="LM12" s="21">
        <f>IF(LM$1&lt;INDEX('Valo FX'!$Q:$Q,MATCH($A12,'Valo FX'!$A:$A,0)),0,IF(LM$1&lt;INDEX('Valo FX'!$R:$R,MATCH($A12,'Valo FX'!$A:$A,0)),INDEX(Base!$U:$U,MATCH($A12,Base!$A:$A,0)),IF(LM$1=INDEX('Valo FX'!$R:$R,MATCH($A12,'Valo FX'!$A:$A,0)),INDEX(Base!$V:$V,MATCH($A12,Base!$A:$A,0)),0)))</f>
        <v>11.839432</v>
      </c>
      <c r="LN12" s="21">
        <f>IF(LN$1&lt;INDEX('Valo FX'!$Q:$Q,MATCH($A12,'Valo FX'!$A:$A,0)),0,IF(LN$1&lt;INDEX('Valo FX'!$R:$R,MATCH($A12,'Valo FX'!$A:$A,0)),INDEX(Base!$U:$U,MATCH($A12,Base!$A:$A,0)),IF(LN$1=INDEX('Valo FX'!$R:$R,MATCH($A12,'Valo FX'!$A:$A,0)),INDEX(Base!$V:$V,MATCH($A12,Base!$A:$A,0)),0)))</f>
        <v>11.839432</v>
      </c>
      <c r="LO12" s="21">
        <f>IF(LO$1&lt;INDEX('Valo FX'!$Q:$Q,MATCH($A12,'Valo FX'!$A:$A,0)),0,IF(LO$1&lt;INDEX('Valo FX'!$R:$R,MATCH($A12,'Valo FX'!$A:$A,0)),INDEX(Base!$U:$U,MATCH($A12,Base!$A:$A,0)),IF(LO$1=INDEX('Valo FX'!$R:$R,MATCH($A12,'Valo FX'!$A:$A,0)),INDEX(Base!$V:$V,MATCH($A12,Base!$A:$A,0)),0)))</f>
        <v>11.839432</v>
      </c>
      <c r="LP12" s="21">
        <f>IF(LP$1&lt;INDEX('Valo FX'!$Q:$Q,MATCH($A12,'Valo FX'!$A:$A,0)),0,IF(LP$1&lt;INDEX('Valo FX'!$R:$R,MATCH($A12,'Valo FX'!$A:$A,0)),INDEX(Base!$U:$U,MATCH($A12,Base!$A:$A,0)),IF(LP$1=INDEX('Valo FX'!$R:$R,MATCH($A12,'Valo FX'!$A:$A,0)),INDEX(Base!$V:$V,MATCH($A12,Base!$A:$A,0)),0)))</f>
        <v>11.839432</v>
      </c>
      <c r="LQ12" s="21">
        <f>IF(LQ$1&lt;INDEX('Valo FX'!$Q:$Q,MATCH($A12,'Valo FX'!$A:$A,0)),0,IF(LQ$1&lt;INDEX('Valo FX'!$R:$R,MATCH($A12,'Valo FX'!$A:$A,0)),INDEX(Base!$U:$U,MATCH($A12,Base!$A:$A,0)),IF(LQ$1=INDEX('Valo FX'!$R:$R,MATCH($A12,'Valo FX'!$A:$A,0)),INDEX(Base!$V:$V,MATCH($A12,Base!$A:$A,0)),0)))</f>
        <v>11.839432</v>
      </c>
      <c r="LR12" s="21">
        <f>IF(LR$1&lt;INDEX('Valo FX'!$Q:$Q,MATCH($A12,'Valo FX'!$A:$A,0)),0,IF(LR$1&lt;INDEX('Valo FX'!$R:$R,MATCH($A12,'Valo FX'!$A:$A,0)),INDEX(Base!$U:$U,MATCH($A12,Base!$A:$A,0)),IF(LR$1=INDEX('Valo FX'!$R:$R,MATCH($A12,'Valo FX'!$A:$A,0)),INDEX(Base!$V:$V,MATCH($A12,Base!$A:$A,0)),0)))</f>
        <v>11.839432</v>
      </c>
      <c r="LS12" s="21">
        <f>IF(LS$1&lt;INDEX('Valo FX'!$Q:$Q,MATCH($A12,'Valo FX'!$A:$A,0)),0,IF(LS$1&lt;INDEX('Valo FX'!$R:$R,MATCH($A12,'Valo FX'!$A:$A,0)),INDEX(Base!$U:$U,MATCH($A12,Base!$A:$A,0)),IF(LS$1=INDEX('Valo FX'!$R:$R,MATCH($A12,'Valo FX'!$A:$A,0)),INDEX(Base!$V:$V,MATCH($A12,Base!$A:$A,0)),0)))</f>
        <v>11.839432</v>
      </c>
      <c r="LT12" s="21">
        <f>IF(LT$1&lt;INDEX('Valo FX'!$Q:$Q,MATCH($A12,'Valo FX'!$A:$A,0)),0,IF(LT$1&lt;INDEX('Valo FX'!$R:$R,MATCH($A12,'Valo FX'!$A:$A,0)),INDEX(Base!$U:$U,MATCH($A12,Base!$A:$A,0)),IF(LT$1=INDEX('Valo FX'!$R:$R,MATCH($A12,'Valo FX'!$A:$A,0)),INDEX(Base!$V:$V,MATCH($A12,Base!$A:$A,0)),0)))</f>
        <v>11.839432</v>
      </c>
      <c r="LU12" s="21">
        <f>IF(LU$1&lt;INDEX('Valo FX'!$Q:$Q,MATCH($A12,'Valo FX'!$A:$A,0)),0,IF(LU$1&lt;INDEX('Valo FX'!$R:$R,MATCH($A12,'Valo FX'!$A:$A,0)),INDEX(Base!$U:$U,MATCH($A12,Base!$A:$A,0)),IF(LU$1=INDEX('Valo FX'!$R:$R,MATCH($A12,'Valo FX'!$A:$A,0)),INDEX(Base!$V:$V,MATCH($A12,Base!$A:$A,0)),0)))</f>
        <v>11.839432</v>
      </c>
      <c r="LV12" s="21">
        <f>IF(LV$1&lt;INDEX('Valo FX'!$Q:$Q,MATCH($A12,'Valo FX'!$A:$A,0)),0,IF(LV$1&lt;INDEX('Valo FX'!$R:$R,MATCH($A12,'Valo FX'!$A:$A,0)),INDEX(Base!$U:$U,MATCH($A12,Base!$A:$A,0)),IF(LV$1=INDEX('Valo FX'!$R:$R,MATCH($A12,'Valo FX'!$A:$A,0)),INDEX(Base!$V:$V,MATCH($A12,Base!$A:$A,0)),0)))</f>
        <v>11.839432</v>
      </c>
      <c r="LW12" s="21">
        <f>IF(LW$1&lt;INDEX('Valo FX'!$Q:$Q,MATCH($A12,'Valo FX'!$A:$A,0)),0,IF(LW$1&lt;INDEX('Valo FX'!$R:$R,MATCH($A12,'Valo FX'!$A:$A,0)),INDEX(Base!$U:$U,MATCH($A12,Base!$A:$A,0)),IF(LW$1=INDEX('Valo FX'!$R:$R,MATCH($A12,'Valo FX'!$A:$A,0)),INDEX(Base!$V:$V,MATCH($A12,Base!$A:$A,0)),0)))</f>
        <v>11.839432</v>
      </c>
      <c r="LX12" s="21">
        <f>IF(LX$1&lt;INDEX('Valo FX'!$Q:$Q,MATCH($A12,'Valo FX'!$A:$A,0)),0,IF(LX$1&lt;INDEX('Valo FX'!$R:$R,MATCH($A12,'Valo FX'!$A:$A,0)),INDEX(Base!$U:$U,MATCH($A12,Base!$A:$A,0)),IF(LX$1=INDEX('Valo FX'!$R:$R,MATCH($A12,'Valo FX'!$A:$A,0)),INDEX(Base!$V:$V,MATCH($A12,Base!$A:$A,0)),0)))</f>
        <v>11.839432</v>
      </c>
      <c r="LY12" s="21">
        <f>IF(LY$1&lt;INDEX('Valo FX'!$Q:$Q,MATCH($A12,'Valo FX'!$A:$A,0)),0,IF(LY$1&lt;INDEX('Valo FX'!$R:$R,MATCH($A12,'Valo FX'!$A:$A,0)),INDEX(Base!$U:$U,MATCH($A12,Base!$A:$A,0)),IF(LY$1=INDEX('Valo FX'!$R:$R,MATCH($A12,'Valo FX'!$A:$A,0)),INDEX(Base!$V:$V,MATCH($A12,Base!$A:$A,0)),0)))</f>
        <v>11.839432</v>
      </c>
      <c r="LZ12" s="21">
        <f>IF(LZ$1&lt;INDEX('Valo FX'!$Q:$Q,MATCH($A12,'Valo FX'!$A:$A,0)),0,IF(LZ$1&lt;INDEX('Valo FX'!$R:$R,MATCH($A12,'Valo FX'!$A:$A,0)),INDEX(Base!$U:$U,MATCH($A12,Base!$A:$A,0)),IF(LZ$1=INDEX('Valo FX'!$R:$R,MATCH($A12,'Valo FX'!$A:$A,0)),INDEX(Base!$V:$V,MATCH($A12,Base!$A:$A,0)),0)))</f>
        <v>11.839432</v>
      </c>
      <c r="MA12" s="21">
        <f>IF(MA$1&lt;INDEX('Valo FX'!$Q:$Q,MATCH($A12,'Valo FX'!$A:$A,0)),0,IF(MA$1&lt;INDEX('Valo FX'!$R:$R,MATCH($A12,'Valo FX'!$A:$A,0)),INDEX(Base!$U:$U,MATCH($A12,Base!$A:$A,0)),IF(MA$1=INDEX('Valo FX'!$R:$R,MATCH($A12,'Valo FX'!$A:$A,0)),INDEX(Base!$V:$V,MATCH($A12,Base!$A:$A,0)),0)))</f>
        <v>11.839432</v>
      </c>
      <c r="MB12" s="21">
        <f>IF(MB$1&lt;INDEX('Valo FX'!$Q:$Q,MATCH($A12,'Valo FX'!$A:$A,0)),0,IF(MB$1&lt;INDEX('Valo FX'!$R:$R,MATCH($A12,'Valo FX'!$A:$A,0)),INDEX(Base!$U:$U,MATCH($A12,Base!$A:$A,0)),IF(MB$1=INDEX('Valo FX'!$R:$R,MATCH($A12,'Valo FX'!$A:$A,0)),INDEX(Base!$V:$V,MATCH($A12,Base!$A:$A,0)),0)))</f>
        <v>11.839432</v>
      </c>
      <c r="MC12" s="21">
        <f>IF(MC$1&lt;INDEX('Valo FX'!$Q:$Q,MATCH($A12,'Valo FX'!$A:$A,0)),0,IF(MC$1&lt;INDEX('Valo FX'!$R:$R,MATCH($A12,'Valo FX'!$A:$A,0)),INDEX(Base!$U:$U,MATCH($A12,Base!$A:$A,0)),IF(MC$1=INDEX('Valo FX'!$R:$R,MATCH($A12,'Valo FX'!$A:$A,0)),INDEX(Base!$V:$V,MATCH($A12,Base!$A:$A,0)),0)))</f>
        <v>11.839432</v>
      </c>
      <c r="MD12" s="21">
        <f>IF(MD$1&lt;INDEX('Valo FX'!$Q:$Q,MATCH($A12,'Valo FX'!$A:$A,0)),0,IF(MD$1&lt;INDEX('Valo FX'!$R:$R,MATCH($A12,'Valo FX'!$A:$A,0)),INDEX(Base!$U:$U,MATCH($A12,Base!$A:$A,0)),IF(MD$1=INDEX('Valo FX'!$R:$R,MATCH($A12,'Valo FX'!$A:$A,0)),INDEX(Base!$V:$V,MATCH($A12,Base!$A:$A,0)),0)))</f>
        <v>11.839432</v>
      </c>
      <c r="ME12" s="21">
        <f>IF(ME$1&lt;INDEX('Valo FX'!$Q:$Q,MATCH($A12,'Valo FX'!$A:$A,0)),0,IF(ME$1&lt;INDEX('Valo FX'!$R:$R,MATCH($A12,'Valo FX'!$A:$A,0)),INDEX(Base!$U:$U,MATCH($A12,Base!$A:$A,0)),IF(ME$1=INDEX('Valo FX'!$R:$R,MATCH($A12,'Valo FX'!$A:$A,0)),INDEX(Base!$V:$V,MATCH($A12,Base!$A:$A,0)),0)))</f>
        <v>11.839432</v>
      </c>
      <c r="MF12" s="21">
        <f>IF(MF$1&lt;INDEX('Valo FX'!$Q:$Q,MATCH($A12,'Valo FX'!$A:$A,0)),0,IF(MF$1&lt;INDEX('Valo FX'!$R:$R,MATCH($A12,'Valo FX'!$A:$A,0)),INDEX(Base!$U:$U,MATCH($A12,Base!$A:$A,0)),IF(MF$1=INDEX('Valo FX'!$R:$R,MATCH($A12,'Valo FX'!$A:$A,0)),INDEX(Base!$V:$V,MATCH($A12,Base!$A:$A,0)),0)))</f>
        <v>11.839432</v>
      </c>
      <c r="MG12" s="21">
        <f>IF(MG$1&lt;INDEX('Valo FX'!$Q:$Q,MATCH($A12,'Valo FX'!$A:$A,0)),0,IF(MG$1&lt;INDEX('Valo FX'!$R:$R,MATCH($A12,'Valo FX'!$A:$A,0)),INDEX(Base!$U:$U,MATCH($A12,Base!$A:$A,0)),IF(MG$1=INDEX('Valo FX'!$R:$R,MATCH($A12,'Valo FX'!$A:$A,0)),INDEX(Base!$V:$V,MATCH($A12,Base!$A:$A,0)),0)))</f>
        <v>11.839432</v>
      </c>
      <c r="MH12" s="21">
        <f>IF(MH$1&lt;INDEX('Valo FX'!$Q:$Q,MATCH($A12,'Valo FX'!$A:$A,0)),0,IF(MH$1&lt;INDEX('Valo FX'!$R:$R,MATCH($A12,'Valo FX'!$A:$A,0)),INDEX(Base!$U:$U,MATCH($A12,Base!$A:$A,0)),IF(MH$1=INDEX('Valo FX'!$R:$R,MATCH($A12,'Valo FX'!$A:$A,0)),INDEX(Base!$V:$V,MATCH($A12,Base!$A:$A,0)),0)))</f>
        <v>11.839432</v>
      </c>
      <c r="MI12" s="21">
        <f>IF(MI$1&lt;INDEX('Valo FX'!$Q:$Q,MATCH($A12,'Valo FX'!$A:$A,0)),0,IF(MI$1&lt;INDEX('Valo FX'!$R:$R,MATCH($A12,'Valo FX'!$A:$A,0)),INDEX(Base!$U:$U,MATCH($A12,Base!$A:$A,0)),IF(MI$1=INDEX('Valo FX'!$R:$R,MATCH($A12,'Valo FX'!$A:$A,0)),INDEX(Base!$V:$V,MATCH($A12,Base!$A:$A,0)),0)))</f>
        <v>11.839432</v>
      </c>
      <c r="MJ12" s="21">
        <f>IF(MJ$1&lt;INDEX('Valo FX'!$Q:$Q,MATCH($A12,'Valo FX'!$A:$A,0)),0,IF(MJ$1&lt;INDEX('Valo FX'!$R:$R,MATCH($A12,'Valo FX'!$A:$A,0)),INDEX(Base!$U:$U,MATCH($A12,Base!$A:$A,0)),IF(MJ$1=INDEX('Valo FX'!$R:$R,MATCH($A12,'Valo FX'!$A:$A,0)),INDEX(Base!$V:$V,MATCH($A12,Base!$A:$A,0)),0)))</f>
        <v>11.839432</v>
      </c>
      <c r="MK12" s="21">
        <f>IF(MK$1&lt;INDEX('Valo FX'!$Q:$Q,MATCH($A12,'Valo FX'!$A:$A,0)),0,IF(MK$1&lt;INDEX('Valo FX'!$R:$R,MATCH($A12,'Valo FX'!$A:$A,0)),INDEX(Base!$U:$U,MATCH($A12,Base!$A:$A,0)),IF(MK$1=INDEX('Valo FX'!$R:$R,MATCH($A12,'Valo FX'!$A:$A,0)),INDEX(Base!$V:$V,MATCH($A12,Base!$A:$A,0)),0)))</f>
        <v>11.839432</v>
      </c>
      <c r="ML12" s="21">
        <f>IF(ML$1&lt;INDEX('Valo FX'!$Q:$Q,MATCH($A12,'Valo FX'!$A:$A,0)),0,IF(ML$1&lt;INDEX('Valo FX'!$R:$R,MATCH($A12,'Valo FX'!$A:$A,0)),INDEX(Base!$U:$U,MATCH($A12,Base!$A:$A,0)),IF(ML$1=INDEX('Valo FX'!$R:$R,MATCH($A12,'Valo FX'!$A:$A,0)),INDEX(Base!$V:$V,MATCH($A12,Base!$A:$A,0)),0)))</f>
        <v>11.839432</v>
      </c>
      <c r="MM12" s="21">
        <f>IF(MM$1&lt;INDEX('Valo FX'!$Q:$Q,MATCH($A12,'Valo FX'!$A:$A,0)),0,IF(MM$1&lt;INDEX('Valo FX'!$R:$R,MATCH($A12,'Valo FX'!$A:$A,0)),INDEX(Base!$U:$U,MATCH($A12,Base!$A:$A,0)),IF(MM$1=INDEX('Valo FX'!$R:$R,MATCH($A12,'Valo FX'!$A:$A,0)),INDEX(Base!$V:$V,MATCH($A12,Base!$A:$A,0)),0)))</f>
        <v>11.839432</v>
      </c>
      <c r="MN12" s="21">
        <f>IF(MN$1&lt;INDEX('Valo FX'!$Q:$Q,MATCH($A12,'Valo FX'!$A:$A,0)),0,IF(MN$1&lt;INDEX('Valo FX'!$R:$R,MATCH($A12,'Valo FX'!$A:$A,0)),INDEX(Base!$U:$U,MATCH($A12,Base!$A:$A,0)),IF(MN$1=INDEX('Valo FX'!$R:$R,MATCH($A12,'Valo FX'!$A:$A,0)),INDEX(Base!$V:$V,MATCH($A12,Base!$A:$A,0)),0)))</f>
        <v>11.839432</v>
      </c>
      <c r="MO12" s="21">
        <f>IF(MO$1&lt;INDEX('Valo FX'!$Q:$Q,MATCH($A12,'Valo FX'!$A:$A,0)),0,IF(MO$1&lt;INDEX('Valo FX'!$R:$R,MATCH($A12,'Valo FX'!$A:$A,0)),INDEX(Base!$U:$U,MATCH($A12,Base!$A:$A,0)),IF(MO$1=INDEX('Valo FX'!$R:$R,MATCH($A12,'Valo FX'!$A:$A,0)),INDEX(Base!$V:$V,MATCH($A12,Base!$A:$A,0)),0)))</f>
        <v>11.839432</v>
      </c>
      <c r="MP12" s="21">
        <f>IF(MP$1&lt;INDEX('Valo FX'!$Q:$Q,MATCH($A12,'Valo FX'!$A:$A,0)),0,IF(MP$1&lt;INDEX('Valo FX'!$R:$R,MATCH($A12,'Valo FX'!$A:$A,0)),INDEX(Base!$U:$U,MATCH($A12,Base!$A:$A,0)),IF(MP$1=INDEX('Valo FX'!$R:$R,MATCH($A12,'Valo FX'!$A:$A,0)),INDEX(Base!$V:$V,MATCH($A12,Base!$A:$A,0)),0)))</f>
        <v>11.839432</v>
      </c>
      <c r="MQ12" s="21">
        <f>IF(MQ$1&lt;INDEX('Valo FX'!$Q:$Q,MATCH($A12,'Valo FX'!$A:$A,0)),0,IF(MQ$1&lt;INDEX('Valo FX'!$R:$R,MATCH($A12,'Valo FX'!$A:$A,0)),INDEX(Base!$U:$U,MATCH($A12,Base!$A:$A,0)),IF(MQ$1=INDEX('Valo FX'!$R:$R,MATCH($A12,'Valo FX'!$A:$A,0)),INDEX(Base!$V:$V,MATCH($A12,Base!$A:$A,0)),0)))</f>
        <v>11.839432</v>
      </c>
      <c r="MR12" s="21">
        <f>IF(MR$1&lt;INDEX('Valo FX'!$Q:$Q,MATCH($A12,'Valo FX'!$A:$A,0)),0,IF(MR$1&lt;INDEX('Valo FX'!$R:$R,MATCH($A12,'Valo FX'!$A:$A,0)),INDEX(Base!$U:$U,MATCH($A12,Base!$A:$A,0)),IF(MR$1=INDEX('Valo FX'!$R:$R,MATCH($A12,'Valo FX'!$A:$A,0)),INDEX(Base!$V:$V,MATCH($A12,Base!$A:$A,0)),0)))</f>
        <v>11.839432</v>
      </c>
      <c r="MS12" s="21">
        <f>IF(MS$1&lt;INDEX('Valo FX'!$Q:$Q,MATCH($A12,'Valo FX'!$A:$A,0)),0,IF(MS$1&lt;INDEX('Valo FX'!$R:$R,MATCH($A12,'Valo FX'!$A:$A,0)),INDEX(Base!$U:$U,MATCH($A12,Base!$A:$A,0)),IF(MS$1=INDEX('Valo FX'!$R:$R,MATCH($A12,'Valo FX'!$A:$A,0)),INDEX(Base!$V:$V,MATCH($A12,Base!$A:$A,0)),0)))</f>
        <v>11.839432</v>
      </c>
      <c r="MT12" s="21">
        <f>IF(MT$1&lt;INDEX('Valo FX'!$Q:$Q,MATCH($A12,'Valo FX'!$A:$A,0)),0,IF(MT$1&lt;INDEX('Valo FX'!$R:$R,MATCH($A12,'Valo FX'!$A:$A,0)),INDEX(Base!$U:$U,MATCH($A12,Base!$A:$A,0)),IF(MT$1=INDEX('Valo FX'!$R:$R,MATCH($A12,'Valo FX'!$A:$A,0)),INDEX(Base!$V:$V,MATCH($A12,Base!$A:$A,0)),0)))</f>
        <v>11.839432</v>
      </c>
      <c r="MU12" s="21">
        <f>IF(MU$1&lt;INDEX('Valo FX'!$Q:$Q,MATCH($A12,'Valo FX'!$A:$A,0)),0,IF(MU$1&lt;INDEX('Valo FX'!$R:$R,MATCH($A12,'Valo FX'!$A:$A,0)),INDEX(Base!$U:$U,MATCH($A12,Base!$A:$A,0)),IF(MU$1=INDEX('Valo FX'!$R:$R,MATCH($A12,'Valo FX'!$A:$A,0)),INDEX(Base!$V:$V,MATCH($A12,Base!$A:$A,0)),0)))</f>
        <v>11.839432</v>
      </c>
      <c r="MV12" s="21">
        <f>IF(MV$1&lt;INDEX('Valo FX'!$Q:$Q,MATCH($A12,'Valo FX'!$A:$A,0)),0,IF(MV$1&lt;INDEX('Valo FX'!$R:$R,MATCH($A12,'Valo FX'!$A:$A,0)),INDEX(Base!$U:$U,MATCH($A12,Base!$A:$A,0)),IF(MV$1=INDEX('Valo FX'!$R:$R,MATCH($A12,'Valo FX'!$A:$A,0)),INDEX(Base!$V:$V,MATCH($A12,Base!$A:$A,0)),0)))</f>
        <v>11.839432</v>
      </c>
      <c r="MW12" s="21">
        <f>IF(MW$1&lt;INDEX('Valo FX'!$Q:$Q,MATCH($A12,'Valo FX'!$A:$A,0)),0,IF(MW$1&lt;INDEX('Valo FX'!$R:$R,MATCH($A12,'Valo FX'!$A:$A,0)),INDEX(Base!$U:$U,MATCH($A12,Base!$A:$A,0)),IF(MW$1=INDEX('Valo FX'!$R:$R,MATCH($A12,'Valo FX'!$A:$A,0)),INDEX(Base!$V:$V,MATCH($A12,Base!$A:$A,0)),0)))</f>
        <v>11.839432</v>
      </c>
      <c r="MX12" s="21">
        <f>IF(MX$1&lt;INDEX('Valo FX'!$Q:$Q,MATCH($A12,'Valo FX'!$A:$A,0)),0,IF(MX$1&lt;INDEX('Valo FX'!$R:$R,MATCH($A12,'Valo FX'!$A:$A,0)),INDEX(Base!$U:$U,MATCH($A12,Base!$A:$A,0)),IF(MX$1=INDEX('Valo FX'!$R:$R,MATCH($A12,'Valo FX'!$A:$A,0)),INDEX(Base!$V:$V,MATCH($A12,Base!$A:$A,0)),0)))</f>
        <v>11.839432</v>
      </c>
      <c r="MY12" s="21">
        <f>IF(MY$1&lt;INDEX('Valo FX'!$Q:$Q,MATCH($A12,'Valo FX'!$A:$A,0)),0,IF(MY$1&lt;INDEX('Valo FX'!$R:$R,MATCH($A12,'Valo FX'!$A:$A,0)),INDEX(Base!$U:$U,MATCH($A12,Base!$A:$A,0)),IF(MY$1=INDEX('Valo FX'!$R:$R,MATCH($A12,'Valo FX'!$A:$A,0)),INDEX(Base!$V:$V,MATCH($A12,Base!$A:$A,0)),0)))</f>
        <v>12.153767999999999</v>
      </c>
    </row>
    <row r="13" spans="1:363" x14ac:dyDescent="0.2">
      <c r="A13" s="7">
        <f>+'Valo FX'!A14</f>
        <v>11</v>
      </c>
      <c r="B13" s="58">
        <f>-'Valo FX'!T14</f>
        <v>-904.51417612031389</v>
      </c>
      <c r="C13" s="21">
        <f>IF(C$1&lt;INDEX('Valo FX'!$Q:$Q,MATCH($A13,'Valo FX'!$A:$A,0)),0,IF(C$1&lt;INDEX('Valo FX'!$R:$R,MATCH($A13,'Valo FX'!$A:$A,0)),INDEX(Base!$U:$U,MATCH($A13,Base!$A:$A,0)),IF(C$1=INDEX('Valo FX'!$R:$R,MATCH($A13,'Valo FX'!$A:$A,0)),INDEX(Base!$V:$V,MATCH($A13,Base!$A:$A,0)),0)))</f>
        <v>0</v>
      </c>
      <c r="D13" s="21">
        <f>IF(D$1&lt;INDEX('Valo FX'!$Q:$Q,MATCH($A13,'Valo FX'!$A:$A,0)),0,IF(D$1&lt;INDEX('Valo FX'!$R:$R,MATCH($A13,'Valo FX'!$A:$A,0)),INDEX(Base!$U:$U,MATCH($A13,Base!$A:$A,0)),IF(D$1=INDEX('Valo FX'!$R:$R,MATCH($A13,'Valo FX'!$A:$A,0)),INDEX(Base!$V:$V,MATCH($A13,Base!$A:$A,0)),0)))</f>
        <v>0</v>
      </c>
      <c r="E13" s="21">
        <f>IF(E$1&lt;INDEX('Valo FX'!$Q:$Q,MATCH($A13,'Valo FX'!$A:$A,0)),0,IF(E$1&lt;INDEX('Valo FX'!$R:$R,MATCH($A13,'Valo FX'!$A:$A,0)),INDEX(Base!$U:$U,MATCH($A13,Base!$A:$A,0)),IF(E$1=INDEX('Valo FX'!$R:$R,MATCH($A13,'Valo FX'!$A:$A,0)),INDEX(Base!$V:$V,MATCH($A13,Base!$A:$A,0)),0)))</f>
        <v>0</v>
      </c>
      <c r="F13" s="21">
        <f>IF(F$1&lt;INDEX('Valo FX'!$Q:$Q,MATCH($A13,'Valo FX'!$A:$A,0)),0,IF(F$1&lt;INDEX('Valo FX'!$R:$R,MATCH($A13,'Valo FX'!$A:$A,0)),INDEX(Base!$U:$U,MATCH($A13,Base!$A:$A,0)),IF(F$1=INDEX('Valo FX'!$R:$R,MATCH($A13,'Valo FX'!$A:$A,0)),INDEX(Base!$V:$V,MATCH($A13,Base!$A:$A,0)),0)))</f>
        <v>0</v>
      </c>
      <c r="G13" s="21">
        <f>IF(G$1&lt;INDEX('Valo FX'!$Q:$Q,MATCH($A13,'Valo FX'!$A:$A,0)),0,IF(G$1&lt;INDEX('Valo FX'!$R:$R,MATCH($A13,'Valo FX'!$A:$A,0)),INDEX(Base!$U:$U,MATCH($A13,Base!$A:$A,0)),IF(G$1=INDEX('Valo FX'!$R:$R,MATCH($A13,'Valo FX'!$A:$A,0)),INDEX(Base!$V:$V,MATCH($A13,Base!$A:$A,0)),0)))</f>
        <v>0</v>
      </c>
      <c r="H13" s="21">
        <f>IF(H$1&lt;INDEX('Valo FX'!$Q:$Q,MATCH($A13,'Valo FX'!$A:$A,0)),0,IF(H$1&lt;INDEX('Valo FX'!$R:$R,MATCH($A13,'Valo FX'!$A:$A,0)),INDEX(Base!$U:$U,MATCH($A13,Base!$A:$A,0)),IF(H$1=INDEX('Valo FX'!$R:$R,MATCH($A13,'Valo FX'!$A:$A,0)),INDEX(Base!$V:$V,MATCH($A13,Base!$A:$A,0)),0)))</f>
        <v>0</v>
      </c>
      <c r="I13" s="21">
        <f>IF(I$1&lt;INDEX('Valo FX'!$Q:$Q,MATCH($A13,'Valo FX'!$A:$A,0)),0,IF(I$1&lt;INDEX('Valo FX'!$R:$R,MATCH($A13,'Valo FX'!$A:$A,0)),INDEX(Base!$U:$U,MATCH($A13,Base!$A:$A,0)),IF(I$1=INDEX('Valo FX'!$R:$R,MATCH($A13,'Valo FX'!$A:$A,0)),INDEX(Base!$V:$V,MATCH($A13,Base!$A:$A,0)),0)))</f>
        <v>7.2364179999999996</v>
      </c>
      <c r="J13" s="21">
        <f>IF(J$1&lt;INDEX('Valo FX'!$Q:$Q,MATCH($A13,'Valo FX'!$A:$A,0)),0,IF(J$1&lt;INDEX('Valo FX'!$R:$R,MATCH($A13,'Valo FX'!$A:$A,0)),INDEX(Base!$U:$U,MATCH($A13,Base!$A:$A,0)),IF(J$1=INDEX('Valo FX'!$R:$R,MATCH($A13,'Valo FX'!$A:$A,0)),INDEX(Base!$V:$V,MATCH($A13,Base!$A:$A,0)),0)))</f>
        <v>7.2364179999999996</v>
      </c>
      <c r="K13" s="21">
        <f>IF(K$1&lt;INDEX('Valo FX'!$Q:$Q,MATCH($A13,'Valo FX'!$A:$A,0)),0,IF(K$1&lt;INDEX('Valo FX'!$R:$R,MATCH($A13,'Valo FX'!$A:$A,0)),INDEX(Base!$U:$U,MATCH($A13,Base!$A:$A,0)),IF(K$1=INDEX('Valo FX'!$R:$R,MATCH($A13,'Valo FX'!$A:$A,0)),INDEX(Base!$V:$V,MATCH($A13,Base!$A:$A,0)),0)))</f>
        <v>7.2364179999999996</v>
      </c>
      <c r="L13" s="21">
        <f>IF(L$1&lt;INDEX('Valo FX'!$Q:$Q,MATCH($A13,'Valo FX'!$A:$A,0)),0,IF(L$1&lt;INDEX('Valo FX'!$R:$R,MATCH($A13,'Valo FX'!$A:$A,0)),INDEX(Base!$U:$U,MATCH($A13,Base!$A:$A,0)),IF(L$1=INDEX('Valo FX'!$R:$R,MATCH($A13,'Valo FX'!$A:$A,0)),INDEX(Base!$V:$V,MATCH($A13,Base!$A:$A,0)),0)))</f>
        <v>7.2364179999999996</v>
      </c>
      <c r="M13" s="21">
        <f>IF(M$1&lt;INDEX('Valo FX'!$Q:$Q,MATCH($A13,'Valo FX'!$A:$A,0)),0,IF(M$1&lt;INDEX('Valo FX'!$R:$R,MATCH($A13,'Valo FX'!$A:$A,0)),INDEX(Base!$U:$U,MATCH($A13,Base!$A:$A,0)),IF(M$1=INDEX('Valo FX'!$R:$R,MATCH($A13,'Valo FX'!$A:$A,0)),INDEX(Base!$V:$V,MATCH($A13,Base!$A:$A,0)),0)))</f>
        <v>7.2364179999999996</v>
      </c>
      <c r="N13" s="21">
        <f>IF(N$1&lt;INDEX('Valo FX'!$Q:$Q,MATCH($A13,'Valo FX'!$A:$A,0)),0,IF(N$1&lt;INDEX('Valo FX'!$R:$R,MATCH($A13,'Valo FX'!$A:$A,0)),INDEX(Base!$U:$U,MATCH($A13,Base!$A:$A,0)),IF(N$1=INDEX('Valo FX'!$R:$R,MATCH($A13,'Valo FX'!$A:$A,0)),INDEX(Base!$V:$V,MATCH($A13,Base!$A:$A,0)),0)))</f>
        <v>7.2364179999999996</v>
      </c>
      <c r="O13" s="21">
        <f>IF(O$1&lt;INDEX('Valo FX'!$Q:$Q,MATCH($A13,'Valo FX'!$A:$A,0)),0,IF(O$1&lt;INDEX('Valo FX'!$R:$R,MATCH($A13,'Valo FX'!$A:$A,0)),INDEX(Base!$U:$U,MATCH($A13,Base!$A:$A,0)),IF(O$1=INDEX('Valo FX'!$R:$R,MATCH($A13,'Valo FX'!$A:$A,0)),INDEX(Base!$V:$V,MATCH($A13,Base!$A:$A,0)),0)))</f>
        <v>7.2364179999999996</v>
      </c>
      <c r="P13" s="21">
        <f>IF(P$1&lt;INDEX('Valo FX'!$Q:$Q,MATCH($A13,'Valo FX'!$A:$A,0)),0,IF(P$1&lt;INDEX('Valo FX'!$R:$R,MATCH($A13,'Valo FX'!$A:$A,0)),INDEX(Base!$U:$U,MATCH($A13,Base!$A:$A,0)),IF(P$1=INDEX('Valo FX'!$R:$R,MATCH($A13,'Valo FX'!$A:$A,0)),INDEX(Base!$V:$V,MATCH($A13,Base!$A:$A,0)),0)))</f>
        <v>7.2364179999999996</v>
      </c>
      <c r="Q13" s="21">
        <f>IF(Q$1&lt;INDEX('Valo FX'!$Q:$Q,MATCH($A13,'Valo FX'!$A:$A,0)),0,IF(Q$1&lt;INDEX('Valo FX'!$R:$R,MATCH($A13,'Valo FX'!$A:$A,0)),INDEX(Base!$U:$U,MATCH($A13,Base!$A:$A,0)),IF(Q$1=INDEX('Valo FX'!$R:$R,MATCH($A13,'Valo FX'!$A:$A,0)),INDEX(Base!$V:$V,MATCH($A13,Base!$A:$A,0)),0)))</f>
        <v>7.2364179999999996</v>
      </c>
      <c r="R13" s="21">
        <f>IF(R$1&lt;INDEX('Valo FX'!$Q:$Q,MATCH($A13,'Valo FX'!$A:$A,0)),0,IF(R$1&lt;INDEX('Valo FX'!$R:$R,MATCH($A13,'Valo FX'!$A:$A,0)),INDEX(Base!$U:$U,MATCH($A13,Base!$A:$A,0)),IF(R$1=INDEX('Valo FX'!$R:$R,MATCH($A13,'Valo FX'!$A:$A,0)),INDEX(Base!$V:$V,MATCH($A13,Base!$A:$A,0)),0)))</f>
        <v>7.2364179999999996</v>
      </c>
      <c r="S13" s="21">
        <f>IF(S$1&lt;INDEX('Valo FX'!$Q:$Q,MATCH($A13,'Valo FX'!$A:$A,0)),0,IF(S$1&lt;INDEX('Valo FX'!$R:$R,MATCH($A13,'Valo FX'!$A:$A,0)),INDEX(Base!$U:$U,MATCH($A13,Base!$A:$A,0)),IF(S$1=INDEX('Valo FX'!$R:$R,MATCH($A13,'Valo FX'!$A:$A,0)),INDEX(Base!$V:$V,MATCH($A13,Base!$A:$A,0)),0)))</f>
        <v>7.2364179999999996</v>
      </c>
      <c r="T13" s="21">
        <f>IF(T$1&lt;INDEX('Valo FX'!$Q:$Q,MATCH($A13,'Valo FX'!$A:$A,0)),0,IF(T$1&lt;INDEX('Valo FX'!$R:$R,MATCH($A13,'Valo FX'!$A:$A,0)),INDEX(Base!$U:$U,MATCH($A13,Base!$A:$A,0)),IF(T$1=INDEX('Valo FX'!$R:$R,MATCH($A13,'Valo FX'!$A:$A,0)),INDEX(Base!$V:$V,MATCH($A13,Base!$A:$A,0)),0)))</f>
        <v>7.2364179999999996</v>
      </c>
      <c r="U13" s="21">
        <f>IF(U$1&lt;INDEX('Valo FX'!$Q:$Q,MATCH($A13,'Valo FX'!$A:$A,0)),0,IF(U$1&lt;INDEX('Valo FX'!$R:$R,MATCH($A13,'Valo FX'!$A:$A,0)),INDEX(Base!$U:$U,MATCH($A13,Base!$A:$A,0)),IF(U$1=INDEX('Valo FX'!$R:$R,MATCH($A13,'Valo FX'!$A:$A,0)),INDEX(Base!$V:$V,MATCH($A13,Base!$A:$A,0)),0)))</f>
        <v>7.2364179999999996</v>
      </c>
      <c r="V13" s="21">
        <f>IF(V$1&lt;INDEX('Valo FX'!$Q:$Q,MATCH($A13,'Valo FX'!$A:$A,0)),0,IF(V$1&lt;INDEX('Valo FX'!$R:$R,MATCH($A13,'Valo FX'!$A:$A,0)),INDEX(Base!$U:$U,MATCH($A13,Base!$A:$A,0)),IF(V$1=INDEX('Valo FX'!$R:$R,MATCH($A13,'Valo FX'!$A:$A,0)),INDEX(Base!$V:$V,MATCH($A13,Base!$A:$A,0)),0)))</f>
        <v>7.2364179999999996</v>
      </c>
      <c r="W13" s="21">
        <f>IF(W$1&lt;INDEX('Valo FX'!$Q:$Q,MATCH($A13,'Valo FX'!$A:$A,0)),0,IF(W$1&lt;INDEX('Valo FX'!$R:$R,MATCH($A13,'Valo FX'!$A:$A,0)),INDEX(Base!$U:$U,MATCH($A13,Base!$A:$A,0)),IF(W$1=INDEX('Valo FX'!$R:$R,MATCH($A13,'Valo FX'!$A:$A,0)),INDEX(Base!$V:$V,MATCH($A13,Base!$A:$A,0)),0)))</f>
        <v>7.2364179999999996</v>
      </c>
      <c r="X13" s="21">
        <f>IF(X$1&lt;INDEX('Valo FX'!$Q:$Q,MATCH($A13,'Valo FX'!$A:$A,0)),0,IF(X$1&lt;INDEX('Valo FX'!$R:$R,MATCH($A13,'Valo FX'!$A:$A,0)),INDEX(Base!$U:$U,MATCH($A13,Base!$A:$A,0)),IF(X$1=INDEX('Valo FX'!$R:$R,MATCH($A13,'Valo FX'!$A:$A,0)),INDEX(Base!$V:$V,MATCH($A13,Base!$A:$A,0)),0)))</f>
        <v>7.2364179999999996</v>
      </c>
      <c r="Y13" s="21">
        <f>IF(Y$1&lt;INDEX('Valo FX'!$Q:$Q,MATCH($A13,'Valo FX'!$A:$A,0)),0,IF(Y$1&lt;INDEX('Valo FX'!$R:$R,MATCH($A13,'Valo FX'!$A:$A,0)),INDEX(Base!$U:$U,MATCH($A13,Base!$A:$A,0)),IF(Y$1=INDEX('Valo FX'!$R:$R,MATCH($A13,'Valo FX'!$A:$A,0)),INDEX(Base!$V:$V,MATCH($A13,Base!$A:$A,0)),0)))</f>
        <v>7.2364179999999996</v>
      </c>
      <c r="Z13" s="21">
        <f>IF(Z$1&lt;INDEX('Valo FX'!$Q:$Q,MATCH($A13,'Valo FX'!$A:$A,0)),0,IF(Z$1&lt;INDEX('Valo FX'!$R:$R,MATCH($A13,'Valo FX'!$A:$A,0)),INDEX(Base!$U:$U,MATCH($A13,Base!$A:$A,0)),IF(Z$1=INDEX('Valo FX'!$R:$R,MATCH($A13,'Valo FX'!$A:$A,0)),INDEX(Base!$V:$V,MATCH($A13,Base!$A:$A,0)),0)))</f>
        <v>7.2364179999999996</v>
      </c>
      <c r="AA13" s="21">
        <f>IF(AA$1&lt;INDEX('Valo FX'!$Q:$Q,MATCH($A13,'Valo FX'!$A:$A,0)),0,IF(AA$1&lt;INDEX('Valo FX'!$R:$R,MATCH($A13,'Valo FX'!$A:$A,0)),INDEX(Base!$U:$U,MATCH($A13,Base!$A:$A,0)),IF(AA$1=INDEX('Valo FX'!$R:$R,MATCH($A13,'Valo FX'!$A:$A,0)),INDEX(Base!$V:$V,MATCH($A13,Base!$A:$A,0)),0)))</f>
        <v>7.2364179999999996</v>
      </c>
      <c r="AB13" s="21">
        <f>IF(AB$1&lt;INDEX('Valo FX'!$Q:$Q,MATCH($A13,'Valo FX'!$A:$A,0)),0,IF(AB$1&lt;INDEX('Valo FX'!$R:$R,MATCH($A13,'Valo FX'!$A:$A,0)),INDEX(Base!$U:$U,MATCH($A13,Base!$A:$A,0)),IF(AB$1=INDEX('Valo FX'!$R:$R,MATCH($A13,'Valo FX'!$A:$A,0)),INDEX(Base!$V:$V,MATCH($A13,Base!$A:$A,0)),0)))</f>
        <v>7.2364179999999996</v>
      </c>
      <c r="AC13" s="21">
        <f>IF(AC$1&lt;INDEX('Valo FX'!$Q:$Q,MATCH($A13,'Valo FX'!$A:$A,0)),0,IF(AC$1&lt;INDEX('Valo FX'!$R:$R,MATCH($A13,'Valo FX'!$A:$A,0)),INDEX(Base!$U:$U,MATCH($A13,Base!$A:$A,0)),IF(AC$1=INDEX('Valo FX'!$R:$R,MATCH($A13,'Valo FX'!$A:$A,0)),INDEX(Base!$V:$V,MATCH($A13,Base!$A:$A,0)),0)))</f>
        <v>7.2364179999999996</v>
      </c>
      <c r="AD13" s="21">
        <f>IF(AD$1&lt;INDEX('Valo FX'!$Q:$Q,MATCH($A13,'Valo FX'!$A:$A,0)),0,IF(AD$1&lt;INDEX('Valo FX'!$R:$R,MATCH($A13,'Valo FX'!$A:$A,0)),INDEX(Base!$U:$U,MATCH($A13,Base!$A:$A,0)),IF(AD$1=INDEX('Valo FX'!$R:$R,MATCH($A13,'Valo FX'!$A:$A,0)),INDEX(Base!$V:$V,MATCH($A13,Base!$A:$A,0)),0)))</f>
        <v>7.2364179999999996</v>
      </c>
      <c r="AE13" s="21">
        <f>IF(AE$1&lt;INDEX('Valo FX'!$Q:$Q,MATCH($A13,'Valo FX'!$A:$A,0)),0,IF(AE$1&lt;INDEX('Valo FX'!$R:$R,MATCH($A13,'Valo FX'!$A:$A,0)),INDEX(Base!$U:$U,MATCH($A13,Base!$A:$A,0)),IF(AE$1=INDEX('Valo FX'!$R:$R,MATCH($A13,'Valo FX'!$A:$A,0)),INDEX(Base!$V:$V,MATCH($A13,Base!$A:$A,0)),0)))</f>
        <v>7.2364179999999996</v>
      </c>
      <c r="AF13" s="21">
        <f>IF(AF$1&lt;INDEX('Valo FX'!$Q:$Q,MATCH($A13,'Valo FX'!$A:$A,0)),0,IF(AF$1&lt;INDEX('Valo FX'!$R:$R,MATCH($A13,'Valo FX'!$A:$A,0)),INDEX(Base!$U:$U,MATCH($A13,Base!$A:$A,0)),IF(AF$1=INDEX('Valo FX'!$R:$R,MATCH($A13,'Valo FX'!$A:$A,0)),INDEX(Base!$V:$V,MATCH($A13,Base!$A:$A,0)),0)))</f>
        <v>7.2364179999999996</v>
      </c>
      <c r="AG13" s="21">
        <f>IF(AG$1&lt;INDEX('Valo FX'!$Q:$Q,MATCH($A13,'Valo FX'!$A:$A,0)),0,IF(AG$1&lt;INDEX('Valo FX'!$R:$R,MATCH($A13,'Valo FX'!$A:$A,0)),INDEX(Base!$U:$U,MATCH($A13,Base!$A:$A,0)),IF(AG$1=INDEX('Valo FX'!$R:$R,MATCH($A13,'Valo FX'!$A:$A,0)),INDEX(Base!$V:$V,MATCH($A13,Base!$A:$A,0)),0)))</f>
        <v>7.2364179999999996</v>
      </c>
      <c r="AH13" s="21">
        <f>IF(AH$1&lt;INDEX('Valo FX'!$Q:$Q,MATCH($A13,'Valo FX'!$A:$A,0)),0,IF(AH$1&lt;INDEX('Valo FX'!$R:$R,MATCH($A13,'Valo FX'!$A:$A,0)),INDEX(Base!$U:$U,MATCH($A13,Base!$A:$A,0)),IF(AH$1=INDEX('Valo FX'!$R:$R,MATCH($A13,'Valo FX'!$A:$A,0)),INDEX(Base!$V:$V,MATCH($A13,Base!$A:$A,0)),0)))</f>
        <v>7.2364179999999996</v>
      </c>
      <c r="AI13" s="21">
        <f>IF(AI$1&lt;INDEX('Valo FX'!$Q:$Q,MATCH($A13,'Valo FX'!$A:$A,0)),0,IF(AI$1&lt;INDEX('Valo FX'!$R:$R,MATCH($A13,'Valo FX'!$A:$A,0)),INDEX(Base!$U:$U,MATCH($A13,Base!$A:$A,0)),IF(AI$1=INDEX('Valo FX'!$R:$R,MATCH($A13,'Valo FX'!$A:$A,0)),INDEX(Base!$V:$V,MATCH($A13,Base!$A:$A,0)),0)))</f>
        <v>7.2364179999999996</v>
      </c>
      <c r="AJ13" s="21">
        <f>IF(AJ$1&lt;INDEX('Valo FX'!$Q:$Q,MATCH($A13,'Valo FX'!$A:$A,0)),0,IF(AJ$1&lt;INDEX('Valo FX'!$R:$R,MATCH($A13,'Valo FX'!$A:$A,0)),INDEX(Base!$U:$U,MATCH($A13,Base!$A:$A,0)),IF(AJ$1=INDEX('Valo FX'!$R:$R,MATCH($A13,'Valo FX'!$A:$A,0)),INDEX(Base!$V:$V,MATCH($A13,Base!$A:$A,0)),0)))</f>
        <v>7.2364179999999996</v>
      </c>
      <c r="AK13" s="21">
        <f>IF(AK$1&lt;INDEX('Valo FX'!$Q:$Q,MATCH($A13,'Valo FX'!$A:$A,0)),0,IF(AK$1&lt;INDEX('Valo FX'!$R:$R,MATCH($A13,'Valo FX'!$A:$A,0)),INDEX(Base!$U:$U,MATCH($A13,Base!$A:$A,0)),IF(AK$1=INDEX('Valo FX'!$R:$R,MATCH($A13,'Valo FX'!$A:$A,0)),INDEX(Base!$V:$V,MATCH($A13,Base!$A:$A,0)),0)))</f>
        <v>7.2364179999999996</v>
      </c>
      <c r="AL13" s="21">
        <f>IF(AL$1&lt;INDEX('Valo FX'!$Q:$Q,MATCH($A13,'Valo FX'!$A:$A,0)),0,IF(AL$1&lt;INDEX('Valo FX'!$R:$R,MATCH($A13,'Valo FX'!$A:$A,0)),INDEX(Base!$U:$U,MATCH($A13,Base!$A:$A,0)),IF(AL$1=INDEX('Valo FX'!$R:$R,MATCH($A13,'Valo FX'!$A:$A,0)),INDEX(Base!$V:$V,MATCH($A13,Base!$A:$A,0)),0)))</f>
        <v>7.2364179999999996</v>
      </c>
      <c r="AM13" s="21">
        <f>IF(AM$1&lt;INDEX('Valo FX'!$Q:$Q,MATCH($A13,'Valo FX'!$A:$A,0)),0,IF(AM$1&lt;INDEX('Valo FX'!$R:$R,MATCH($A13,'Valo FX'!$A:$A,0)),INDEX(Base!$U:$U,MATCH($A13,Base!$A:$A,0)),IF(AM$1=INDEX('Valo FX'!$R:$R,MATCH($A13,'Valo FX'!$A:$A,0)),INDEX(Base!$V:$V,MATCH($A13,Base!$A:$A,0)),0)))</f>
        <v>7.2364179999999996</v>
      </c>
      <c r="AN13" s="21">
        <f>IF(AN$1&lt;INDEX('Valo FX'!$Q:$Q,MATCH($A13,'Valo FX'!$A:$A,0)),0,IF(AN$1&lt;INDEX('Valo FX'!$R:$R,MATCH($A13,'Valo FX'!$A:$A,0)),INDEX(Base!$U:$U,MATCH($A13,Base!$A:$A,0)),IF(AN$1=INDEX('Valo FX'!$R:$R,MATCH($A13,'Valo FX'!$A:$A,0)),INDEX(Base!$V:$V,MATCH($A13,Base!$A:$A,0)),0)))</f>
        <v>7.2364179999999996</v>
      </c>
      <c r="AO13" s="21">
        <f>IF(AO$1&lt;INDEX('Valo FX'!$Q:$Q,MATCH($A13,'Valo FX'!$A:$A,0)),0,IF(AO$1&lt;INDEX('Valo FX'!$R:$R,MATCH($A13,'Valo FX'!$A:$A,0)),INDEX(Base!$U:$U,MATCH($A13,Base!$A:$A,0)),IF(AO$1=INDEX('Valo FX'!$R:$R,MATCH($A13,'Valo FX'!$A:$A,0)),INDEX(Base!$V:$V,MATCH($A13,Base!$A:$A,0)),0)))</f>
        <v>7.2364179999999996</v>
      </c>
      <c r="AP13" s="21">
        <f>IF(AP$1&lt;INDEX('Valo FX'!$Q:$Q,MATCH($A13,'Valo FX'!$A:$A,0)),0,IF(AP$1&lt;INDEX('Valo FX'!$R:$R,MATCH($A13,'Valo FX'!$A:$A,0)),INDEX(Base!$U:$U,MATCH($A13,Base!$A:$A,0)),IF(AP$1=INDEX('Valo FX'!$R:$R,MATCH($A13,'Valo FX'!$A:$A,0)),INDEX(Base!$V:$V,MATCH($A13,Base!$A:$A,0)),0)))</f>
        <v>7.2364179999999996</v>
      </c>
      <c r="AQ13" s="21">
        <f>IF(AQ$1&lt;INDEX('Valo FX'!$Q:$Q,MATCH($A13,'Valo FX'!$A:$A,0)),0,IF(AQ$1&lt;INDEX('Valo FX'!$R:$R,MATCH($A13,'Valo FX'!$A:$A,0)),INDEX(Base!$U:$U,MATCH($A13,Base!$A:$A,0)),IF(AQ$1=INDEX('Valo FX'!$R:$R,MATCH($A13,'Valo FX'!$A:$A,0)),INDEX(Base!$V:$V,MATCH($A13,Base!$A:$A,0)),0)))</f>
        <v>7.2364179999999996</v>
      </c>
      <c r="AR13" s="21">
        <f>IF(AR$1&lt;INDEX('Valo FX'!$Q:$Q,MATCH($A13,'Valo FX'!$A:$A,0)),0,IF(AR$1&lt;INDEX('Valo FX'!$R:$R,MATCH($A13,'Valo FX'!$A:$A,0)),INDEX(Base!$U:$U,MATCH($A13,Base!$A:$A,0)),IF(AR$1=INDEX('Valo FX'!$R:$R,MATCH($A13,'Valo FX'!$A:$A,0)),INDEX(Base!$V:$V,MATCH($A13,Base!$A:$A,0)),0)))</f>
        <v>7.2364179999999996</v>
      </c>
      <c r="AS13" s="21">
        <f>IF(AS$1&lt;INDEX('Valo FX'!$Q:$Q,MATCH($A13,'Valo FX'!$A:$A,0)),0,IF(AS$1&lt;INDEX('Valo FX'!$R:$R,MATCH($A13,'Valo FX'!$A:$A,0)),INDEX(Base!$U:$U,MATCH($A13,Base!$A:$A,0)),IF(AS$1=INDEX('Valo FX'!$R:$R,MATCH($A13,'Valo FX'!$A:$A,0)),INDEX(Base!$V:$V,MATCH($A13,Base!$A:$A,0)),0)))</f>
        <v>7.2364179999999996</v>
      </c>
      <c r="AT13" s="21">
        <f>IF(AT$1&lt;INDEX('Valo FX'!$Q:$Q,MATCH($A13,'Valo FX'!$A:$A,0)),0,IF(AT$1&lt;INDEX('Valo FX'!$R:$R,MATCH($A13,'Valo FX'!$A:$A,0)),INDEX(Base!$U:$U,MATCH($A13,Base!$A:$A,0)),IF(AT$1=INDEX('Valo FX'!$R:$R,MATCH($A13,'Valo FX'!$A:$A,0)),INDEX(Base!$V:$V,MATCH($A13,Base!$A:$A,0)),0)))</f>
        <v>7.2364179999999996</v>
      </c>
      <c r="AU13" s="21">
        <f>IF(AU$1&lt;INDEX('Valo FX'!$Q:$Q,MATCH($A13,'Valo FX'!$A:$A,0)),0,IF(AU$1&lt;INDEX('Valo FX'!$R:$R,MATCH($A13,'Valo FX'!$A:$A,0)),INDEX(Base!$U:$U,MATCH($A13,Base!$A:$A,0)),IF(AU$1=INDEX('Valo FX'!$R:$R,MATCH($A13,'Valo FX'!$A:$A,0)),INDEX(Base!$V:$V,MATCH($A13,Base!$A:$A,0)),0)))</f>
        <v>7.2364179999999996</v>
      </c>
      <c r="AV13" s="21">
        <f>IF(AV$1&lt;INDEX('Valo FX'!$Q:$Q,MATCH($A13,'Valo FX'!$A:$A,0)),0,IF(AV$1&lt;INDEX('Valo FX'!$R:$R,MATCH($A13,'Valo FX'!$A:$A,0)),INDEX(Base!$U:$U,MATCH($A13,Base!$A:$A,0)),IF(AV$1=INDEX('Valo FX'!$R:$R,MATCH($A13,'Valo FX'!$A:$A,0)),INDEX(Base!$V:$V,MATCH($A13,Base!$A:$A,0)),0)))</f>
        <v>7.2364179999999996</v>
      </c>
      <c r="AW13" s="21">
        <f>IF(AW$1&lt;INDEX('Valo FX'!$Q:$Q,MATCH($A13,'Valo FX'!$A:$A,0)),0,IF(AW$1&lt;INDEX('Valo FX'!$R:$R,MATCH($A13,'Valo FX'!$A:$A,0)),INDEX(Base!$U:$U,MATCH($A13,Base!$A:$A,0)),IF(AW$1=INDEX('Valo FX'!$R:$R,MATCH($A13,'Valo FX'!$A:$A,0)),INDEX(Base!$V:$V,MATCH($A13,Base!$A:$A,0)),0)))</f>
        <v>7.2364179999999996</v>
      </c>
      <c r="AX13" s="21">
        <f>IF(AX$1&lt;INDEX('Valo FX'!$Q:$Q,MATCH($A13,'Valo FX'!$A:$A,0)),0,IF(AX$1&lt;INDEX('Valo FX'!$R:$R,MATCH($A13,'Valo FX'!$A:$A,0)),INDEX(Base!$U:$U,MATCH($A13,Base!$A:$A,0)),IF(AX$1=INDEX('Valo FX'!$R:$R,MATCH($A13,'Valo FX'!$A:$A,0)),INDEX(Base!$V:$V,MATCH($A13,Base!$A:$A,0)),0)))</f>
        <v>7.2364179999999996</v>
      </c>
      <c r="AY13" s="21">
        <f>IF(AY$1&lt;INDEX('Valo FX'!$Q:$Q,MATCH($A13,'Valo FX'!$A:$A,0)),0,IF(AY$1&lt;INDEX('Valo FX'!$R:$R,MATCH($A13,'Valo FX'!$A:$A,0)),INDEX(Base!$U:$U,MATCH($A13,Base!$A:$A,0)),IF(AY$1=INDEX('Valo FX'!$R:$R,MATCH($A13,'Valo FX'!$A:$A,0)),INDEX(Base!$V:$V,MATCH($A13,Base!$A:$A,0)),0)))</f>
        <v>7.2364179999999996</v>
      </c>
      <c r="AZ13" s="21">
        <f>IF(AZ$1&lt;INDEX('Valo FX'!$Q:$Q,MATCH($A13,'Valo FX'!$A:$A,0)),0,IF(AZ$1&lt;INDEX('Valo FX'!$R:$R,MATCH($A13,'Valo FX'!$A:$A,0)),INDEX(Base!$U:$U,MATCH($A13,Base!$A:$A,0)),IF(AZ$1=INDEX('Valo FX'!$R:$R,MATCH($A13,'Valo FX'!$A:$A,0)),INDEX(Base!$V:$V,MATCH($A13,Base!$A:$A,0)),0)))</f>
        <v>7.2364179999999996</v>
      </c>
      <c r="BA13" s="21">
        <f>IF(BA$1&lt;INDEX('Valo FX'!$Q:$Q,MATCH($A13,'Valo FX'!$A:$A,0)),0,IF(BA$1&lt;INDEX('Valo FX'!$R:$R,MATCH($A13,'Valo FX'!$A:$A,0)),INDEX(Base!$U:$U,MATCH($A13,Base!$A:$A,0)),IF(BA$1=INDEX('Valo FX'!$R:$R,MATCH($A13,'Valo FX'!$A:$A,0)),INDEX(Base!$V:$V,MATCH($A13,Base!$A:$A,0)),0)))</f>
        <v>7.2364179999999996</v>
      </c>
      <c r="BB13" s="21">
        <f>IF(BB$1&lt;INDEX('Valo FX'!$Q:$Q,MATCH($A13,'Valo FX'!$A:$A,0)),0,IF(BB$1&lt;INDEX('Valo FX'!$R:$R,MATCH($A13,'Valo FX'!$A:$A,0)),INDEX(Base!$U:$U,MATCH($A13,Base!$A:$A,0)),IF(BB$1=INDEX('Valo FX'!$R:$R,MATCH($A13,'Valo FX'!$A:$A,0)),INDEX(Base!$V:$V,MATCH($A13,Base!$A:$A,0)),0)))</f>
        <v>7.2364179999999996</v>
      </c>
      <c r="BC13" s="21">
        <f>IF(BC$1&lt;INDEX('Valo FX'!$Q:$Q,MATCH($A13,'Valo FX'!$A:$A,0)),0,IF(BC$1&lt;INDEX('Valo FX'!$R:$R,MATCH($A13,'Valo FX'!$A:$A,0)),INDEX(Base!$U:$U,MATCH($A13,Base!$A:$A,0)),IF(BC$1=INDEX('Valo FX'!$R:$R,MATCH($A13,'Valo FX'!$A:$A,0)),INDEX(Base!$V:$V,MATCH($A13,Base!$A:$A,0)),0)))</f>
        <v>7.2364179999999996</v>
      </c>
      <c r="BD13" s="21">
        <f>IF(BD$1&lt;INDEX('Valo FX'!$Q:$Q,MATCH($A13,'Valo FX'!$A:$A,0)),0,IF(BD$1&lt;INDEX('Valo FX'!$R:$R,MATCH($A13,'Valo FX'!$A:$A,0)),INDEX(Base!$U:$U,MATCH($A13,Base!$A:$A,0)),IF(BD$1=INDEX('Valo FX'!$R:$R,MATCH($A13,'Valo FX'!$A:$A,0)),INDEX(Base!$V:$V,MATCH($A13,Base!$A:$A,0)),0)))</f>
        <v>7.2364179999999996</v>
      </c>
      <c r="BE13" s="21">
        <f>IF(BE$1&lt;INDEX('Valo FX'!$Q:$Q,MATCH($A13,'Valo FX'!$A:$A,0)),0,IF(BE$1&lt;INDEX('Valo FX'!$R:$R,MATCH($A13,'Valo FX'!$A:$A,0)),INDEX(Base!$U:$U,MATCH($A13,Base!$A:$A,0)),IF(BE$1=INDEX('Valo FX'!$R:$R,MATCH($A13,'Valo FX'!$A:$A,0)),INDEX(Base!$V:$V,MATCH($A13,Base!$A:$A,0)),0)))</f>
        <v>7.2364179999999996</v>
      </c>
      <c r="BF13" s="21">
        <f>IF(BF$1&lt;INDEX('Valo FX'!$Q:$Q,MATCH($A13,'Valo FX'!$A:$A,0)),0,IF(BF$1&lt;INDEX('Valo FX'!$R:$R,MATCH($A13,'Valo FX'!$A:$A,0)),INDEX(Base!$U:$U,MATCH($A13,Base!$A:$A,0)),IF(BF$1=INDEX('Valo FX'!$R:$R,MATCH($A13,'Valo FX'!$A:$A,0)),INDEX(Base!$V:$V,MATCH($A13,Base!$A:$A,0)),0)))</f>
        <v>7.2364179999999996</v>
      </c>
      <c r="BG13" s="21">
        <f>IF(BG$1&lt;INDEX('Valo FX'!$Q:$Q,MATCH($A13,'Valo FX'!$A:$A,0)),0,IF(BG$1&lt;INDEX('Valo FX'!$R:$R,MATCH($A13,'Valo FX'!$A:$A,0)),INDEX(Base!$U:$U,MATCH($A13,Base!$A:$A,0)),IF(BG$1=INDEX('Valo FX'!$R:$R,MATCH($A13,'Valo FX'!$A:$A,0)),INDEX(Base!$V:$V,MATCH($A13,Base!$A:$A,0)),0)))</f>
        <v>7.2364179999999996</v>
      </c>
      <c r="BH13" s="21">
        <f>IF(BH$1&lt;INDEX('Valo FX'!$Q:$Q,MATCH($A13,'Valo FX'!$A:$A,0)),0,IF(BH$1&lt;INDEX('Valo FX'!$R:$R,MATCH($A13,'Valo FX'!$A:$A,0)),INDEX(Base!$U:$U,MATCH($A13,Base!$A:$A,0)),IF(BH$1=INDEX('Valo FX'!$R:$R,MATCH($A13,'Valo FX'!$A:$A,0)),INDEX(Base!$V:$V,MATCH($A13,Base!$A:$A,0)),0)))</f>
        <v>7.2364179999999996</v>
      </c>
      <c r="BI13" s="21">
        <f>IF(BI$1&lt;INDEX('Valo FX'!$Q:$Q,MATCH($A13,'Valo FX'!$A:$A,0)),0,IF(BI$1&lt;INDEX('Valo FX'!$R:$R,MATCH($A13,'Valo FX'!$A:$A,0)),INDEX(Base!$U:$U,MATCH($A13,Base!$A:$A,0)),IF(BI$1=INDEX('Valo FX'!$R:$R,MATCH($A13,'Valo FX'!$A:$A,0)),INDEX(Base!$V:$V,MATCH($A13,Base!$A:$A,0)),0)))</f>
        <v>7.2364179999999996</v>
      </c>
      <c r="BJ13" s="21">
        <f>IF(BJ$1&lt;INDEX('Valo FX'!$Q:$Q,MATCH($A13,'Valo FX'!$A:$A,0)),0,IF(BJ$1&lt;INDEX('Valo FX'!$R:$R,MATCH($A13,'Valo FX'!$A:$A,0)),INDEX(Base!$U:$U,MATCH($A13,Base!$A:$A,0)),IF(BJ$1=INDEX('Valo FX'!$R:$R,MATCH($A13,'Valo FX'!$A:$A,0)),INDEX(Base!$V:$V,MATCH($A13,Base!$A:$A,0)),0)))</f>
        <v>7.2364179999999996</v>
      </c>
      <c r="BK13" s="21">
        <f>IF(BK$1&lt;INDEX('Valo FX'!$Q:$Q,MATCH($A13,'Valo FX'!$A:$A,0)),0,IF(BK$1&lt;INDEX('Valo FX'!$R:$R,MATCH($A13,'Valo FX'!$A:$A,0)),INDEX(Base!$U:$U,MATCH($A13,Base!$A:$A,0)),IF(BK$1=INDEX('Valo FX'!$R:$R,MATCH($A13,'Valo FX'!$A:$A,0)),INDEX(Base!$V:$V,MATCH($A13,Base!$A:$A,0)),0)))</f>
        <v>7.2364179999999996</v>
      </c>
      <c r="BL13" s="21">
        <f>IF(BL$1&lt;INDEX('Valo FX'!$Q:$Q,MATCH($A13,'Valo FX'!$A:$A,0)),0,IF(BL$1&lt;INDEX('Valo FX'!$R:$R,MATCH($A13,'Valo FX'!$A:$A,0)),INDEX(Base!$U:$U,MATCH($A13,Base!$A:$A,0)),IF(BL$1=INDEX('Valo FX'!$R:$R,MATCH($A13,'Valo FX'!$A:$A,0)),INDEX(Base!$V:$V,MATCH($A13,Base!$A:$A,0)),0)))</f>
        <v>7.2364179999999996</v>
      </c>
      <c r="BM13" s="21">
        <f>IF(BM$1&lt;INDEX('Valo FX'!$Q:$Q,MATCH($A13,'Valo FX'!$A:$A,0)),0,IF(BM$1&lt;INDEX('Valo FX'!$R:$R,MATCH($A13,'Valo FX'!$A:$A,0)),INDEX(Base!$U:$U,MATCH($A13,Base!$A:$A,0)),IF(BM$1=INDEX('Valo FX'!$R:$R,MATCH($A13,'Valo FX'!$A:$A,0)),INDEX(Base!$V:$V,MATCH($A13,Base!$A:$A,0)),0)))</f>
        <v>7.2364179999999996</v>
      </c>
      <c r="BN13" s="21">
        <f>IF(BN$1&lt;INDEX('Valo FX'!$Q:$Q,MATCH($A13,'Valo FX'!$A:$A,0)),0,IF(BN$1&lt;INDEX('Valo FX'!$R:$R,MATCH($A13,'Valo FX'!$A:$A,0)),INDEX(Base!$U:$U,MATCH($A13,Base!$A:$A,0)),IF(BN$1=INDEX('Valo FX'!$R:$R,MATCH($A13,'Valo FX'!$A:$A,0)),INDEX(Base!$V:$V,MATCH($A13,Base!$A:$A,0)),0)))</f>
        <v>7.2364179999999996</v>
      </c>
      <c r="BO13" s="21">
        <f>IF(BO$1&lt;INDEX('Valo FX'!$Q:$Q,MATCH($A13,'Valo FX'!$A:$A,0)),0,IF(BO$1&lt;INDEX('Valo FX'!$R:$R,MATCH($A13,'Valo FX'!$A:$A,0)),INDEX(Base!$U:$U,MATCH($A13,Base!$A:$A,0)),IF(BO$1=INDEX('Valo FX'!$R:$R,MATCH($A13,'Valo FX'!$A:$A,0)),INDEX(Base!$V:$V,MATCH($A13,Base!$A:$A,0)),0)))</f>
        <v>7.2364179999999996</v>
      </c>
      <c r="BP13" s="21">
        <f>IF(BP$1&lt;INDEX('Valo FX'!$Q:$Q,MATCH($A13,'Valo FX'!$A:$A,0)),0,IF(BP$1&lt;INDEX('Valo FX'!$R:$R,MATCH($A13,'Valo FX'!$A:$A,0)),INDEX(Base!$U:$U,MATCH($A13,Base!$A:$A,0)),IF(BP$1=INDEX('Valo FX'!$R:$R,MATCH($A13,'Valo FX'!$A:$A,0)),INDEX(Base!$V:$V,MATCH($A13,Base!$A:$A,0)),0)))</f>
        <v>7.2364179999999996</v>
      </c>
      <c r="BQ13" s="21">
        <f>IF(BQ$1&lt;INDEX('Valo FX'!$Q:$Q,MATCH($A13,'Valo FX'!$A:$A,0)),0,IF(BQ$1&lt;INDEX('Valo FX'!$R:$R,MATCH($A13,'Valo FX'!$A:$A,0)),INDEX(Base!$U:$U,MATCH($A13,Base!$A:$A,0)),IF(BQ$1=INDEX('Valo FX'!$R:$R,MATCH($A13,'Valo FX'!$A:$A,0)),INDEX(Base!$V:$V,MATCH($A13,Base!$A:$A,0)),0)))</f>
        <v>7.2364179999999996</v>
      </c>
      <c r="BR13" s="21">
        <f>IF(BR$1&lt;INDEX('Valo FX'!$Q:$Q,MATCH($A13,'Valo FX'!$A:$A,0)),0,IF(BR$1&lt;INDEX('Valo FX'!$R:$R,MATCH($A13,'Valo FX'!$A:$A,0)),INDEX(Base!$U:$U,MATCH($A13,Base!$A:$A,0)),IF(BR$1=INDEX('Valo FX'!$R:$R,MATCH($A13,'Valo FX'!$A:$A,0)),INDEX(Base!$V:$V,MATCH($A13,Base!$A:$A,0)),0)))</f>
        <v>7.2364179999999996</v>
      </c>
      <c r="BS13" s="21">
        <f>IF(BS$1&lt;INDEX('Valo FX'!$Q:$Q,MATCH($A13,'Valo FX'!$A:$A,0)),0,IF(BS$1&lt;INDEX('Valo FX'!$R:$R,MATCH($A13,'Valo FX'!$A:$A,0)),INDEX(Base!$U:$U,MATCH($A13,Base!$A:$A,0)),IF(BS$1=INDEX('Valo FX'!$R:$R,MATCH($A13,'Valo FX'!$A:$A,0)),INDEX(Base!$V:$V,MATCH($A13,Base!$A:$A,0)),0)))</f>
        <v>7.2364179999999996</v>
      </c>
      <c r="BT13" s="21">
        <f>IF(BT$1&lt;INDEX('Valo FX'!$Q:$Q,MATCH($A13,'Valo FX'!$A:$A,0)),0,IF(BT$1&lt;INDEX('Valo FX'!$R:$R,MATCH($A13,'Valo FX'!$A:$A,0)),INDEX(Base!$U:$U,MATCH($A13,Base!$A:$A,0)),IF(BT$1=INDEX('Valo FX'!$R:$R,MATCH($A13,'Valo FX'!$A:$A,0)),INDEX(Base!$V:$V,MATCH($A13,Base!$A:$A,0)),0)))</f>
        <v>7.2364179999999996</v>
      </c>
      <c r="BU13" s="21">
        <f>IF(BU$1&lt;INDEX('Valo FX'!$Q:$Q,MATCH($A13,'Valo FX'!$A:$A,0)),0,IF(BU$1&lt;INDEX('Valo FX'!$R:$R,MATCH($A13,'Valo FX'!$A:$A,0)),INDEX(Base!$U:$U,MATCH($A13,Base!$A:$A,0)),IF(BU$1=INDEX('Valo FX'!$R:$R,MATCH($A13,'Valo FX'!$A:$A,0)),INDEX(Base!$V:$V,MATCH($A13,Base!$A:$A,0)),0)))</f>
        <v>7.2364179999999996</v>
      </c>
      <c r="BV13" s="21">
        <f>IF(BV$1&lt;INDEX('Valo FX'!$Q:$Q,MATCH($A13,'Valo FX'!$A:$A,0)),0,IF(BV$1&lt;INDEX('Valo FX'!$R:$R,MATCH($A13,'Valo FX'!$A:$A,0)),INDEX(Base!$U:$U,MATCH($A13,Base!$A:$A,0)),IF(BV$1=INDEX('Valo FX'!$R:$R,MATCH($A13,'Valo FX'!$A:$A,0)),INDEX(Base!$V:$V,MATCH($A13,Base!$A:$A,0)),0)))</f>
        <v>7.2364179999999996</v>
      </c>
      <c r="BW13" s="21">
        <f>IF(BW$1&lt;INDEX('Valo FX'!$Q:$Q,MATCH($A13,'Valo FX'!$A:$A,0)),0,IF(BW$1&lt;INDEX('Valo FX'!$R:$R,MATCH($A13,'Valo FX'!$A:$A,0)),INDEX(Base!$U:$U,MATCH($A13,Base!$A:$A,0)),IF(BW$1=INDEX('Valo FX'!$R:$R,MATCH($A13,'Valo FX'!$A:$A,0)),INDEX(Base!$V:$V,MATCH($A13,Base!$A:$A,0)),0)))</f>
        <v>7.2364179999999996</v>
      </c>
      <c r="BX13" s="21">
        <f>IF(BX$1&lt;INDEX('Valo FX'!$Q:$Q,MATCH($A13,'Valo FX'!$A:$A,0)),0,IF(BX$1&lt;INDEX('Valo FX'!$R:$R,MATCH($A13,'Valo FX'!$A:$A,0)),INDEX(Base!$U:$U,MATCH($A13,Base!$A:$A,0)),IF(BX$1=INDEX('Valo FX'!$R:$R,MATCH($A13,'Valo FX'!$A:$A,0)),INDEX(Base!$V:$V,MATCH($A13,Base!$A:$A,0)),0)))</f>
        <v>7.2364179999999996</v>
      </c>
      <c r="BY13" s="21">
        <f>IF(BY$1&lt;INDEX('Valo FX'!$Q:$Q,MATCH($A13,'Valo FX'!$A:$A,0)),0,IF(BY$1&lt;INDEX('Valo FX'!$R:$R,MATCH($A13,'Valo FX'!$A:$A,0)),INDEX(Base!$U:$U,MATCH($A13,Base!$A:$A,0)),IF(BY$1=INDEX('Valo FX'!$R:$R,MATCH($A13,'Valo FX'!$A:$A,0)),INDEX(Base!$V:$V,MATCH($A13,Base!$A:$A,0)),0)))</f>
        <v>7.2364179999999996</v>
      </c>
      <c r="BZ13" s="21">
        <f>IF(BZ$1&lt;INDEX('Valo FX'!$Q:$Q,MATCH($A13,'Valo FX'!$A:$A,0)),0,IF(BZ$1&lt;INDEX('Valo FX'!$R:$R,MATCH($A13,'Valo FX'!$A:$A,0)),INDEX(Base!$U:$U,MATCH($A13,Base!$A:$A,0)),IF(BZ$1=INDEX('Valo FX'!$R:$R,MATCH($A13,'Valo FX'!$A:$A,0)),INDEX(Base!$V:$V,MATCH($A13,Base!$A:$A,0)),0)))</f>
        <v>7.2364179999999996</v>
      </c>
      <c r="CA13" s="21">
        <f>IF(CA$1&lt;INDEX('Valo FX'!$Q:$Q,MATCH($A13,'Valo FX'!$A:$A,0)),0,IF(CA$1&lt;INDEX('Valo FX'!$R:$R,MATCH($A13,'Valo FX'!$A:$A,0)),INDEX(Base!$U:$U,MATCH($A13,Base!$A:$A,0)),IF(CA$1=INDEX('Valo FX'!$R:$R,MATCH($A13,'Valo FX'!$A:$A,0)),INDEX(Base!$V:$V,MATCH($A13,Base!$A:$A,0)),0)))</f>
        <v>7.2364179999999996</v>
      </c>
      <c r="CB13" s="21">
        <f>IF(CB$1&lt;INDEX('Valo FX'!$Q:$Q,MATCH($A13,'Valo FX'!$A:$A,0)),0,IF(CB$1&lt;INDEX('Valo FX'!$R:$R,MATCH($A13,'Valo FX'!$A:$A,0)),INDEX(Base!$U:$U,MATCH($A13,Base!$A:$A,0)),IF(CB$1=INDEX('Valo FX'!$R:$R,MATCH($A13,'Valo FX'!$A:$A,0)),INDEX(Base!$V:$V,MATCH($A13,Base!$A:$A,0)),0)))</f>
        <v>7.2364179999999996</v>
      </c>
      <c r="CC13" s="21">
        <f>IF(CC$1&lt;INDEX('Valo FX'!$Q:$Q,MATCH($A13,'Valo FX'!$A:$A,0)),0,IF(CC$1&lt;INDEX('Valo FX'!$R:$R,MATCH($A13,'Valo FX'!$A:$A,0)),INDEX(Base!$U:$U,MATCH($A13,Base!$A:$A,0)),IF(CC$1=INDEX('Valo FX'!$R:$R,MATCH($A13,'Valo FX'!$A:$A,0)),INDEX(Base!$V:$V,MATCH($A13,Base!$A:$A,0)),0)))</f>
        <v>7.2364179999999996</v>
      </c>
      <c r="CD13" s="21">
        <f>IF(CD$1&lt;INDEX('Valo FX'!$Q:$Q,MATCH($A13,'Valo FX'!$A:$A,0)),0,IF(CD$1&lt;INDEX('Valo FX'!$R:$R,MATCH($A13,'Valo FX'!$A:$A,0)),INDEX(Base!$U:$U,MATCH($A13,Base!$A:$A,0)),IF(CD$1=INDEX('Valo FX'!$R:$R,MATCH($A13,'Valo FX'!$A:$A,0)),INDEX(Base!$V:$V,MATCH($A13,Base!$A:$A,0)),0)))</f>
        <v>7.2364179999999996</v>
      </c>
      <c r="CE13" s="21">
        <f>IF(CE$1&lt;INDEX('Valo FX'!$Q:$Q,MATCH($A13,'Valo FX'!$A:$A,0)),0,IF(CE$1&lt;INDEX('Valo FX'!$R:$R,MATCH($A13,'Valo FX'!$A:$A,0)),INDEX(Base!$U:$U,MATCH($A13,Base!$A:$A,0)),IF(CE$1=INDEX('Valo FX'!$R:$R,MATCH($A13,'Valo FX'!$A:$A,0)),INDEX(Base!$V:$V,MATCH($A13,Base!$A:$A,0)),0)))</f>
        <v>7.2364179999999996</v>
      </c>
      <c r="CF13" s="21">
        <f>IF(CF$1&lt;INDEX('Valo FX'!$Q:$Q,MATCH($A13,'Valo FX'!$A:$A,0)),0,IF(CF$1&lt;INDEX('Valo FX'!$R:$R,MATCH($A13,'Valo FX'!$A:$A,0)),INDEX(Base!$U:$U,MATCH($A13,Base!$A:$A,0)),IF(CF$1=INDEX('Valo FX'!$R:$R,MATCH($A13,'Valo FX'!$A:$A,0)),INDEX(Base!$V:$V,MATCH($A13,Base!$A:$A,0)),0)))</f>
        <v>7.2364179999999996</v>
      </c>
      <c r="CG13" s="21">
        <f>IF(CG$1&lt;INDEX('Valo FX'!$Q:$Q,MATCH($A13,'Valo FX'!$A:$A,0)),0,IF(CG$1&lt;INDEX('Valo FX'!$R:$R,MATCH($A13,'Valo FX'!$A:$A,0)),INDEX(Base!$U:$U,MATCH($A13,Base!$A:$A,0)),IF(CG$1=INDEX('Valo FX'!$R:$R,MATCH($A13,'Valo FX'!$A:$A,0)),INDEX(Base!$V:$V,MATCH($A13,Base!$A:$A,0)),0)))</f>
        <v>7.2364179999999996</v>
      </c>
      <c r="CH13" s="21">
        <f>IF(CH$1&lt;INDEX('Valo FX'!$Q:$Q,MATCH($A13,'Valo FX'!$A:$A,0)),0,IF(CH$1&lt;INDEX('Valo FX'!$R:$R,MATCH($A13,'Valo FX'!$A:$A,0)),INDEX(Base!$U:$U,MATCH($A13,Base!$A:$A,0)),IF(CH$1=INDEX('Valo FX'!$R:$R,MATCH($A13,'Valo FX'!$A:$A,0)),INDEX(Base!$V:$V,MATCH($A13,Base!$A:$A,0)),0)))</f>
        <v>7.2364179999999996</v>
      </c>
      <c r="CI13" s="21">
        <f>IF(CI$1&lt;INDEX('Valo FX'!$Q:$Q,MATCH($A13,'Valo FX'!$A:$A,0)),0,IF(CI$1&lt;INDEX('Valo FX'!$R:$R,MATCH($A13,'Valo FX'!$A:$A,0)),INDEX(Base!$U:$U,MATCH($A13,Base!$A:$A,0)),IF(CI$1=INDEX('Valo FX'!$R:$R,MATCH($A13,'Valo FX'!$A:$A,0)),INDEX(Base!$V:$V,MATCH($A13,Base!$A:$A,0)),0)))</f>
        <v>7.2364179999999996</v>
      </c>
      <c r="CJ13" s="21">
        <f>IF(CJ$1&lt;INDEX('Valo FX'!$Q:$Q,MATCH($A13,'Valo FX'!$A:$A,0)),0,IF(CJ$1&lt;INDEX('Valo FX'!$R:$R,MATCH($A13,'Valo FX'!$A:$A,0)),INDEX(Base!$U:$U,MATCH($A13,Base!$A:$A,0)),IF(CJ$1=INDEX('Valo FX'!$R:$R,MATCH($A13,'Valo FX'!$A:$A,0)),INDEX(Base!$V:$V,MATCH($A13,Base!$A:$A,0)),0)))</f>
        <v>7.2364179999999996</v>
      </c>
      <c r="CK13" s="21">
        <f>IF(CK$1&lt;INDEX('Valo FX'!$Q:$Q,MATCH($A13,'Valo FX'!$A:$A,0)),0,IF(CK$1&lt;INDEX('Valo FX'!$R:$R,MATCH($A13,'Valo FX'!$A:$A,0)),INDEX(Base!$U:$U,MATCH($A13,Base!$A:$A,0)),IF(CK$1=INDEX('Valo FX'!$R:$R,MATCH($A13,'Valo FX'!$A:$A,0)),INDEX(Base!$V:$V,MATCH($A13,Base!$A:$A,0)),0)))</f>
        <v>7.2364179999999996</v>
      </c>
      <c r="CL13" s="21">
        <f>IF(CL$1&lt;INDEX('Valo FX'!$Q:$Q,MATCH($A13,'Valo FX'!$A:$A,0)),0,IF(CL$1&lt;INDEX('Valo FX'!$R:$R,MATCH($A13,'Valo FX'!$A:$A,0)),INDEX(Base!$U:$U,MATCH($A13,Base!$A:$A,0)),IF(CL$1=INDEX('Valo FX'!$R:$R,MATCH($A13,'Valo FX'!$A:$A,0)),INDEX(Base!$V:$V,MATCH($A13,Base!$A:$A,0)),0)))</f>
        <v>7.2364179999999996</v>
      </c>
      <c r="CM13" s="21">
        <f>IF(CM$1&lt;INDEX('Valo FX'!$Q:$Q,MATCH($A13,'Valo FX'!$A:$A,0)),0,IF(CM$1&lt;INDEX('Valo FX'!$R:$R,MATCH($A13,'Valo FX'!$A:$A,0)),INDEX(Base!$U:$U,MATCH($A13,Base!$A:$A,0)),IF(CM$1=INDEX('Valo FX'!$R:$R,MATCH($A13,'Valo FX'!$A:$A,0)),INDEX(Base!$V:$V,MATCH($A13,Base!$A:$A,0)),0)))</f>
        <v>7.2364179999999996</v>
      </c>
      <c r="CN13" s="21">
        <f>IF(CN$1&lt;INDEX('Valo FX'!$Q:$Q,MATCH($A13,'Valo FX'!$A:$A,0)),0,IF(CN$1&lt;INDEX('Valo FX'!$R:$R,MATCH($A13,'Valo FX'!$A:$A,0)),INDEX(Base!$U:$U,MATCH($A13,Base!$A:$A,0)),IF(CN$1=INDEX('Valo FX'!$R:$R,MATCH($A13,'Valo FX'!$A:$A,0)),INDEX(Base!$V:$V,MATCH($A13,Base!$A:$A,0)),0)))</f>
        <v>7.2364179999999996</v>
      </c>
      <c r="CO13" s="21">
        <f>IF(CO$1&lt;INDEX('Valo FX'!$Q:$Q,MATCH($A13,'Valo FX'!$A:$A,0)),0,IF(CO$1&lt;INDEX('Valo FX'!$R:$R,MATCH($A13,'Valo FX'!$A:$A,0)),INDEX(Base!$U:$U,MATCH($A13,Base!$A:$A,0)),IF(CO$1=INDEX('Valo FX'!$R:$R,MATCH($A13,'Valo FX'!$A:$A,0)),INDEX(Base!$V:$V,MATCH($A13,Base!$A:$A,0)),0)))</f>
        <v>7.2364179999999996</v>
      </c>
      <c r="CP13" s="21">
        <f>IF(CP$1&lt;INDEX('Valo FX'!$Q:$Q,MATCH($A13,'Valo FX'!$A:$A,0)),0,IF(CP$1&lt;INDEX('Valo FX'!$R:$R,MATCH($A13,'Valo FX'!$A:$A,0)),INDEX(Base!$U:$U,MATCH($A13,Base!$A:$A,0)),IF(CP$1=INDEX('Valo FX'!$R:$R,MATCH($A13,'Valo FX'!$A:$A,0)),INDEX(Base!$V:$V,MATCH($A13,Base!$A:$A,0)),0)))</f>
        <v>7.2364179999999996</v>
      </c>
      <c r="CQ13" s="21">
        <f>IF(CQ$1&lt;INDEX('Valo FX'!$Q:$Q,MATCH($A13,'Valo FX'!$A:$A,0)),0,IF(CQ$1&lt;INDEX('Valo FX'!$R:$R,MATCH($A13,'Valo FX'!$A:$A,0)),INDEX(Base!$U:$U,MATCH($A13,Base!$A:$A,0)),IF(CQ$1=INDEX('Valo FX'!$R:$R,MATCH($A13,'Valo FX'!$A:$A,0)),INDEX(Base!$V:$V,MATCH($A13,Base!$A:$A,0)),0)))</f>
        <v>7.2364179999999996</v>
      </c>
      <c r="CR13" s="21">
        <f>IF(CR$1&lt;INDEX('Valo FX'!$Q:$Q,MATCH($A13,'Valo FX'!$A:$A,0)),0,IF(CR$1&lt;INDEX('Valo FX'!$R:$R,MATCH($A13,'Valo FX'!$A:$A,0)),INDEX(Base!$U:$U,MATCH($A13,Base!$A:$A,0)),IF(CR$1=INDEX('Valo FX'!$R:$R,MATCH($A13,'Valo FX'!$A:$A,0)),INDEX(Base!$V:$V,MATCH($A13,Base!$A:$A,0)),0)))</f>
        <v>7.2364179999999996</v>
      </c>
      <c r="CS13" s="21">
        <f>IF(CS$1&lt;INDEX('Valo FX'!$Q:$Q,MATCH($A13,'Valo FX'!$A:$A,0)),0,IF(CS$1&lt;INDEX('Valo FX'!$R:$R,MATCH($A13,'Valo FX'!$A:$A,0)),INDEX(Base!$U:$U,MATCH($A13,Base!$A:$A,0)),IF(CS$1=INDEX('Valo FX'!$R:$R,MATCH($A13,'Valo FX'!$A:$A,0)),INDEX(Base!$V:$V,MATCH($A13,Base!$A:$A,0)),0)))</f>
        <v>7.2364179999999996</v>
      </c>
      <c r="CT13" s="21">
        <f>IF(CT$1&lt;INDEX('Valo FX'!$Q:$Q,MATCH($A13,'Valo FX'!$A:$A,0)),0,IF(CT$1&lt;INDEX('Valo FX'!$R:$R,MATCH($A13,'Valo FX'!$A:$A,0)),INDEX(Base!$U:$U,MATCH($A13,Base!$A:$A,0)),IF(CT$1=INDEX('Valo FX'!$R:$R,MATCH($A13,'Valo FX'!$A:$A,0)),INDEX(Base!$V:$V,MATCH($A13,Base!$A:$A,0)),0)))</f>
        <v>7.2364179999999996</v>
      </c>
      <c r="CU13" s="21">
        <f>IF(CU$1&lt;INDEX('Valo FX'!$Q:$Q,MATCH($A13,'Valo FX'!$A:$A,0)),0,IF(CU$1&lt;INDEX('Valo FX'!$R:$R,MATCH($A13,'Valo FX'!$A:$A,0)),INDEX(Base!$U:$U,MATCH($A13,Base!$A:$A,0)),IF(CU$1=INDEX('Valo FX'!$R:$R,MATCH($A13,'Valo FX'!$A:$A,0)),INDEX(Base!$V:$V,MATCH($A13,Base!$A:$A,0)),0)))</f>
        <v>7.2364179999999996</v>
      </c>
      <c r="CV13" s="21">
        <f>IF(CV$1&lt;INDEX('Valo FX'!$Q:$Q,MATCH($A13,'Valo FX'!$A:$A,0)),0,IF(CV$1&lt;INDEX('Valo FX'!$R:$R,MATCH($A13,'Valo FX'!$A:$A,0)),INDEX(Base!$U:$U,MATCH($A13,Base!$A:$A,0)),IF(CV$1=INDEX('Valo FX'!$R:$R,MATCH($A13,'Valo FX'!$A:$A,0)),INDEX(Base!$V:$V,MATCH($A13,Base!$A:$A,0)),0)))</f>
        <v>7.2364179999999996</v>
      </c>
      <c r="CW13" s="21">
        <f>IF(CW$1&lt;INDEX('Valo FX'!$Q:$Q,MATCH($A13,'Valo FX'!$A:$A,0)),0,IF(CW$1&lt;INDEX('Valo FX'!$R:$R,MATCH($A13,'Valo FX'!$A:$A,0)),INDEX(Base!$U:$U,MATCH($A13,Base!$A:$A,0)),IF(CW$1=INDEX('Valo FX'!$R:$R,MATCH($A13,'Valo FX'!$A:$A,0)),INDEX(Base!$V:$V,MATCH($A13,Base!$A:$A,0)),0)))</f>
        <v>7.2364179999999996</v>
      </c>
      <c r="CX13" s="21">
        <f>IF(CX$1&lt;INDEX('Valo FX'!$Q:$Q,MATCH($A13,'Valo FX'!$A:$A,0)),0,IF(CX$1&lt;INDEX('Valo FX'!$R:$R,MATCH($A13,'Valo FX'!$A:$A,0)),INDEX(Base!$U:$U,MATCH($A13,Base!$A:$A,0)),IF(CX$1=INDEX('Valo FX'!$R:$R,MATCH($A13,'Valo FX'!$A:$A,0)),INDEX(Base!$V:$V,MATCH($A13,Base!$A:$A,0)),0)))</f>
        <v>7.2364179999999996</v>
      </c>
      <c r="CY13" s="21">
        <f>IF(CY$1&lt;INDEX('Valo FX'!$Q:$Q,MATCH($A13,'Valo FX'!$A:$A,0)),0,IF(CY$1&lt;INDEX('Valo FX'!$R:$R,MATCH($A13,'Valo FX'!$A:$A,0)),INDEX(Base!$U:$U,MATCH($A13,Base!$A:$A,0)),IF(CY$1=INDEX('Valo FX'!$R:$R,MATCH($A13,'Valo FX'!$A:$A,0)),INDEX(Base!$V:$V,MATCH($A13,Base!$A:$A,0)),0)))</f>
        <v>7.2364179999999996</v>
      </c>
      <c r="CZ13" s="21">
        <f>IF(CZ$1&lt;INDEX('Valo FX'!$Q:$Q,MATCH($A13,'Valo FX'!$A:$A,0)),0,IF(CZ$1&lt;INDEX('Valo FX'!$R:$R,MATCH($A13,'Valo FX'!$A:$A,0)),INDEX(Base!$U:$U,MATCH($A13,Base!$A:$A,0)),IF(CZ$1=INDEX('Valo FX'!$R:$R,MATCH($A13,'Valo FX'!$A:$A,0)),INDEX(Base!$V:$V,MATCH($A13,Base!$A:$A,0)),0)))</f>
        <v>7.2364179999999996</v>
      </c>
      <c r="DA13" s="21">
        <f>IF(DA$1&lt;INDEX('Valo FX'!$Q:$Q,MATCH($A13,'Valo FX'!$A:$A,0)),0,IF(DA$1&lt;INDEX('Valo FX'!$R:$R,MATCH($A13,'Valo FX'!$A:$A,0)),INDEX(Base!$U:$U,MATCH($A13,Base!$A:$A,0)),IF(DA$1=INDEX('Valo FX'!$R:$R,MATCH($A13,'Valo FX'!$A:$A,0)),INDEX(Base!$V:$V,MATCH($A13,Base!$A:$A,0)),0)))</f>
        <v>7.2364179999999996</v>
      </c>
      <c r="DB13" s="21">
        <f>IF(DB$1&lt;INDEX('Valo FX'!$Q:$Q,MATCH($A13,'Valo FX'!$A:$A,0)),0,IF(DB$1&lt;INDEX('Valo FX'!$R:$R,MATCH($A13,'Valo FX'!$A:$A,0)),INDEX(Base!$U:$U,MATCH($A13,Base!$A:$A,0)),IF(DB$1=INDEX('Valo FX'!$R:$R,MATCH($A13,'Valo FX'!$A:$A,0)),INDEX(Base!$V:$V,MATCH($A13,Base!$A:$A,0)),0)))</f>
        <v>7.2364179999999996</v>
      </c>
      <c r="DC13" s="21">
        <f>IF(DC$1&lt;INDEX('Valo FX'!$Q:$Q,MATCH($A13,'Valo FX'!$A:$A,0)),0,IF(DC$1&lt;INDEX('Valo FX'!$R:$R,MATCH($A13,'Valo FX'!$A:$A,0)),INDEX(Base!$U:$U,MATCH($A13,Base!$A:$A,0)),IF(DC$1=INDEX('Valo FX'!$R:$R,MATCH($A13,'Valo FX'!$A:$A,0)),INDEX(Base!$V:$V,MATCH($A13,Base!$A:$A,0)),0)))</f>
        <v>7.2364179999999996</v>
      </c>
      <c r="DD13" s="21">
        <f>IF(DD$1&lt;INDEX('Valo FX'!$Q:$Q,MATCH($A13,'Valo FX'!$A:$A,0)),0,IF(DD$1&lt;INDEX('Valo FX'!$R:$R,MATCH($A13,'Valo FX'!$A:$A,0)),INDEX(Base!$U:$U,MATCH($A13,Base!$A:$A,0)),IF(DD$1=INDEX('Valo FX'!$R:$R,MATCH($A13,'Valo FX'!$A:$A,0)),INDEX(Base!$V:$V,MATCH($A13,Base!$A:$A,0)),0)))</f>
        <v>7.2364179999999996</v>
      </c>
      <c r="DE13" s="21">
        <f>IF(DE$1&lt;INDEX('Valo FX'!$Q:$Q,MATCH($A13,'Valo FX'!$A:$A,0)),0,IF(DE$1&lt;INDEX('Valo FX'!$R:$R,MATCH($A13,'Valo FX'!$A:$A,0)),INDEX(Base!$U:$U,MATCH($A13,Base!$A:$A,0)),IF(DE$1=INDEX('Valo FX'!$R:$R,MATCH($A13,'Valo FX'!$A:$A,0)),INDEX(Base!$V:$V,MATCH($A13,Base!$A:$A,0)),0)))</f>
        <v>7.2364179999999996</v>
      </c>
      <c r="DF13" s="21">
        <f>IF(DF$1&lt;INDEX('Valo FX'!$Q:$Q,MATCH($A13,'Valo FX'!$A:$A,0)),0,IF(DF$1&lt;INDEX('Valo FX'!$R:$R,MATCH($A13,'Valo FX'!$A:$A,0)),INDEX(Base!$U:$U,MATCH($A13,Base!$A:$A,0)),IF(DF$1=INDEX('Valo FX'!$R:$R,MATCH($A13,'Valo FX'!$A:$A,0)),INDEX(Base!$V:$V,MATCH($A13,Base!$A:$A,0)),0)))</f>
        <v>7.2364179999999996</v>
      </c>
      <c r="DG13" s="21">
        <f>IF(DG$1&lt;INDEX('Valo FX'!$Q:$Q,MATCH($A13,'Valo FX'!$A:$A,0)),0,IF(DG$1&lt;INDEX('Valo FX'!$R:$R,MATCH($A13,'Valo FX'!$A:$A,0)),INDEX(Base!$U:$U,MATCH($A13,Base!$A:$A,0)),IF(DG$1=INDEX('Valo FX'!$R:$R,MATCH($A13,'Valo FX'!$A:$A,0)),INDEX(Base!$V:$V,MATCH($A13,Base!$A:$A,0)),0)))</f>
        <v>7.2364179999999996</v>
      </c>
      <c r="DH13" s="21">
        <f>IF(DH$1&lt;INDEX('Valo FX'!$Q:$Q,MATCH($A13,'Valo FX'!$A:$A,0)),0,IF(DH$1&lt;INDEX('Valo FX'!$R:$R,MATCH($A13,'Valo FX'!$A:$A,0)),INDEX(Base!$U:$U,MATCH($A13,Base!$A:$A,0)),IF(DH$1=INDEX('Valo FX'!$R:$R,MATCH($A13,'Valo FX'!$A:$A,0)),INDEX(Base!$V:$V,MATCH($A13,Base!$A:$A,0)),0)))</f>
        <v>7.2364179999999996</v>
      </c>
      <c r="DI13" s="21">
        <f>IF(DI$1&lt;INDEX('Valo FX'!$Q:$Q,MATCH($A13,'Valo FX'!$A:$A,0)),0,IF(DI$1&lt;INDEX('Valo FX'!$R:$R,MATCH($A13,'Valo FX'!$A:$A,0)),INDEX(Base!$U:$U,MATCH($A13,Base!$A:$A,0)),IF(DI$1=INDEX('Valo FX'!$R:$R,MATCH($A13,'Valo FX'!$A:$A,0)),INDEX(Base!$V:$V,MATCH($A13,Base!$A:$A,0)),0)))</f>
        <v>7.2364179999999996</v>
      </c>
      <c r="DJ13" s="21">
        <f>IF(DJ$1&lt;INDEX('Valo FX'!$Q:$Q,MATCH($A13,'Valo FX'!$A:$A,0)),0,IF(DJ$1&lt;INDEX('Valo FX'!$R:$R,MATCH($A13,'Valo FX'!$A:$A,0)),INDEX(Base!$U:$U,MATCH($A13,Base!$A:$A,0)),IF(DJ$1=INDEX('Valo FX'!$R:$R,MATCH($A13,'Valo FX'!$A:$A,0)),INDEX(Base!$V:$V,MATCH($A13,Base!$A:$A,0)),0)))</f>
        <v>7.2364179999999996</v>
      </c>
      <c r="DK13" s="21">
        <f>IF(DK$1&lt;INDEX('Valo FX'!$Q:$Q,MATCH($A13,'Valo FX'!$A:$A,0)),0,IF(DK$1&lt;INDEX('Valo FX'!$R:$R,MATCH($A13,'Valo FX'!$A:$A,0)),INDEX(Base!$U:$U,MATCH($A13,Base!$A:$A,0)),IF(DK$1=INDEX('Valo FX'!$R:$R,MATCH($A13,'Valo FX'!$A:$A,0)),INDEX(Base!$V:$V,MATCH($A13,Base!$A:$A,0)),0)))</f>
        <v>7.2364179999999996</v>
      </c>
      <c r="DL13" s="21">
        <f>IF(DL$1&lt;INDEX('Valo FX'!$Q:$Q,MATCH($A13,'Valo FX'!$A:$A,0)),0,IF(DL$1&lt;INDEX('Valo FX'!$R:$R,MATCH($A13,'Valo FX'!$A:$A,0)),INDEX(Base!$U:$U,MATCH($A13,Base!$A:$A,0)),IF(DL$1=INDEX('Valo FX'!$R:$R,MATCH($A13,'Valo FX'!$A:$A,0)),INDEX(Base!$V:$V,MATCH($A13,Base!$A:$A,0)),0)))</f>
        <v>7.2364179999999996</v>
      </c>
      <c r="DM13" s="21">
        <f>IF(DM$1&lt;INDEX('Valo FX'!$Q:$Q,MATCH($A13,'Valo FX'!$A:$A,0)),0,IF(DM$1&lt;INDEX('Valo FX'!$R:$R,MATCH($A13,'Valo FX'!$A:$A,0)),INDEX(Base!$U:$U,MATCH($A13,Base!$A:$A,0)),IF(DM$1=INDEX('Valo FX'!$R:$R,MATCH($A13,'Valo FX'!$A:$A,0)),INDEX(Base!$V:$V,MATCH($A13,Base!$A:$A,0)),0)))</f>
        <v>7.2364179999999996</v>
      </c>
      <c r="DN13" s="21">
        <f>IF(DN$1&lt;INDEX('Valo FX'!$Q:$Q,MATCH($A13,'Valo FX'!$A:$A,0)),0,IF(DN$1&lt;INDEX('Valo FX'!$R:$R,MATCH($A13,'Valo FX'!$A:$A,0)),INDEX(Base!$U:$U,MATCH($A13,Base!$A:$A,0)),IF(DN$1=INDEX('Valo FX'!$R:$R,MATCH($A13,'Valo FX'!$A:$A,0)),INDEX(Base!$V:$V,MATCH($A13,Base!$A:$A,0)),0)))</f>
        <v>7.2364179999999996</v>
      </c>
      <c r="DO13" s="21">
        <f>IF(DO$1&lt;INDEX('Valo FX'!$Q:$Q,MATCH($A13,'Valo FX'!$A:$A,0)),0,IF(DO$1&lt;INDEX('Valo FX'!$R:$R,MATCH($A13,'Valo FX'!$A:$A,0)),INDEX(Base!$U:$U,MATCH($A13,Base!$A:$A,0)),IF(DO$1=INDEX('Valo FX'!$R:$R,MATCH($A13,'Valo FX'!$A:$A,0)),INDEX(Base!$V:$V,MATCH($A13,Base!$A:$A,0)),0)))</f>
        <v>7.2364179999999996</v>
      </c>
      <c r="DP13" s="21">
        <f>IF(DP$1&lt;INDEX('Valo FX'!$Q:$Q,MATCH($A13,'Valo FX'!$A:$A,0)),0,IF(DP$1&lt;INDEX('Valo FX'!$R:$R,MATCH($A13,'Valo FX'!$A:$A,0)),INDEX(Base!$U:$U,MATCH($A13,Base!$A:$A,0)),IF(DP$1=INDEX('Valo FX'!$R:$R,MATCH($A13,'Valo FX'!$A:$A,0)),INDEX(Base!$V:$V,MATCH($A13,Base!$A:$A,0)),0)))</f>
        <v>7.2364179999999996</v>
      </c>
      <c r="DQ13" s="21">
        <f>IF(DQ$1&lt;INDEX('Valo FX'!$Q:$Q,MATCH($A13,'Valo FX'!$A:$A,0)),0,IF(DQ$1&lt;INDEX('Valo FX'!$R:$R,MATCH($A13,'Valo FX'!$A:$A,0)),INDEX(Base!$U:$U,MATCH($A13,Base!$A:$A,0)),IF(DQ$1=INDEX('Valo FX'!$R:$R,MATCH($A13,'Valo FX'!$A:$A,0)),INDEX(Base!$V:$V,MATCH($A13,Base!$A:$A,0)),0)))</f>
        <v>7.2364179999999996</v>
      </c>
      <c r="DR13" s="21">
        <f>IF(DR$1&lt;INDEX('Valo FX'!$Q:$Q,MATCH($A13,'Valo FX'!$A:$A,0)),0,IF(DR$1&lt;INDEX('Valo FX'!$R:$R,MATCH($A13,'Valo FX'!$A:$A,0)),INDEX(Base!$U:$U,MATCH($A13,Base!$A:$A,0)),IF(DR$1=INDEX('Valo FX'!$R:$R,MATCH($A13,'Valo FX'!$A:$A,0)),INDEX(Base!$V:$V,MATCH($A13,Base!$A:$A,0)),0)))</f>
        <v>7.2364179999999996</v>
      </c>
      <c r="DS13" s="21">
        <f>IF(DS$1&lt;INDEX('Valo FX'!$Q:$Q,MATCH($A13,'Valo FX'!$A:$A,0)),0,IF(DS$1&lt;INDEX('Valo FX'!$R:$R,MATCH($A13,'Valo FX'!$A:$A,0)),INDEX(Base!$U:$U,MATCH($A13,Base!$A:$A,0)),IF(DS$1=INDEX('Valo FX'!$R:$R,MATCH($A13,'Valo FX'!$A:$A,0)),INDEX(Base!$V:$V,MATCH($A13,Base!$A:$A,0)),0)))</f>
        <v>7.2364179999999996</v>
      </c>
      <c r="DT13" s="21">
        <f>IF(DT$1&lt;INDEX('Valo FX'!$Q:$Q,MATCH($A13,'Valo FX'!$A:$A,0)),0,IF(DT$1&lt;INDEX('Valo FX'!$R:$R,MATCH($A13,'Valo FX'!$A:$A,0)),INDEX(Base!$U:$U,MATCH($A13,Base!$A:$A,0)),IF(DT$1=INDEX('Valo FX'!$R:$R,MATCH($A13,'Valo FX'!$A:$A,0)),INDEX(Base!$V:$V,MATCH($A13,Base!$A:$A,0)),0)))</f>
        <v>7.2364179999999996</v>
      </c>
      <c r="DU13" s="21">
        <f>IF(DU$1&lt;INDEX('Valo FX'!$Q:$Q,MATCH($A13,'Valo FX'!$A:$A,0)),0,IF(DU$1&lt;INDEX('Valo FX'!$R:$R,MATCH($A13,'Valo FX'!$A:$A,0)),INDEX(Base!$U:$U,MATCH($A13,Base!$A:$A,0)),IF(DU$1=INDEX('Valo FX'!$R:$R,MATCH($A13,'Valo FX'!$A:$A,0)),INDEX(Base!$V:$V,MATCH($A13,Base!$A:$A,0)),0)))</f>
        <v>7.2364179999999996</v>
      </c>
      <c r="DV13" s="21">
        <f>IF(DV$1&lt;INDEX('Valo FX'!$Q:$Q,MATCH($A13,'Valo FX'!$A:$A,0)),0,IF(DV$1&lt;INDEX('Valo FX'!$R:$R,MATCH($A13,'Valo FX'!$A:$A,0)),INDEX(Base!$U:$U,MATCH($A13,Base!$A:$A,0)),IF(DV$1=INDEX('Valo FX'!$R:$R,MATCH($A13,'Valo FX'!$A:$A,0)),INDEX(Base!$V:$V,MATCH($A13,Base!$A:$A,0)),0)))</f>
        <v>7.2364179999999996</v>
      </c>
      <c r="DW13" s="21">
        <f>IF(DW$1&lt;INDEX('Valo FX'!$Q:$Q,MATCH($A13,'Valo FX'!$A:$A,0)),0,IF(DW$1&lt;INDEX('Valo FX'!$R:$R,MATCH($A13,'Valo FX'!$A:$A,0)),INDEX(Base!$U:$U,MATCH($A13,Base!$A:$A,0)),IF(DW$1=INDEX('Valo FX'!$R:$R,MATCH($A13,'Valo FX'!$A:$A,0)),INDEX(Base!$V:$V,MATCH($A13,Base!$A:$A,0)),0)))</f>
        <v>7.2364179999999996</v>
      </c>
      <c r="DX13" s="21">
        <f>IF(DX$1&lt;INDEX('Valo FX'!$Q:$Q,MATCH($A13,'Valo FX'!$A:$A,0)),0,IF(DX$1&lt;INDEX('Valo FX'!$R:$R,MATCH($A13,'Valo FX'!$A:$A,0)),INDEX(Base!$U:$U,MATCH($A13,Base!$A:$A,0)),IF(DX$1=INDEX('Valo FX'!$R:$R,MATCH($A13,'Valo FX'!$A:$A,0)),INDEX(Base!$V:$V,MATCH($A13,Base!$A:$A,0)),0)))</f>
        <v>7.2364179999999996</v>
      </c>
      <c r="DY13" s="21">
        <f>IF(DY$1&lt;INDEX('Valo FX'!$Q:$Q,MATCH($A13,'Valo FX'!$A:$A,0)),0,IF(DY$1&lt;INDEX('Valo FX'!$R:$R,MATCH($A13,'Valo FX'!$A:$A,0)),INDEX(Base!$U:$U,MATCH($A13,Base!$A:$A,0)),IF(DY$1=INDEX('Valo FX'!$R:$R,MATCH($A13,'Valo FX'!$A:$A,0)),INDEX(Base!$V:$V,MATCH($A13,Base!$A:$A,0)),0)))</f>
        <v>7.2364179999999996</v>
      </c>
      <c r="DZ13" s="21">
        <f>IF(DZ$1&lt;INDEX('Valo FX'!$Q:$Q,MATCH($A13,'Valo FX'!$A:$A,0)),0,IF(DZ$1&lt;INDEX('Valo FX'!$R:$R,MATCH($A13,'Valo FX'!$A:$A,0)),INDEX(Base!$U:$U,MATCH($A13,Base!$A:$A,0)),IF(DZ$1=INDEX('Valo FX'!$R:$R,MATCH($A13,'Valo FX'!$A:$A,0)),INDEX(Base!$V:$V,MATCH($A13,Base!$A:$A,0)),0)))</f>
        <v>7.2364179999999996</v>
      </c>
      <c r="EA13" s="21">
        <f>IF(EA$1&lt;INDEX('Valo FX'!$Q:$Q,MATCH($A13,'Valo FX'!$A:$A,0)),0,IF(EA$1&lt;INDEX('Valo FX'!$R:$R,MATCH($A13,'Valo FX'!$A:$A,0)),INDEX(Base!$U:$U,MATCH($A13,Base!$A:$A,0)),IF(EA$1=INDEX('Valo FX'!$R:$R,MATCH($A13,'Valo FX'!$A:$A,0)),INDEX(Base!$V:$V,MATCH($A13,Base!$A:$A,0)),0)))</f>
        <v>7.2364179999999996</v>
      </c>
      <c r="EB13" s="21">
        <f>IF(EB$1&lt;INDEX('Valo FX'!$Q:$Q,MATCH($A13,'Valo FX'!$A:$A,0)),0,IF(EB$1&lt;INDEX('Valo FX'!$R:$R,MATCH($A13,'Valo FX'!$A:$A,0)),INDEX(Base!$U:$U,MATCH($A13,Base!$A:$A,0)),IF(EB$1=INDEX('Valo FX'!$R:$R,MATCH($A13,'Valo FX'!$A:$A,0)),INDEX(Base!$V:$V,MATCH($A13,Base!$A:$A,0)),0)))</f>
        <v>7.2364179999999996</v>
      </c>
      <c r="EC13" s="21">
        <f>IF(EC$1&lt;INDEX('Valo FX'!$Q:$Q,MATCH($A13,'Valo FX'!$A:$A,0)),0,IF(EC$1&lt;INDEX('Valo FX'!$R:$R,MATCH($A13,'Valo FX'!$A:$A,0)),INDEX(Base!$U:$U,MATCH($A13,Base!$A:$A,0)),IF(EC$1=INDEX('Valo FX'!$R:$R,MATCH($A13,'Valo FX'!$A:$A,0)),INDEX(Base!$V:$V,MATCH($A13,Base!$A:$A,0)),0)))</f>
        <v>7.2364179999999996</v>
      </c>
      <c r="ED13" s="21">
        <f>IF(ED$1&lt;INDEX('Valo FX'!$Q:$Q,MATCH($A13,'Valo FX'!$A:$A,0)),0,IF(ED$1&lt;INDEX('Valo FX'!$R:$R,MATCH($A13,'Valo FX'!$A:$A,0)),INDEX(Base!$U:$U,MATCH($A13,Base!$A:$A,0)),IF(ED$1=INDEX('Valo FX'!$R:$R,MATCH($A13,'Valo FX'!$A:$A,0)),INDEX(Base!$V:$V,MATCH($A13,Base!$A:$A,0)),0)))</f>
        <v>7.2364179999999996</v>
      </c>
      <c r="EE13" s="21">
        <f>IF(EE$1&lt;INDEX('Valo FX'!$Q:$Q,MATCH($A13,'Valo FX'!$A:$A,0)),0,IF(EE$1&lt;INDEX('Valo FX'!$R:$R,MATCH($A13,'Valo FX'!$A:$A,0)),INDEX(Base!$U:$U,MATCH($A13,Base!$A:$A,0)),IF(EE$1=INDEX('Valo FX'!$R:$R,MATCH($A13,'Valo FX'!$A:$A,0)),INDEX(Base!$V:$V,MATCH($A13,Base!$A:$A,0)),0)))</f>
        <v>7.2364179999999996</v>
      </c>
      <c r="EF13" s="21">
        <f>IF(EF$1&lt;INDEX('Valo FX'!$Q:$Q,MATCH($A13,'Valo FX'!$A:$A,0)),0,IF(EF$1&lt;INDEX('Valo FX'!$R:$R,MATCH($A13,'Valo FX'!$A:$A,0)),INDEX(Base!$U:$U,MATCH($A13,Base!$A:$A,0)),IF(EF$1=INDEX('Valo FX'!$R:$R,MATCH($A13,'Valo FX'!$A:$A,0)),INDEX(Base!$V:$V,MATCH($A13,Base!$A:$A,0)),0)))</f>
        <v>7.2364179999999996</v>
      </c>
      <c r="EG13" s="21">
        <f>IF(EG$1&lt;INDEX('Valo FX'!$Q:$Q,MATCH($A13,'Valo FX'!$A:$A,0)),0,IF(EG$1&lt;INDEX('Valo FX'!$R:$R,MATCH($A13,'Valo FX'!$A:$A,0)),INDEX(Base!$U:$U,MATCH($A13,Base!$A:$A,0)),IF(EG$1=INDEX('Valo FX'!$R:$R,MATCH($A13,'Valo FX'!$A:$A,0)),INDEX(Base!$V:$V,MATCH($A13,Base!$A:$A,0)),0)))</f>
        <v>7.2364179999999996</v>
      </c>
      <c r="EH13" s="21">
        <f>IF(EH$1&lt;INDEX('Valo FX'!$Q:$Q,MATCH($A13,'Valo FX'!$A:$A,0)),0,IF(EH$1&lt;INDEX('Valo FX'!$R:$R,MATCH($A13,'Valo FX'!$A:$A,0)),INDEX(Base!$U:$U,MATCH($A13,Base!$A:$A,0)),IF(EH$1=INDEX('Valo FX'!$R:$R,MATCH($A13,'Valo FX'!$A:$A,0)),INDEX(Base!$V:$V,MATCH($A13,Base!$A:$A,0)),0)))</f>
        <v>7.2364179999999996</v>
      </c>
      <c r="EI13" s="21">
        <f>IF(EI$1&lt;INDEX('Valo FX'!$Q:$Q,MATCH($A13,'Valo FX'!$A:$A,0)),0,IF(EI$1&lt;INDEX('Valo FX'!$R:$R,MATCH($A13,'Valo FX'!$A:$A,0)),INDEX(Base!$U:$U,MATCH($A13,Base!$A:$A,0)),IF(EI$1=INDEX('Valo FX'!$R:$R,MATCH($A13,'Valo FX'!$A:$A,0)),INDEX(Base!$V:$V,MATCH($A13,Base!$A:$A,0)),0)))</f>
        <v>7.2364179999999996</v>
      </c>
      <c r="EJ13" s="21">
        <f>IF(EJ$1&lt;INDEX('Valo FX'!$Q:$Q,MATCH($A13,'Valo FX'!$A:$A,0)),0,IF(EJ$1&lt;INDEX('Valo FX'!$R:$R,MATCH($A13,'Valo FX'!$A:$A,0)),INDEX(Base!$U:$U,MATCH($A13,Base!$A:$A,0)),IF(EJ$1=INDEX('Valo FX'!$R:$R,MATCH($A13,'Valo FX'!$A:$A,0)),INDEX(Base!$V:$V,MATCH($A13,Base!$A:$A,0)),0)))</f>
        <v>7.2364179999999996</v>
      </c>
      <c r="EK13" s="21">
        <f>IF(EK$1&lt;INDEX('Valo FX'!$Q:$Q,MATCH($A13,'Valo FX'!$A:$A,0)),0,IF(EK$1&lt;INDEX('Valo FX'!$R:$R,MATCH($A13,'Valo FX'!$A:$A,0)),INDEX(Base!$U:$U,MATCH($A13,Base!$A:$A,0)),IF(EK$1=INDEX('Valo FX'!$R:$R,MATCH($A13,'Valo FX'!$A:$A,0)),INDEX(Base!$V:$V,MATCH($A13,Base!$A:$A,0)),0)))</f>
        <v>7.2364179999999996</v>
      </c>
      <c r="EL13" s="21">
        <f>IF(EL$1&lt;INDEX('Valo FX'!$Q:$Q,MATCH($A13,'Valo FX'!$A:$A,0)),0,IF(EL$1&lt;INDEX('Valo FX'!$R:$R,MATCH($A13,'Valo FX'!$A:$A,0)),INDEX(Base!$U:$U,MATCH($A13,Base!$A:$A,0)),IF(EL$1=INDEX('Valo FX'!$R:$R,MATCH($A13,'Valo FX'!$A:$A,0)),INDEX(Base!$V:$V,MATCH($A13,Base!$A:$A,0)),0)))</f>
        <v>7.2364179999999996</v>
      </c>
      <c r="EM13" s="21">
        <f>IF(EM$1&lt;INDEX('Valo FX'!$Q:$Q,MATCH($A13,'Valo FX'!$A:$A,0)),0,IF(EM$1&lt;INDEX('Valo FX'!$R:$R,MATCH($A13,'Valo FX'!$A:$A,0)),INDEX(Base!$U:$U,MATCH($A13,Base!$A:$A,0)),IF(EM$1=INDEX('Valo FX'!$R:$R,MATCH($A13,'Valo FX'!$A:$A,0)),INDEX(Base!$V:$V,MATCH($A13,Base!$A:$A,0)),0)))</f>
        <v>7.2364179999999996</v>
      </c>
      <c r="EN13" s="21">
        <f>IF(EN$1&lt;INDEX('Valo FX'!$Q:$Q,MATCH($A13,'Valo FX'!$A:$A,0)),0,IF(EN$1&lt;INDEX('Valo FX'!$R:$R,MATCH($A13,'Valo FX'!$A:$A,0)),INDEX(Base!$U:$U,MATCH($A13,Base!$A:$A,0)),IF(EN$1=INDEX('Valo FX'!$R:$R,MATCH($A13,'Valo FX'!$A:$A,0)),INDEX(Base!$V:$V,MATCH($A13,Base!$A:$A,0)),0)))</f>
        <v>7.2364179999999996</v>
      </c>
      <c r="EO13" s="21">
        <f>IF(EO$1&lt;INDEX('Valo FX'!$Q:$Q,MATCH($A13,'Valo FX'!$A:$A,0)),0,IF(EO$1&lt;INDEX('Valo FX'!$R:$R,MATCH($A13,'Valo FX'!$A:$A,0)),INDEX(Base!$U:$U,MATCH($A13,Base!$A:$A,0)),IF(EO$1=INDEX('Valo FX'!$R:$R,MATCH($A13,'Valo FX'!$A:$A,0)),INDEX(Base!$V:$V,MATCH($A13,Base!$A:$A,0)),0)))</f>
        <v>7.2364179999999996</v>
      </c>
      <c r="EP13" s="21">
        <f>IF(EP$1&lt;INDEX('Valo FX'!$Q:$Q,MATCH($A13,'Valo FX'!$A:$A,0)),0,IF(EP$1&lt;INDEX('Valo FX'!$R:$R,MATCH($A13,'Valo FX'!$A:$A,0)),INDEX(Base!$U:$U,MATCH($A13,Base!$A:$A,0)),IF(EP$1=INDEX('Valo FX'!$R:$R,MATCH($A13,'Valo FX'!$A:$A,0)),INDEX(Base!$V:$V,MATCH($A13,Base!$A:$A,0)),0)))</f>
        <v>7.2364179999999996</v>
      </c>
      <c r="EQ13" s="21">
        <f>IF(EQ$1&lt;INDEX('Valo FX'!$Q:$Q,MATCH($A13,'Valo FX'!$A:$A,0)),0,IF(EQ$1&lt;INDEX('Valo FX'!$R:$R,MATCH($A13,'Valo FX'!$A:$A,0)),INDEX(Base!$U:$U,MATCH($A13,Base!$A:$A,0)),IF(EQ$1=INDEX('Valo FX'!$R:$R,MATCH($A13,'Valo FX'!$A:$A,0)),INDEX(Base!$V:$V,MATCH($A13,Base!$A:$A,0)),0)))</f>
        <v>7.2364179999999996</v>
      </c>
      <c r="ER13" s="21">
        <f>IF(ER$1&lt;INDEX('Valo FX'!$Q:$Q,MATCH($A13,'Valo FX'!$A:$A,0)),0,IF(ER$1&lt;INDEX('Valo FX'!$R:$R,MATCH($A13,'Valo FX'!$A:$A,0)),INDEX(Base!$U:$U,MATCH($A13,Base!$A:$A,0)),IF(ER$1=INDEX('Valo FX'!$R:$R,MATCH($A13,'Valo FX'!$A:$A,0)),INDEX(Base!$V:$V,MATCH($A13,Base!$A:$A,0)),0)))</f>
        <v>7.2364179999999996</v>
      </c>
      <c r="ES13" s="21">
        <f>IF(ES$1&lt;INDEX('Valo FX'!$Q:$Q,MATCH($A13,'Valo FX'!$A:$A,0)),0,IF(ES$1&lt;INDEX('Valo FX'!$R:$R,MATCH($A13,'Valo FX'!$A:$A,0)),INDEX(Base!$U:$U,MATCH($A13,Base!$A:$A,0)),IF(ES$1=INDEX('Valo FX'!$R:$R,MATCH($A13,'Valo FX'!$A:$A,0)),INDEX(Base!$V:$V,MATCH($A13,Base!$A:$A,0)),0)))</f>
        <v>7.2364179999999996</v>
      </c>
      <c r="ET13" s="21">
        <f>IF(ET$1&lt;INDEX('Valo FX'!$Q:$Q,MATCH($A13,'Valo FX'!$A:$A,0)),0,IF(ET$1&lt;INDEX('Valo FX'!$R:$R,MATCH($A13,'Valo FX'!$A:$A,0)),INDEX(Base!$U:$U,MATCH($A13,Base!$A:$A,0)),IF(ET$1=INDEX('Valo FX'!$R:$R,MATCH($A13,'Valo FX'!$A:$A,0)),INDEX(Base!$V:$V,MATCH($A13,Base!$A:$A,0)),0)))</f>
        <v>7.2364179999999996</v>
      </c>
      <c r="EU13" s="21">
        <f>IF(EU$1&lt;INDEX('Valo FX'!$Q:$Q,MATCH($A13,'Valo FX'!$A:$A,0)),0,IF(EU$1&lt;INDEX('Valo FX'!$R:$R,MATCH($A13,'Valo FX'!$A:$A,0)),INDEX(Base!$U:$U,MATCH($A13,Base!$A:$A,0)),IF(EU$1=INDEX('Valo FX'!$R:$R,MATCH($A13,'Valo FX'!$A:$A,0)),INDEX(Base!$V:$V,MATCH($A13,Base!$A:$A,0)),0)))</f>
        <v>7.2364179999999996</v>
      </c>
      <c r="EV13" s="21">
        <f>IF(EV$1&lt;INDEX('Valo FX'!$Q:$Q,MATCH($A13,'Valo FX'!$A:$A,0)),0,IF(EV$1&lt;INDEX('Valo FX'!$R:$R,MATCH($A13,'Valo FX'!$A:$A,0)),INDEX(Base!$U:$U,MATCH($A13,Base!$A:$A,0)),IF(EV$1=INDEX('Valo FX'!$R:$R,MATCH($A13,'Valo FX'!$A:$A,0)),INDEX(Base!$V:$V,MATCH($A13,Base!$A:$A,0)),0)))</f>
        <v>7.2364179999999996</v>
      </c>
      <c r="EW13" s="21">
        <f>IF(EW$1&lt;INDEX('Valo FX'!$Q:$Q,MATCH($A13,'Valo FX'!$A:$A,0)),0,IF(EW$1&lt;INDEX('Valo FX'!$R:$R,MATCH($A13,'Valo FX'!$A:$A,0)),INDEX(Base!$U:$U,MATCH($A13,Base!$A:$A,0)),IF(EW$1=INDEX('Valo FX'!$R:$R,MATCH($A13,'Valo FX'!$A:$A,0)),INDEX(Base!$V:$V,MATCH($A13,Base!$A:$A,0)),0)))</f>
        <v>7.2364179999999996</v>
      </c>
      <c r="EX13" s="21">
        <f>IF(EX$1&lt;INDEX('Valo FX'!$Q:$Q,MATCH($A13,'Valo FX'!$A:$A,0)),0,IF(EX$1&lt;INDEX('Valo FX'!$R:$R,MATCH($A13,'Valo FX'!$A:$A,0)),INDEX(Base!$U:$U,MATCH($A13,Base!$A:$A,0)),IF(EX$1=INDEX('Valo FX'!$R:$R,MATCH($A13,'Valo FX'!$A:$A,0)),INDEX(Base!$V:$V,MATCH($A13,Base!$A:$A,0)),0)))</f>
        <v>7.2364179999999996</v>
      </c>
      <c r="EY13" s="21">
        <f>IF(EY$1&lt;INDEX('Valo FX'!$Q:$Q,MATCH($A13,'Valo FX'!$A:$A,0)),0,IF(EY$1&lt;INDEX('Valo FX'!$R:$R,MATCH($A13,'Valo FX'!$A:$A,0)),INDEX(Base!$U:$U,MATCH($A13,Base!$A:$A,0)),IF(EY$1=INDEX('Valo FX'!$R:$R,MATCH($A13,'Valo FX'!$A:$A,0)),INDEX(Base!$V:$V,MATCH($A13,Base!$A:$A,0)),0)))</f>
        <v>7.2364179999999996</v>
      </c>
      <c r="EZ13" s="21">
        <f>IF(EZ$1&lt;INDEX('Valo FX'!$Q:$Q,MATCH($A13,'Valo FX'!$A:$A,0)),0,IF(EZ$1&lt;INDEX('Valo FX'!$R:$R,MATCH($A13,'Valo FX'!$A:$A,0)),INDEX(Base!$U:$U,MATCH($A13,Base!$A:$A,0)),IF(EZ$1=INDEX('Valo FX'!$R:$R,MATCH($A13,'Valo FX'!$A:$A,0)),INDEX(Base!$V:$V,MATCH($A13,Base!$A:$A,0)),0)))</f>
        <v>7.2364179999999996</v>
      </c>
      <c r="FA13" s="21">
        <f>IF(FA$1&lt;INDEX('Valo FX'!$Q:$Q,MATCH($A13,'Valo FX'!$A:$A,0)),0,IF(FA$1&lt;INDEX('Valo FX'!$R:$R,MATCH($A13,'Valo FX'!$A:$A,0)),INDEX(Base!$U:$U,MATCH($A13,Base!$A:$A,0)),IF(FA$1=INDEX('Valo FX'!$R:$R,MATCH($A13,'Valo FX'!$A:$A,0)),INDEX(Base!$V:$V,MATCH($A13,Base!$A:$A,0)),0)))</f>
        <v>7.2364179999999996</v>
      </c>
      <c r="FB13" s="21">
        <f>IF(FB$1&lt;INDEX('Valo FX'!$Q:$Q,MATCH($A13,'Valo FX'!$A:$A,0)),0,IF(FB$1&lt;INDEX('Valo FX'!$R:$R,MATCH($A13,'Valo FX'!$A:$A,0)),INDEX(Base!$U:$U,MATCH($A13,Base!$A:$A,0)),IF(FB$1=INDEX('Valo FX'!$R:$R,MATCH($A13,'Valo FX'!$A:$A,0)),INDEX(Base!$V:$V,MATCH($A13,Base!$A:$A,0)),0)))</f>
        <v>7.2364179999999996</v>
      </c>
      <c r="FC13" s="21">
        <f>IF(FC$1&lt;INDEX('Valo FX'!$Q:$Q,MATCH($A13,'Valo FX'!$A:$A,0)),0,IF(FC$1&lt;INDEX('Valo FX'!$R:$R,MATCH($A13,'Valo FX'!$A:$A,0)),INDEX(Base!$U:$U,MATCH($A13,Base!$A:$A,0)),IF(FC$1=INDEX('Valo FX'!$R:$R,MATCH($A13,'Valo FX'!$A:$A,0)),INDEX(Base!$V:$V,MATCH($A13,Base!$A:$A,0)),0)))</f>
        <v>7.2364179999999996</v>
      </c>
      <c r="FD13" s="21">
        <f>IF(FD$1&lt;INDEX('Valo FX'!$Q:$Q,MATCH($A13,'Valo FX'!$A:$A,0)),0,IF(FD$1&lt;INDEX('Valo FX'!$R:$R,MATCH($A13,'Valo FX'!$A:$A,0)),INDEX(Base!$U:$U,MATCH($A13,Base!$A:$A,0)),IF(FD$1=INDEX('Valo FX'!$R:$R,MATCH($A13,'Valo FX'!$A:$A,0)),INDEX(Base!$V:$V,MATCH($A13,Base!$A:$A,0)),0)))</f>
        <v>7.2364179999999996</v>
      </c>
      <c r="FE13" s="21">
        <f>IF(FE$1&lt;INDEX('Valo FX'!$Q:$Q,MATCH($A13,'Valo FX'!$A:$A,0)),0,IF(FE$1&lt;INDEX('Valo FX'!$R:$R,MATCH($A13,'Valo FX'!$A:$A,0)),INDEX(Base!$U:$U,MATCH($A13,Base!$A:$A,0)),IF(FE$1=INDEX('Valo FX'!$R:$R,MATCH($A13,'Valo FX'!$A:$A,0)),INDEX(Base!$V:$V,MATCH($A13,Base!$A:$A,0)),0)))</f>
        <v>7.2364179999999996</v>
      </c>
      <c r="FF13" s="21">
        <f>IF(FF$1&lt;INDEX('Valo FX'!$Q:$Q,MATCH($A13,'Valo FX'!$A:$A,0)),0,IF(FF$1&lt;INDEX('Valo FX'!$R:$R,MATCH($A13,'Valo FX'!$A:$A,0)),INDEX(Base!$U:$U,MATCH($A13,Base!$A:$A,0)),IF(FF$1=INDEX('Valo FX'!$R:$R,MATCH($A13,'Valo FX'!$A:$A,0)),INDEX(Base!$V:$V,MATCH($A13,Base!$A:$A,0)),0)))</f>
        <v>7.2364179999999996</v>
      </c>
      <c r="FG13" s="21">
        <f>IF(FG$1&lt;INDEX('Valo FX'!$Q:$Q,MATCH($A13,'Valo FX'!$A:$A,0)),0,IF(FG$1&lt;INDEX('Valo FX'!$R:$R,MATCH($A13,'Valo FX'!$A:$A,0)),INDEX(Base!$U:$U,MATCH($A13,Base!$A:$A,0)),IF(FG$1=INDEX('Valo FX'!$R:$R,MATCH($A13,'Valo FX'!$A:$A,0)),INDEX(Base!$V:$V,MATCH($A13,Base!$A:$A,0)),0)))</f>
        <v>7.2364179999999996</v>
      </c>
      <c r="FH13" s="21">
        <f>IF(FH$1&lt;INDEX('Valo FX'!$Q:$Q,MATCH($A13,'Valo FX'!$A:$A,0)),0,IF(FH$1&lt;INDEX('Valo FX'!$R:$R,MATCH($A13,'Valo FX'!$A:$A,0)),INDEX(Base!$U:$U,MATCH($A13,Base!$A:$A,0)),IF(FH$1=INDEX('Valo FX'!$R:$R,MATCH($A13,'Valo FX'!$A:$A,0)),INDEX(Base!$V:$V,MATCH($A13,Base!$A:$A,0)),0)))</f>
        <v>7.2364179999999996</v>
      </c>
      <c r="FI13" s="21">
        <f>IF(FI$1&lt;INDEX('Valo FX'!$Q:$Q,MATCH($A13,'Valo FX'!$A:$A,0)),0,IF(FI$1&lt;INDEX('Valo FX'!$R:$R,MATCH($A13,'Valo FX'!$A:$A,0)),INDEX(Base!$U:$U,MATCH($A13,Base!$A:$A,0)),IF(FI$1=INDEX('Valo FX'!$R:$R,MATCH($A13,'Valo FX'!$A:$A,0)),INDEX(Base!$V:$V,MATCH($A13,Base!$A:$A,0)),0)))</f>
        <v>7.2364179999999996</v>
      </c>
      <c r="FJ13" s="21">
        <f>IF(FJ$1&lt;INDEX('Valo FX'!$Q:$Q,MATCH($A13,'Valo FX'!$A:$A,0)),0,IF(FJ$1&lt;INDEX('Valo FX'!$R:$R,MATCH($A13,'Valo FX'!$A:$A,0)),INDEX(Base!$U:$U,MATCH($A13,Base!$A:$A,0)),IF(FJ$1=INDEX('Valo FX'!$R:$R,MATCH($A13,'Valo FX'!$A:$A,0)),INDEX(Base!$V:$V,MATCH($A13,Base!$A:$A,0)),0)))</f>
        <v>7.2364179999999996</v>
      </c>
      <c r="FK13" s="21">
        <f>IF(FK$1&lt;INDEX('Valo FX'!$Q:$Q,MATCH($A13,'Valo FX'!$A:$A,0)),0,IF(FK$1&lt;INDEX('Valo FX'!$R:$R,MATCH($A13,'Valo FX'!$A:$A,0)),INDEX(Base!$U:$U,MATCH($A13,Base!$A:$A,0)),IF(FK$1=INDEX('Valo FX'!$R:$R,MATCH($A13,'Valo FX'!$A:$A,0)),INDEX(Base!$V:$V,MATCH($A13,Base!$A:$A,0)),0)))</f>
        <v>7.2364179999999996</v>
      </c>
      <c r="FL13" s="21">
        <f>IF(FL$1&lt;INDEX('Valo FX'!$Q:$Q,MATCH($A13,'Valo FX'!$A:$A,0)),0,IF(FL$1&lt;INDEX('Valo FX'!$R:$R,MATCH($A13,'Valo FX'!$A:$A,0)),INDEX(Base!$U:$U,MATCH($A13,Base!$A:$A,0)),IF(FL$1=INDEX('Valo FX'!$R:$R,MATCH($A13,'Valo FX'!$A:$A,0)),INDEX(Base!$V:$V,MATCH($A13,Base!$A:$A,0)),0)))</f>
        <v>7.2364179999999996</v>
      </c>
      <c r="FM13" s="21">
        <f>IF(FM$1&lt;INDEX('Valo FX'!$Q:$Q,MATCH($A13,'Valo FX'!$A:$A,0)),0,IF(FM$1&lt;INDEX('Valo FX'!$R:$R,MATCH($A13,'Valo FX'!$A:$A,0)),INDEX(Base!$U:$U,MATCH($A13,Base!$A:$A,0)),IF(FM$1=INDEX('Valo FX'!$R:$R,MATCH($A13,'Valo FX'!$A:$A,0)),INDEX(Base!$V:$V,MATCH($A13,Base!$A:$A,0)),0)))</f>
        <v>7.2364179999999996</v>
      </c>
      <c r="FN13" s="21">
        <f>IF(FN$1&lt;INDEX('Valo FX'!$Q:$Q,MATCH($A13,'Valo FX'!$A:$A,0)),0,IF(FN$1&lt;INDEX('Valo FX'!$R:$R,MATCH($A13,'Valo FX'!$A:$A,0)),INDEX(Base!$U:$U,MATCH($A13,Base!$A:$A,0)),IF(FN$1=INDEX('Valo FX'!$R:$R,MATCH($A13,'Valo FX'!$A:$A,0)),INDEX(Base!$V:$V,MATCH($A13,Base!$A:$A,0)),0)))</f>
        <v>7.2364179999999996</v>
      </c>
      <c r="FO13" s="21">
        <f>IF(FO$1&lt;INDEX('Valo FX'!$Q:$Q,MATCH($A13,'Valo FX'!$A:$A,0)),0,IF(FO$1&lt;INDEX('Valo FX'!$R:$R,MATCH($A13,'Valo FX'!$A:$A,0)),INDEX(Base!$U:$U,MATCH($A13,Base!$A:$A,0)),IF(FO$1=INDEX('Valo FX'!$R:$R,MATCH($A13,'Valo FX'!$A:$A,0)),INDEX(Base!$V:$V,MATCH($A13,Base!$A:$A,0)),0)))</f>
        <v>7.2364179999999996</v>
      </c>
      <c r="FP13" s="21">
        <f>IF(FP$1&lt;INDEX('Valo FX'!$Q:$Q,MATCH($A13,'Valo FX'!$A:$A,0)),0,IF(FP$1&lt;INDEX('Valo FX'!$R:$R,MATCH($A13,'Valo FX'!$A:$A,0)),INDEX(Base!$U:$U,MATCH($A13,Base!$A:$A,0)),IF(FP$1=INDEX('Valo FX'!$R:$R,MATCH($A13,'Valo FX'!$A:$A,0)),INDEX(Base!$V:$V,MATCH($A13,Base!$A:$A,0)),0)))</f>
        <v>7.2364179999999996</v>
      </c>
      <c r="FQ13" s="21">
        <f>IF(FQ$1&lt;INDEX('Valo FX'!$Q:$Q,MATCH($A13,'Valo FX'!$A:$A,0)),0,IF(FQ$1&lt;INDEX('Valo FX'!$R:$R,MATCH($A13,'Valo FX'!$A:$A,0)),INDEX(Base!$U:$U,MATCH($A13,Base!$A:$A,0)),IF(FQ$1=INDEX('Valo FX'!$R:$R,MATCH($A13,'Valo FX'!$A:$A,0)),INDEX(Base!$V:$V,MATCH($A13,Base!$A:$A,0)),0)))</f>
        <v>7.2364179999999996</v>
      </c>
      <c r="FR13" s="21">
        <f>IF(FR$1&lt;INDEX('Valo FX'!$Q:$Q,MATCH($A13,'Valo FX'!$A:$A,0)),0,IF(FR$1&lt;INDEX('Valo FX'!$R:$R,MATCH($A13,'Valo FX'!$A:$A,0)),INDEX(Base!$U:$U,MATCH($A13,Base!$A:$A,0)),IF(FR$1=INDEX('Valo FX'!$R:$R,MATCH($A13,'Valo FX'!$A:$A,0)),INDEX(Base!$V:$V,MATCH($A13,Base!$A:$A,0)),0)))</f>
        <v>7.2364179999999996</v>
      </c>
      <c r="FS13" s="21">
        <f>IF(FS$1&lt;INDEX('Valo FX'!$Q:$Q,MATCH($A13,'Valo FX'!$A:$A,0)),0,IF(FS$1&lt;INDEX('Valo FX'!$R:$R,MATCH($A13,'Valo FX'!$A:$A,0)),INDEX(Base!$U:$U,MATCH($A13,Base!$A:$A,0)),IF(FS$1=INDEX('Valo FX'!$R:$R,MATCH($A13,'Valo FX'!$A:$A,0)),INDEX(Base!$V:$V,MATCH($A13,Base!$A:$A,0)),0)))</f>
        <v>7.2364179999999996</v>
      </c>
      <c r="FT13" s="21">
        <f>IF(FT$1&lt;INDEX('Valo FX'!$Q:$Q,MATCH($A13,'Valo FX'!$A:$A,0)),0,IF(FT$1&lt;INDEX('Valo FX'!$R:$R,MATCH($A13,'Valo FX'!$A:$A,0)),INDEX(Base!$U:$U,MATCH($A13,Base!$A:$A,0)),IF(FT$1=INDEX('Valo FX'!$R:$R,MATCH($A13,'Valo FX'!$A:$A,0)),INDEX(Base!$V:$V,MATCH($A13,Base!$A:$A,0)),0)))</f>
        <v>7.2364179999999996</v>
      </c>
      <c r="FU13" s="21">
        <f>IF(FU$1&lt;INDEX('Valo FX'!$Q:$Q,MATCH($A13,'Valo FX'!$A:$A,0)),0,IF(FU$1&lt;INDEX('Valo FX'!$R:$R,MATCH($A13,'Valo FX'!$A:$A,0)),INDEX(Base!$U:$U,MATCH($A13,Base!$A:$A,0)),IF(FU$1=INDEX('Valo FX'!$R:$R,MATCH($A13,'Valo FX'!$A:$A,0)),INDEX(Base!$V:$V,MATCH($A13,Base!$A:$A,0)),0)))</f>
        <v>7.2364179999999996</v>
      </c>
      <c r="FV13" s="21">
        <f>IF(FV$1&lt;INDEX('Valo FX'!$Q:$Q,MATCH($A13,'Valo FX'!$A:$A,0)),0,IF(FV$1&lt;INDEX('Valo FX'!$R:$R,MATCH($A13,'Valo FX'!$A:$A,0)),INDEX(Base!$U:$U,MATCH($A13,Base!$A:$A,0)),IF(FV$1=INDEX('Valo FX'!$R:$R,MATCH($A13,'Valo FX'!$A:$A,0)),INDEX(Base!$V:$V,MATCH($A13,Base!$A:$A,0)),0)))</f>
        <v>7.2364179999999996</v>
      </c>
      <c r="FW13" s="21">
        <f>IF(FW$1&lt;INDEX('Valo FX'!$Q:$Q,MATCH($A13,'Valo FX'!$A:$A,0)),0,IF(FW$1&lt;INDEX('Valo FX'!$R:$R,MATCH($A13,'Valo FX'!$A:$A,0)),INDEX(Base!$U:$U,MATCH($A13,Base!$A:$A,0)),IF(FW$1=INDEX('Valo FX'!$R:$R,MATCH($A13,'Valo FX'!$A:$A,0)),INDEX(Base!$V:$V,MATCH($A13,Base!$A:$A,0)),0)))</f>
        <v>7.2364179999999996</v>
      </c>
      <c r="FX13" s="21">
        <f>IF(FX$1&lt;INDEX('Valo FX'!$Q:$Q,MATCH($A13,'Valo FX'!$A:$A,0)),0,IF(FX$1&lt;INDEX('Valo FX'!$R:$R,MATCH($A13,'Valo FX'!$A:$A,0)),INDEX(Base!$U:$U,MATCH($A13,Base!$A:$A,0)),IF(FX$1=INDEX('Valo FX'!$R:$R,MATCH($A13,'Valo FX'!$A:$A,0)),INDEX(Base!$V:$V,MATCH($A13,Base!$A:$A,0)),0)))</f>
        <v>7.2364179999999996</v>
      </c>
      <c r="FY13" s="21">
        <f>IF(FY$1&lt;INDEX('Valo FX'!$Q:$Q,MATCH($A13,'Valo FX'!$A:$A,0)),0,IF(FY$1&lt;INDEX('Valo FX'!$R:$R,MATCH($A13,'Valo FX'!$A:$A,0)),INDEX(Base!$U:$U,MATCH($A13,Base!$A:$A,0)),IF(FY$1=INDEX('Valo FX'!$R:$R,MATCH($A13,'Valo FX'!$A:$A,0)),INDEX(Base!$V:$V,MATCH($A13,Base!$A:$A,0)),0)))</f>
        <v>7.2364179999999996</v>
      </c>
      <c r="FZ13" s="21">
        <f>IF(FZ$1&lt;INDEX('Valo FX'!$Q:$Q,MATCH($A13,'Valo FX'!$A:$A,0)),0,IF(FZ$1&lt;INDEX('Valo FX'!$R:$R,MATCH($A13,'Valo FX'!$A:$A,0)),INDEX(Base!$U:$U,MATCH($A13,Base!$A:$A,0)),IF(FZ$1=INDEX('Valo FX'!$R:$R,MATCH($A13,'Valo FX'!$A:$A,0)),INDEX(Base!$V:$V,MATCH($A13,Base!$A:$A,0)),0)))</f>
        <v>7.2364179999999996</v>
      </c>
      <c r="GA13" s="21">
        <f>IF(GA$1&lt;INDEX('Valo FX'!$Q:$Q,MATCH($A13,'Valo FX'!$A:$A,0)),0,IF(GA$1&lt;INDEX('Valo FX'!$R:$R,MATCH($A13,'Valo FX'!$A:$A,0)),INDEX(Base!$U:$U,MATCH($A13,Base!$A:$A,0)),IF(GA$1=INDEX('Valo FX'!$R:$R,MATCH($A13,'Valo FX'!$A:$A,0)),INDEX(Base!$V:$V,MATCH($A13,Base!$A:$A,0)),0)))</f>
        <v>7.2364179999999996</v>
      </c>
      <c r="GB13" s="21">
        <f>IF(GB$1&lt;INDEX('Valo FX'!$Q:$Q,MATCH($A13,'Valo FX'!$A:$A,0)),0,IF(GB$1&lt;INDEX('Valo FX'!$R:$R,MATCH($A13,'Valo FX'!$A:$A,0)),INDEX(Base!$U:$U,MATCH($A13,Base!$A:$A,0)),IF(GB$1=INDEX('Valo FX'!$R:$R,MATCH($A13,'Valo FX'!$A:$A,0)),INDEX(Base!$V:$V,MATCH($A13,Base!$A:$A,0)),0)))</f>
        <v>7.2364179999999996</v>
      </c>
      <c r="GC13" s="21">
        <f>IF(GC$1&lt;INDEX('Valo FX'!$Q:$Q,MATCH($A13,'Valo FX'!$A:$A,0)),0,IF(GC$1&lt;INDEX('Valo FX'!$R:$R,MATCH($A13,'Valo FX'!$A:$A,0)),INDEX(Base!$U:$U,MATCH($A13,Base!$A:$A,0)),IF(GC$1=INDEX('Valo FX'!$R:$R,MATCH($A13,'Valo FX'!$A:$A,0)),INDEX(Base!$V:$V,MATCH($A13,Base!$A:$A,0)),0)))</f>
        <v>7.2364179999999996</v>
      </c>
      <c r="GD13" s="21">
        <f>IF(GD$1&lt;INDEX('Valo FX'!$Q:$Q,MATCH($A13,'Valo FX'!$A:$A,0)),0,IF(GD$1&lt;INDEX('Valo FX'!$R:$R,MATCH($A13,'Valo FX'!$A:$A,0)),INDEX(Base!$U:$U,MATCH($A13,Base!$A:$A,0)),IF(GD$1=INDEX('Valo FX'!$R:$R,MATCH($A13,'Valo FX'!$A:$A,0)),INDEX(Base!$V:$V,MATCH($A13,Base!$A:$A,0)),0)))</f>
        <v>7.2364179999999996</v>
      </c>
      <c r="GE13" s="21">
        <f>IF(GE$1&lt;INDEX('Valo FX'!$Q:$Q,MATCH($A13,'Valo FX'!$A:$A,0)),0,IF(GE$1&lt;INDEX('Valo FX'!$R:$R,MATCH($A13,'Valo FX'!$A:$A,0)),INDEX(Base!$U:$U,MATCH($A13,Base!$A:$A,0)),IF(GE$1=INDEX('Valo FX'!$R:$R,MATCH($A13,'Valo FX'!$A:$A,0)),INDEX(Base!$V:$V,MATCH($A13,Base!$A:$A,0)),0)))</f>
        <v>7.2364179999999996</v>
      </c>
      <c r="GF13" s="21">
        <f>IF(GF$1&lt;INDEX('Valo FX'!$Q:$Q,MATCH($A13,'Valo FX'!$A:$A,0)),0,IF(GF$1&lt;INDEX('Valo FX'!$R:$R,MATCH($A13,'Valo FX'!$A:$A,0)),INDEX(Base!$U:$U,MATCH($A13,Base!$A:$A,0)),IF(GF$1=INDEX('Valo FX'!$R:$R,MATCH($A13,'Valo FX'!$A:$A,0)),INDEX(Base!$V:$V,MATCH($A13,Base!$A:$A,0)),0)))</f>
        <v>7.2364179999999996</v>
      </c>
      <c r="GG13" s="21">
        <f>IF(GG$1&lt;INDEX('Valo FX'!$Q:$Q,MATCH($A13,'Valo FX'!$A:$A,0)),0,IF(GG$1&lt;INDEX('Valo FX'!$R:$R,MATCH($A13,'Valo FX'!$A:$A,0)),INDEX(Base!$U:$U,MATCH($A13,Base!$A:$A,0)),IF(GG$1=INDEX('Valo FX'!$R:$R,MATCH($A13,'Valo FX'!$A:$A,0)),INDEX(Base!$V:$V,MATCH($A13,Base!$A:$A,0)),0)))</f>
        <v>7.2364179999999996</v>
      </c>
      <c r="GH13" s="21">
        <f>IF(GH$1&lt;INDEX('Valo FX'!$Q:$Q,MATCH($A13,'Valo FX'!$A:$A,0)),0,IF(GH$1&lt;INDEX('Valo FX'!$R:$R,MATCH($A13,'Valo FX'!$A:$A,0)),INDEX(Base!$U:$U,MATCH($A13,Base!$A:$A,0)),IF(GH$1=INDEX('Valo FX'!$R:$R,MATCH($A13,'Valo FX'!$A:$A,0)),INDEX(Base!$V:$V,MATCH($A13,Base!$A:$A,0)),0)))</f>
        <v>7.2364179999999996</v>
      </c>
      <c r="GI13" s="21">
        <f>IF(GI$1&lt;INDEX('Valo FX'!$Q:$Q,MATCH($A13,'Valo FX'!$A:$A,0)),0,IF(GI$1&lt;INDEX('Valo FX'!$R:$R,MATCH($A13,'Valo FX'!$A:$A,0)),INDEX(Base!$U:$U,MATCH($A13,Base!$A:$A,0)),IF(GI$1=INDEX('Valo FX'!$R:$R,MATCH($A13,'Valo FX'!$A:$A,0)),INDEX(Base!$V:$V,MATCH($A13,Base!$A:$A,0)),0)))</f>
        <v>7.2364179999999996</v>
      </c>
      <c r="GJ13" s="21">
        <f>IF(GJ$1&lt;INDEX('Valo FX'!$Q:$Q,MATCH($A13,'Valo FX'!$A:$A,0)),0,IF(GJ$1&lt;INDEX('Valo FX'!$R:$R,MATCH($A13,'Valo FX'!$A:$A,0)),INDEX(Base!$U:$U,MATCH($A13,Base!$A:$A,0)),IF(GJ$1=INDEX('Valo FX'!$R:$R,MATCH($A13,'Valo FX'!$A:$A,0)),INDEX(Base!$V:$V,MATCH($A13,Base!$A:$A,0)),0)))</f>
        <v>7.2364179999999996</v>
      </c>
      <c r="GK13" s="21">
        <f>IF(GK$1&lt;INDEX('Valo FX'!$Q:$Q,MATCH($A13,'Valo FX'!$A:$A,0)),0,IF(GK$1&lt;INDEX('Valo FX'!$R:$R,MATCH($A13,'Valo FX'!$A:$A,0)),INDEX(Base!$U:$U,MATCH($A13,Base!$A:$A,0)),IF(GK$1=INDEX('Valo FX'!$R:$R,MATCH($A13,'Valo FX'!$A:$A,0)),INDEX(Base!$V:$V,MATCH($A13,Base!$A:$A,0)),0)))</f>
        <v>7.2364179999999996</v>
      </c>
      <c r="GL13" s="21">
        <f>IF(GL$1&lt;INDEX('Valo FX'!$Q:$Q,MATCH($A13,'Valo FX'!$A:$A,0)),0,IF(GL$1&lt;INDEX('Valo FX'!$R:$R,MATCH($A13,'Valo FX'!$A:$A,0)),INDEX(Base!$U:$U,MATCH($A13,Base!$A:$A,0)),IF(GL$1=INDEX('Valo FX'!$R:$R,MATCH($A13,'Valo FX'!$A:$A,0)),INDEX(Base!$V:$V,MATCH($A13,Base!$A:$A,0)),0)))</f>
        <v>7.2364179999999996</v>
      </c>
      <c r="GM13" s="21">
        <f>IF(GM$1&lt;INDEX('Valo FX'!$Q:$Q,MATCH($A13,'Valo FX'!$A:$A,0)),0,IF(GM$1&lt;INDEX('Valo FX'!$R:$R,MATCH($A13,'Valo FX'!$A:$A,0)),INDEX(Base!$U:$U,MATCH($A13,Base!$A:$A,0)),IF(GM$1=INDEX('Valo FX'!$R:$R,MATCH($A13,'Valo FX'!$A:$A,0)),INDEX(Base!$V:$V,MATCH($A13,Base!$A:$A,0)),0)))</f>
        <v>7.2364179999999996</v>
      </c>
      <c r="GN13" s="21">
        <f>IF(GN$1&lt;INDEX('Valo FX'!$Q:$Q,MATCH($A13,'Valo FX'!$A:$A,0)),0,IF(GN$1&lt;INDEX('Valo FX'!$R:$R,MATCH($A13,'Valo FX'!$A:$A,0)),INDEX(Base!$U:$U,MATCH($A13,Base!$A:$A,0)),IF(GN$1=INDEX('Valo FX'!$R:$R,MATCH($A13,'Valo FX'!$A:$A,0)),INDEX(Base!$V:$V,MATCH($A13,Base!$A:$A,0)),0)))</f>
        <v>7.2364179999999996</v>
      </c>
      <c r="GO13" s="21">
        <f>IF(GO$1&lt;INDEX('Valo FX'!$Q:$Q,MATCH($A13,'Valo FX'!$A:$A,0)),0,IF(GO$1&lt;INDEX('Valo FX'!$R:$R,MATCH($A13,'Valo FX'!$A:$A,0)),INDEX(Base!$U:$U,MATCH($A13,Base!$A:$A,0)),IF(GO$1=INDEX('Valo FX'!$R:$R,MATCH($A13,'Valo FX'!$A:$A,0)),INDEX(Base!$V:$V,MATCH($A13,Base!$A:$A,0)),0)))</f>
        <v>7.2364179999999996</v>
      </c>
      <c r="GP13" s="21">
        <f>IF(GP$1&lt;INDEX('Valo FX'!$Q:$Q,MATCH($A13,'Valo FX'!$A:$A,0)),0,IF(GP$1&lt;INDEX('Valo FX'!$R:$R,MATCH($A13,'Valo FX'!$A:$A,0)),INDEX(Base!$U:$U,MATCH($A13,Base!$A:$A,0)),IF(GP$1=INDEX('Valo FX'!$R:$R,MATCH($A13,'Valo FX'!$A:$A,0)),INDEX(Base!$V:$V,MATCH($A13,Base!$A:$A,0)),0)))</f>
        <v>7.2364179999999996</v>
      </c>
      <c r="GQ13" s="21">
        <f>IF(GQ$1&lt;INDEX('Valo FX'!$Q:$Q,MATCH($A13,'Valo FX'!$A:$A,0)),0,IF(GQ$1&lt;INDEX('Valo FX'!$R:$R,MATCH($A13,'Valo FX'!$A:$A,0)),INDEX(Base!$U:$U,MATCH($A13,Base!$A:$A,0)),IF(GQ$1=INDEX('Valo FX'!$R:$R,MATCH($A13,'Valo FX'!$A:$A,0)),INDEX(Base!$V:$V,MATCH($A13,Base!$A:$A,0)),0)))</f>
        <v>7.2364179999999996</v>
      </c>
      <c r="GR13" s="21">
        <f>IF(GR$1&lt;INDEX('Valo FX'!$Q:$Q,MATCH($A13,'Valo FX'!$A:$A,0)),0,IF(GR$1&lt;INDEX('Valo FX'!$R:$R,MATCH($A13,'Valo FX'!$A:$A,0)),INDEX(Base!$U:$U,MATCH($A13,Base!$A:$A,0)),IF(GR$1=INDEX('Valo FX'!$R:$R,MATCH($A13,'Valo FX'!$A:$A,0)),INDEX(Base!$V:$V,MATCH($A13,Base!$A:$A,0)),0)))</f>
        <v>7.2364179999999996</v>
      </c>
      <c r="GS13" s="21">
        <f>IF(GS$1&lt;INDEX('Valo FX'!$Q:$Q,MATCH($A13,'Valo FX'!$A:$A,0)),0,IF(GS$1&lt;INDEX('Valo FX'!$R:$R,MATCH($A13,'Valo FX'!$A:$A,0)),INDEX(Base!$U:$U,MATCH($A13,Base!$A:$A,0)),IF(GS$1=INDEX('Valo FX'!$R:$R,MATCH($A13,'Valo FX'!$A:$A,0)),INDEX(Base!$V:$V,MATCH($A13,Base!$A:$A,0)),0)))</f>
        <v>7.2364179999999996</v>
      </c>
      <c r="GT13" s="21">
        <f>IF(GT$1&lt;INDEX('Valo FX'!$Q:$Q,MATCH($A13,'Valo FX'!$A:$A,0)),0,IF(GT$1&lt;INDEX('Valo FX'!$R:$R,MATCH($A13,'Valo FX'!$A:$A,0)),INDEX(Base!$U:$U,MATCH($A13,Base!$A:$A,0)),IF(GT$1=INDEX('Valo FX'!$R:$R,MATCH($A13,'Valo FX'!$A:$A,0)),INDEX(Base!$V:$V,MATCH($A13,Base!$A:$A,0)),0)))</f>
        <v>7.2364179999999996</v>
      </c>
      <c r="GU13" s="21">
        <f>IF(GU$1&lt;INDEX('Valo FX'!$Q:$Q,MATCH($A13,'Valo FX'!$A:$A,0)),0,IF(GU$1&lt;INDEX('Valo FX'!$R:$R,MATCH($A13,'Valo FX'!$A:$A,0)),INDEX(Base!$U:$U,MATCH($A13,Base!$A:$A,0)),IF(GU$1=INDEX('Valo FX'!$R:$R,MATCH($A13,'Valo FX'!$A:$A,0)),INDEX(Base!$V:$V,MATCH($A13,Base!$A:$A,0)),0)))</f>
        <v>7.2364179999999996</v>
      </c>
      <c r="GV13" s="21">
        <f>IF(GV$1&lt;INDEX('Valo FX'!$Q:$Q,MATCH($A13,'Valo FX'!$A:$A,0)),0,IF(GV$1&lt;INDEX('Valo FX'!$R:$R,MATCH($A13,'Valo FX'!$A:$A,0)),INDEX(Base!$U:$U,MATCH($A13,Base!$A:$A,0)),IF(GV$1=INDEX('Valo FX'!$R:$R,MATCH($A13,'Valo FX'!$A:$A,0)),INDEX(Base!$V:$V,MATCH($A13,Base!$A:$A,0)),0)))</f>
        <v>7.2364179999999996</v>
      </c>
      <c r="GW13" s="21">
        <f>IF(GW$1&lt;INDEX('Valo FX'!$Q:$Q,MATCH($A13,'Valo FX'!$A:$A,0)),0,IF(GW$1&lt;INDEX('Valo FX'!$R:$R,MATCH($A13,'Valo FX'!$A:$A,0)),INDEX(Base!$U:$U,MATCH($A13,Base!$A:$A,0)),IF(GW$1=INDEX('Valo FX'!$R:$R,MATCH($A13,'Valo FX'!$A:$A,0)),INDEX(Base!$V:$V,MATCH($A13,Base!$A:$A,0)),0)))</f>
        <v>7.2364179999999996</v>
      </c>
      <c r="GX13" s="21">
        <f>IF(GX$1&lt;INDEX('Valo FX'!$Q:$Q,MATCH($A13,'Valo FX'!$A:$A,0)),0,IF(GX$1&lt;INDEX('Valo FX'!$R:$R,MATCH($A13,'Valo FX'!$A:$A,0)),INDEX(Base!$U:$U,MATCH($A13,Base!$A:$A,0)),IF(GX$1=INDEX('Valo FX'!$R:$R,MATCH($A13,'Valo FX'!$A:$A,0)),INDEX(Base!$V:$V,MATCH($A13,Base!$A:$A,0)),0)))</f>
        <v>7.2364179999999996</v>
      </c>
      <c r="GY13" s="21">
        <f>IF(GY$1&lt;INDEX('Valo FX'!$Q:$Q,MATCH($A13,'Valo FX'!$A:$A,0)),0,IF(GY$1&lt;INDEX('Valo FX'!$R:$R,MATCH($A13,'Valo FX'!$A:$A,0)),INDEX(Base!$U:$U,MATCH($A13,Base!$A:$A,0)),IF(GY$1=INDEX('Valo FX'!$R:$R,MATCH($A13,'Valo FX'!$A:$A,0)),INDEX(Base!$V:$V,MATCH($A13,Base!$A:$A,0)),0)))</f>
        <v>7.2364179999999996</v>
      </c>
      <c r="GZ13" s="21">
        <f>IF(GZ$1&lt;INDEX('Valo FX'!$Q:$Q,MATCH($A13,'Valo FX'!$A:$A,0)),0,IF(GZ$1&lt;INDEX('Valo FX'!$R:$R,MATCH($A13,'Valo FX'!$A:$A,0)),INDEX(Base!$U:$U,MATCH($A13,Base!$A:$A,0)),IF(GZ$1=INDEX('Valo FX'!$R:$R,MATCH($A13,'Valo FX'!$A:$A,0)),INDEX(Base!$V:$V,MATCH($A13,Base!$A:$A,0)),0)))</f>
        <v>7.2364179999999996</v>
      </c>
      <c r="HA13" s="21">
        <f>IF(HA$1&lt;INDEX('Valo FX'!$Q:$Q,MATCH($A13,'Valo FX'!$A:$A,0)),0,IF(HA$1&lt;INDEX('Valo FX'!$R:$R,MATCH($A13,'Valo FX'!$A:$A,0)),INDEX(Base!$U:$U,MATCH($A13,Base!$A:$A,0)),IF(HA$1=INDEX('Valo FX'!$R:$R,MATCH($A13,'Valo FX'!$A:$A,0)),INDEX(Base!$V:$V,MATCH($A13,Base!$A:$A,0)),0)))</f>
        <v>7.2364179999999996</v>
      </c>
      <c r="HB13" s="21">
        <f>IF(HB$1&lt;INDEX('Valo FX'!$Q:$Q,MATCH($A13,'Valo FX'!$A:$A,0)),0,IF(HB$1&lt;INDEX('Valo FX'!$R:$R,MATCH($A13,'Valo FX'!$A:$A,0)),INDEX(Base!$U:$U,MATCH($A13,Base!$A:$A,0)),IF(HB$1=INDEX('Valo FX'!$R:$R,MATCH($A13,'Valo FX'!$A:$A,0)),INDEX(Base!$V:$V,MATCH($A13,Base!$A:$A,0)),0)))</f>
        <v>7.2364179999999996</v>
      </c>
      <c r="HC13" s="21">
        <f>IF(HC$1&lt;INDEX('Valo FX'!$Q:$Q,MATCH($A13,'Valo FX'!$A:$A,0)),0,IF(HC$1&lt;INDEX('Valo FX'!$R:$R,MATCH($A13,'Valo FX'!$A:$A,0)),INDEX(Base!$U:$U,MATCH($A13,Base!$A:$A,0)),IF(HC$1=INDEX('Valo FX'!$R:$R,MATCH($A13,'Valo FX'!$A:$A,0)),INDEX(Base!$V:$V,MATCH($A13,Base!$A:$A,0)),0)))</f>
        <v>7.2364179999999996</v>
      </c>
      <c r="HD13" s="21">
        <f>IF(HD$1&lt;INDEX('Valo FX'!$Q:$Q,MATCH($A13,'Valo FX'!$A:$A,0)),0,IF(HD$1&lt;INDEX('Valo FX'!$R:$R,MATCH($A13,'Valo FX'!$A:$A,0)),INDEX(Base!$U:$U,MATCH($A13,Base!$A:$A,0)),IF(HD$1=INDEX('Valo FX'!$R:$R,MATCH($A13,'Valo FX'!$A:$A,0)),INDEX(Base!$V:$V,MATCH($A13,Base!$A:$A,0)),0)))</f>
        <v>7.2364179999999996</v>
      </c>
      <c r="HE13" s="21">
        <f>IF(HE$1&lt;INDEX('Valo FX'!$Q:$Q,MATCH($A13,'Valo FX'!$A:$A,0)),0,IF(HE$1&lt;INDEX('Valo FX'!$R:$R,MATCH($A13,'Valo FX'!$A:$A,0)),INDEX(Base!$U:$U,MATCH($A13,Base!$A:$A,0)),IF(HE$1=INDEX('Valo FX'!$R:$R,MATCH($A13,'Valo FX'!$A:$A,0)),INDEX(Base!$V:$V,MATCH($A13,Base!$A:$A,0)),0)))</f>
        <v>7.2364179999999996</v>
      </c>
      <c r="HF13" s="21">
        <f>IF(HF$1&lt;INDEX('Valo FX'!$Q:$Q,MATCH($A13,'Valo FX'!$A:$A,0)),0,IF(HF$1&lt;INDEX('Valo FX'!$R:$R,MATCH($A13,'Valo FX'!$A:$A,0)),INDEX(Base!$U:$U,MATCH($A13,Base!$A:$A,0)),IF(HF$1=INDEX('Valo FX'!$R:$R,MATCH($A13,'Valo FX'!$A:$A,0)),INDEX(Base!$V:$V,MATCH($A13,Base!$A:$A,0)),0)))</f>
        <v>7.2364179999999996</v>
      </c>
      <c r="HG13" s="21">
        <f>IF(HG$1&lt;INDEX('Valo FX'!$Q:$Q,MATCH($A13,'Valo FX'!$A:$A,0)),0,IF(HG$1&lt;INDEX('Valo FX'!$R:$R,MATCH($A13,'Valo FX'!$A:$A,0)),INDEX(Base!$U:$U,MATCH($A13,Base!$A:$A,0)),IF(HG$1=INDEX('Valo FX'!$R:$R,MATCH($A13,'Valo FX'!$A:$A,0)),INDEX(Base!$V:$V,MATCH($A13,Base!$A:$A,0)),0)))</f>
        <v>7.2364179999999996</v>
      </c>
      <c r="HH13" s="21">
        <f>IF(HH$1&lt;INDEX('Valo FX'!$Q:$Q,MATCH($A13,'Valo FX'!$A:$A,0)),0,IF(HH$1&lt;INDEX('Valo FX'!$R:$R,MATCH($A13,'Valo FX'!$A:$A,0)),INDEX(Base!$U:$U,MATCH($A13,Base!$A:$A,0)),IF(HH$1=INDEX('Valo FX'!$R:$R,MATCH($A13,'Valo FX'!$A:$A,0)),INDEX(Base!$V:$V,MATCH($A13,Base!$A:$A,0)),0)))</f>
        <v>7.2364179999999996</v>
      </c>
      <c r="HI13" s="21">
        <f>IF(HI$1&lt;INDEX('Valo FX'!$Q:$Q,MATCH($A13,'Valo FX'!$A:$A,0)),0,IF(HI$1&lt;INDEX('Valo FX'!$R:$R,MATCH($A13,'Valo FX'!$A:$A,0)),INDEX(Base!$U:$U,MATCH($A13,Base!$A:$A,0)),IF(HI$1=INDEX('Valo FX'!$R:$R,MATCH($A13,'Valo FX'!$A:$A,0)),INDEX(Base!$V:$V,MATCH($A13,Base!$A:$A,0)),0)))</f>
        <v>7.2364179999999996</v>
      </c>
      <c r="HJ13" s="21">
        <f>IF(HJ$1&lt;INDEX('Valo FX'!$Q:$Q,MATCH($A13,'Valo FX'!$A:$A,0)),0,IF(HJ$1&lt;INDEX('Valo FX'!$R:$R,MATCH($A13,'Valo FX'!$A:$A,0)),INDEX(Base!$U:$U,MATCH($A13,Base!$A:$A,0)),IF(HJ$1=INDEX('Valo FX'!$R:$R,MATCH($A13,'Valo FX'!$A:$A,0)),INDEX(Base!$V:$V,MATCH($A13,Base!$A:$A,0)),0)))</f>
        <v>7.2364179999999996</v>
      </c>
      <c r="HK13" s="21">
        <f>IF(HK$1&lt;INDEX('Valo FX'!$Q:$Q,MATCH($A13,'Valo FX'!$A:$A,0)),0,IF(HK$1&lt;INDEX('Valo FX'!$R:$R,MATCH($A13,'Valo FX'!$A:$A,0)),INDEX(Base!$U:$U,MATCH($A13,Base!$A:$A,0)),IF(HK$1=INDEX('Valo FX'!$R:$R,MATCH($A13,'Valo FX'!$A:$A,0)),INDEX(Base!$V:$V,MATCH($A13,Base!$A:$A,0)),0)))</f>
        <v>7.2364179999999996</v>
      </c>
      <c r="HL13" s="21">
        <f>IF(HL$1&lt;INDEX('Valo FX'!$Q:$Q,MATCH($A13,'Valo FX'!$A:$A,0)),0,IF(HL$1&lt;INDEX('Valo FX'!$R:$R,MATCH($A13,'Valo FX'!$A:$A,0)),INDEX(Base!$U:$U,MATCH($A13,Base!$A:$A,0)),IF(HL$1=INDEX('Valo FX'!$R:$R,MATCH($A13,'Valo FX'!$A:$A,0)),INDEX(Base!$V:$V,MATCH($A13,Base!$A:$A,0)),0)))</f>
        <v>7.2364179999999996</v>
      </c>
      <c r="HM13" s="21">
        <f>IF(HM$1&lt;INDEX('Valo FX'!$Q:$Q,MATCH($A13,'Valo FX'!$A:$A,0)),0,IF(HM$1&lt;INDEX('Valo FX'!$R:$R,MATCH($A13,'Valo FX'!$A:$A,0)),INDEX(Base!$U:$U,MATCH($A13,Base!$A:$A,0)),IF(HM$1=INDEX('Valo FX'!$R:$R,MATCH($A13,'Valo FX'!$A:$A,0)),INDEX(Base!$V:$V,MATCH($A13,Base!$A:$A,0)),0)))</f>
        <v>7.2364179999999996</v>
      </c>
      <c r="HN13" s="21">
        <f>IF(HN$1&lt;INDEX('Valo FX'!$Q:$Q,MATCH($A13,'Valo FX'!$A:$A,0)),0,IF(HN$1&lt;INDEX('Valo FX'!$R:$R,MATCH($A13,'Valo FX'!$A:$A,0)),INDEX(Base!$U:$U,MATCH($A13,Base!$A:$A,0)),IF(HN$1=INDEX('Valo FX'!$R:$R,MATCH($A13,'Valo FX'!$A:$A,0)),INDEX(Base!$V:$V,MATCH($A13,Base!$A:$A,0)),0)))</f>
        <v>7.2364179999999996</v>
      </c>
      <c r="HO13" s="21">
        <f>IF(HO$1&lt;INDEX('Valo FX'!$Q:$Q,MATCH($A13,'Valo FX'!$A:$A,0)),0,IF(HO$1&lt;INDEX('Valo FX'!$R:$R,MATCH($A13,'Valo FX'!$A:$A,0)),INDEX(Base!$U:$U,MATCH($A13,Base!$A:$A,0)),IF(HO$1=INDEX('Valo FX'!$R:$R,MATCH($A13,'Valo FX'!$A:$A,0)),INDEX(Base!$V:$V,MATCH($A13,Base!$A:$A,0)),0)))</f>
        <v>7.2364179999999996</v>
      </c>
      <c r="HP13" s="21">
        <f>IF(HP$1&lt;INDEX('Valo FX'!$Q:$Q,MATCH($A13,'Valo FX'!$A:$A,0)),0,IF(HP$1&lt;INDEX('Valo FX'!$R:$R,MATCH($A13,'Valo FX'!$A:$A,0)),INDEX(Base!$U:$U,MATCH($A13,Base!$A:$A,0)),IF(HP$1=INDEX('Valo FX'!$R:$R,MATCH($A13,'Valo FX'!$A:$A,0)),INDEX(Base!$V:$V,MATCH($A13,Base!$A:$A,0)),0)))</f>
        <v>7.2364179999999996</v>
      </c>
      <c r="HQ13" s="21">
        <f>IF(HQ$1&lt;INDEX('Valo FX'!$Q:$Q,MATCH($A13,'Valo FX'!$A:$A,0)),0,IF(HQ$1&lt;INDEX('Valo FX'!$R:$R,MATCH($A13,'Valo FX'!$A:$A,0)),INDEX(Base!$U:$U,MATCH($A13,Base!$A:$A,0)),IF(HQ$1=INDEX('Valo FX'!$R:$R,MATCH($A13,'Valo FX'!$A:$A,0)),INDEX(Base!$V:$V,MATCH($A13,Base!$A:$A,0)),0)))</f>
        <v>7.2364179999999996</v>
      </c>
      <c r="HR13" s="21">
        <f>IF(HR$1&lt;INDEX('Valo FX'!$Q:$Q,MATCH($A13,'Valo FX'!$A:$A,0)),0,IF(HR$1&lt;INDEX('Valo FX'!$R:$R,MATCH($A13,'Valo FX'!$A:$A,0)),INDEX(Base!$U:$U,MATCH($A13,Base!$A:$A,0)),IF(HR$1=INDEX('Valo FX'!$R:$R,MATCH($A13,'Valo FX'!$A:$A,0)),INDEX(Base!$V:$V,MATCH($A13,Base!$A:$A,0)),0)))</f>
        <v>7.2364179999999996</v>
      </c>
      <c r="HS13" s="21">
        <f>IF(HS$1&lt;INDEX('Valo FX'!$Q:$Q,MATCH($A13,'Valo FX'!$A:$A,0)),0,IF(HS$1&lt;INDEX('Valo FX'!$R:$R,MATCH($A13,'Valo FX'!$A:$A,0)),INDEX(Base!$U:$U,MATCH($A13,Base!$A:$A,0)),IF(HS$1=INDEX('Valo FX'!$R:$R,MATCH($A13,'Valo FX'!$A:$A,0)),INDEX(Base!$V:$V,MATCH($A13,Base!$A:$A,0)),0)))</f>
        <v>7.2364179999999996</v>
      </c>
      <c r="HT13" s="21">
        <f>IF(HT$1&lt;INDEX('Valo FX'!$Q:$Q,MATCH($A13,'Valo FX'!$A:$A,0)),0,IF(HT$1&lt;INDEX('Valo FX'!$R:$R,MATCH($A13,'Valo FX'!$A:$A,0)),INDEX(Base!$U:$U,MATCH($A13,Base!$A:$A,0)),IF(HT$1=INDEX('Valo FX'!$R:$R,MATCH($A13,'Valo FX'!$A:$A,0)),INDEX(Base!$V:$V,MATCH($A13,Base!$A:$A,0)),0)))</f>
        <v>7.2364179999999996</v>
      </c>
      <c r="HU13" s="21">
        <f>IF(HU$1&lt;INDEX('Valo FX'!$Q:$Q,MATCH($A13,'Valo FX'!$A:$A,0)),0,IF(HU$1&lt;INDEX('Valo FX'!$R:$R,MATCH($A13,'Valo FX'!$A:$A,0)),INDEX(Base!$U:$U,MATCH($A13,Base!$A:$A,0)),IF(HU$1=INDEX('Valo FX'!$R:$R,MATCH($A13,'Valo FX'!$A:$A,0)),INDEX(Base!$V:$V,MATCH($A13,Base!$A:$A,0)),0)))</f>
        <v>7.2364179999999996</v>
      </c>
      <c r="HV13" s="21">
        <f>IF(HV$1&lt;INDEX('Valo FX'!$Q:$Q,MATCH($A13,'Valo FX'!$A:$A,0)),0,IF(HV$1&lt;INDEX('Valo FX'!$R:$R,MATCH($A13,'Valo FX'!$A:$A,0)),INDEX(Base!$U:$U,MATCH($A13,Base!$A:$A,0)),IF(HV$1=INDEX('Valo FX'!$R:$R,MATCH($A13,'Valo FX'!$A:$A,0)),INDEX(Base!$V:$V,MATCH($A13,Base!$A:$A,0)),0)))</f>
        <v>7.2364179999999996</v>
      </c>
      <c r="HW13" s="21">
        <f>IF(HW$1&lt;INDEX('Valo FX'!$Q:$Q,MATCH($A13,'Valo FX'!$A:$A,0)),0,IF(HW$1&lt;INDEX('Valo FX'!$R:$R,MATCH($A13,'Valo FX'!$A:$A,0)),INDEX(Base!$U:$U,MATCH($A13,Base!$A:$A,0)),IF(HW$1=INDEX('Valo FX'!$R:$R,MATCH($A13,'Valo FX'!$A:$A,0)),INDEX(Base!$V:$V,MATCH($A13,Base!$A:$A,0)),0)))</f>
        <v>7.2364179999999996</v>
      </c>
      <c r="HX13" s="21">
        <f>IF(HX$1&lt;INDEX('Valo FX'!$Q:$Q,MATCH($A13,'Valo FX'!$A:$A,0)),0,IF(HX$1&lt;INDEX('Valo FX'!$R:$R,MATCH($A13,'Valo FX'!$A:$A,0)),INDEX(Base!$U:$U,MATCH($A13,Base!$A:$A,0)),IF(HX$1=INDEX('Valo FX'!$R:$R,MATCH($A13,'Valo FX'!$A:$A,0)),INDEX(Base!$V:$V,MATCH($A13,Base!$A:$A,0)),0)))</f>
        <v>7.2364179999999996</v>
      </c>
      <c r="HY13" s="21">
        <f>IF(HY$1&lt;INDEX('Valo FX'!$Q:$Q,MATCH($A13,'Valo FX'!$A:$A,0)),0,IF(HY$1&lt;INDEX('Valo FX'!$R:$R,MATCH($A13,'Valo FX'!$A:$A,0)),INDEX(Base!$U:$U,MATCH($A13,Base!$A:$A,0)),IF(HY$1=INDEX('Valo FX'!$R:$R,MATCH($A13,'Valo FX'!$A:$A,0)),INDEX(Base!$V:$V,MATCH($A13,Base!$A:$A,0)),0)))</f>
        <v>7.2364179999999996</v>
      </c>
      <c r="HZ13" s="21">
        <f>IF(HZ$1&lt;INDEX('Valo FX'!$Q:$Q,MATCH($A13,'Valo FX'!$A:$A,0)),0,IF(HZ$1&lt;INDEX('Valo FX'!$R:$R,MATCH($A13,'Valo FX'!$A:$A,0)),INDEX(Base!$U:$U,MATCH($A13,Base!$A:$A,0)),IF(HZ$1=INDEX('Valo FX'!$R:$R,MATCH($A13,'Valo FX'!$A:$A,0)),INDEX(Base!$V:$V,MATCH($A13,Base!$A:$A,0)),0)))</f>
        <v>7.2364179999999996</v>
      </c>
      <c r="IA13" s="21">
        <f>IF(IA$1&lt;INDEX('Valo FX'!$Q:$Q,MATCH($A13,'Valo FX'!$A:$A,0)),0,IF(IA$1&lt;INDEX('Valo FX'!$R:$R,MATCH($A13,'Valo FX'!$A:$A,0)),INDEX(Base!$U:$U,MATCH($A13,Base!$A:$A,0)),IF(IA$1=INDEX('Valo FX'!$R:$R,MATCH($A13,'Valo FX'!$A:$A,0)),INDEX(Base!$V:$V,MATCH($A13,Base!$A:$A,0)),0)))</f>
        <v>7.2364179999999996</v>
      </c>
      <c r="IB13" s="21">
        <f>IF(IB$1&lt;INDEX('Valo FX'!$Q:$Q,MATCH($A13,'Valo FX'!$A:$A,0)),0,IF(IB$1&lt;INDEX('Valo FX'!$R:$R,MATCH($A13,'Valo FX'!$A:$A,0)),INDEX(Base!$U:$U,MATCH($A13,Base!$A:$A,0)),IF(IB$1=INDEX('Valo FX'!$R:$R,MATCH($A13,'Valo FX'!$A:$A,0)),INDEX(Base!$V:$V,MATCH($A13,Base!$A:$A,0)),0)))</f>
        <v>7.2364179999999996</v>
      </c>
      <c r="IC13" s="21">
        <f>IF(IC$1&lt;INDEX('Valo FX'!$Q:$Q,MATCH($A13,'Valo FX'!$A:$A,0)),0,IF(IC$1&lt;INDEX('Valo FX'!$R:$R,MATCH($A13,'Valo FX'!$A:$A,0)),INDEX(Base!$U:$U,MATCH($A13,Base!$A:$A,0)),IF(IC$1=INDEX('Valo FX'!$R:$R,MATCH($A13,'Valo FX'!$A:$A,0)),INDEX(Base!$V:$V,MATCH($A13,Base!$A:$A,0)),0)))</f>
        <v>7.2364179999999996</v>
      </c>
      <c r="ID13" s="21">
        <f>IF(ID$1&lt;INDEX('Valo FX'!$Q:$Q,MATCH($A13,'Valo FX'!$A:$A,0)),0,IF(ID$1&lt;INDEX('Valo FX'!$R:$R,MATCH($A13,'Valo FX'!$A:$A,0)),INDEX(Base!$U:$U,MATCH($A13,Base!$A:$A,0)),IF(ID$1=INDEX('Valo FX'!$R:$R,MATCH($A13,'Valo FX'!$A:$A,0)),INDEX(Base!$V:$V,MATCH($A13,Base!$A:$A,0)),0)))</f>
        <v>7.2364179999999996</v>
      </c>
      <c r="IE13" s="21">
        <f>IF(IE$1&lt;INDEX('Valo FX'!$Q:$Q,MATCH($A13,'Valo FX'!$A:$A,0)),0,IF(IE$1&lt;INDEX('Valo FX'!$R:$R,MATCH($A13,'Valo FX'!$A:$A,0)),INDEX(Base!$U:$U,MATCH($A13,Base!$A:$A,0)),IF(IE$1=INDEX('Valo FX'!$R:$R,MATCH($A13,'Valo FX'!$A:$A,0)),INDEX(Base!$V:$V,MATCH($A13,Base!$A:$A,0)),0)))</f>
        <v>7.2364179999999996</v>
      </c>
      <c r="IF13" s="21">
        <f>IF(IF$1&lt;INDEX('Valo FX'!$Q:$Q,MATCH($A13,'Valo FX'!$A:$A,0)),0,IF(IF$1&lt;INDEX('Valo FX'!$R:$R,MATCH($A13,'Valo FX'!$A:$A,0)),INDEX(Base!$U:$U,MATCH($A13,Base!$A:$A,0)),IF(IF$1=INDEX('Valo FX'!$R:$R,MATCH($A13,'Valo FX'!$A:$A,0)),INDEX(Base!$V:$V,MATCH($A13,Base!$A:$A,0)),0)))</f>
        <v>7.2364179999999996</v>
      </c>
      <c r="IG13" s="21">
        <f>IF(IG$1&lt;INDEX('Valo FX'!$Q:$Q,MATCH($A13,'Valo FX'!$A:$A,0)),0,IF(IG$1&lt;INDEX('Valo FX'!$R:$R,MATCH($A13,'Valo FX'!$A:$A,0)),INDEX(Base!$U:$U,MATCH($A13,Base!$A:$A,0)),IF(IG$1=INDEX('Valo FX'!$R:$R,MATCH($A13,'Valo FX'!$A:$A,0)),INDEX(Base!$V:$V,MATCH($A13,Base!$A:$A,0)),0)))</f>
        <v>7.2364179999999996</v>
      </c>
      <c r="IH13" s="21">
        <f>IF(IH$1&lt;INDEX('Valo FX'!$Q:$Q,MATCH($A13,'Valo FX'!$A:$A,0)),0,IF(IH$1&lt;INDEX('Valo FX'!$R:$R,MATCH($A13,'Valo FX'!$A:$A,0)),INDEX(Base!$U:$U,MATCH($A13,Base!$A:$A,0)),IF(IH$1=INDEX('Valo FX'!$R:$R,MATCH($A13,'Valo FX'!$A:$A,0)),INDEX(Base!$V:$V,MATCH($A13,Base!$A:$A,0)),0)))</f>
        <v>7.2364179999999996</v>
      </c>
      <c r="II13" s="21">
        <f>IF(II$1&lt;INDEX('Valo FX'!$Q:$Q,MATCH($A13,'Valo FX'!$A:$A,0)),0,IF(II$1&lt;INDEX('Valo FX'!$R:$R,MATCH($A13,'Valo FX'!$A:$A,0)),INDEX(Base!$U:$U,MATCH($A13,Base!$A:$A,0)),IF(II$1=INDEX('Valo FX'!$R:$R,MATCH($A13,'Valo FX'!$A:$A,0)),INDEX(Base!$V:$V,MATCH($A13,Base!$A:$A,0)),0)))</f>
        <v>7.0687620000000004</v>
      </c>
      <c r="IJ13" s="21">
        <f>IF(IJ$1&lt;INDEX('Valo FX'!$Q:$Q,MATCH($A13,'Valo FX'!$A:$A,0)),0,IF(IJ$1&lt;INDEX('Valo FX'!$R:$R,MATCH($A13,'Valo FX'!$A:$A,0)),INDEX(Base!$U:$U,MATCH($A13,Base!$A:$A,0)),IF(IJ$1=INDEX('Valo FX'!$R:$R,MATCH($A13,'Valo FX'!$A:$A,0)),INDEX(Base!$V:$V,MATCH($A13,Base!$A:$A,0)),0)))</f>
        <v>0</v>
      </c>
      <c r="IK13" s="21">
        <f>IF(IK$1&lt;INDEX('Valo FX'!$Q:$Q,MATCH($A13,'Valo FX'!$A:$A,0)),0,IF(IK$1&lt;INDEX('Valo FX'!$R:$R,MATCH($A13,'Valo FX'!$A:$A,0)),INDEX(Base!$U:$U,MATCH($A13,Base!$A:$A,0)),IF(IK$1=INDEX('Valo FX'!$R:$R,MATCH($A13,'Valo FX'!$A:$A,0)),INDEX(Base!$V:$V,MATCH($A13,Base!$A:$A,0)),0)))</f>
        <v>0</v>
      </c>
      <c r="IL13" s="21">
        <f>IF(IL$1&lt;INDEX('Valo FX'!$Q:$Q,MATCH($A13,'Valo FX'!$A:$A,0)),0,IF(IL$1&lt;INDEX('Valo FX'!$R:$R,MATCH($A13,'Valo FX'!$A:$A,0)),INDEX(Base!$U:$U,MATCH($A13,Base!$A:$A,0)),IF(IL$1=INDEX('Valo FX'!$R:$R,MATCH($A13,'Valo FX'!$A:$A,0)),INDEX(Base!$V:$V,MATCH($A13,Base!$A:$A,0)),0)))</f>
        <v>0</v>
      </c>
      <c r="IM13" s="21">
        <f>IF(IM$1&lt;INDEX('Valo FX'!$Q:$Q,MATCH($A13,'Valo FX'!$A:$A,0)),0,IF(IM$1&lt;INDEX('Valo FX'!$R:$R,MATCH($A13,'Valo FX'!$A:$A,0)),INDEX(Base!$U:$U,MATCH($A13,Base!$A:$A,0)),IF(IM$1=INDEX('Valo FX'!$R:$R,MATCH($A13,'Valo FX'!$A:$A,0)),INDEX(Base!$V:$V,MATCH($A13,Base!$A:$A,0)),0)))</f>
        <v>0</v>
      </c>
      <c r="IN13" s="21">
        <f>IF(IN$1&lt;INDEX('Valo FX'!$Q:$Q,MATCH($A13,'Valo FX'!$A:$A,0)),0,IF(IN$1&lt;INDEX('Valo FX'!$R:$R,MATCH($A13,'Valo FX'!$A:$A,0)),INDEX(Base!$U:$U,MATCH($A13,Base!$A:$A,0)),IF(IN$1=INDEX('Valo FX'!$R:$R,MATCH($A13,'Valo FX'!$A:$A,0)),INDEX(Base!$V:$V,MATCH($A13,Base!$A:$A,0)),0)))</f>
        <v>0</v>
      </c>
      <c r="IO13" s="21">
        <f>IF(IO$1&lt;INDEX('Valo FX'!$Q:$Q,MATCH($A13,'Valo FX'!$A:$A,0)),0,IF(IO$1&lt;INDEX('Valo FX'!$R:$R,MATCH($A13,'Valo FX'!$A:$A,0)),INDEX(Base!$U:$U,MATCH($A13,Base!$A:$A,0)),IF(IO$1=INDEX('Valo FX'!$R:$R,MATCH($A13,'Valo FX'!$A:$A,0)),INDEX(Base!$V:$V,MATCH($A13,Base!$A:$A,0)),0)))</f>
        <v>0</v>
      </c>
      <c r="IP13" s="21">
        <f>IF(IP$1&lt;INDEX('Valo FX'!$Q:$Q,MATCH($A13,'Valo FX'!$A:$A,0)),0,IF(IP$1&lt;INDEX('Valo FX'!$R:$R,MATCH($A13,'Valo FX'!$A:$A,0)),INDEX(Base!$U:$U,MATCH($A13,Base!$A:$A,0)),IF(IP$1=INDEX('Valo FX'!$R:$R,MATCH($A13,'Valo FX'!$A:$A,0)),INDEX(Base!$V:$V,MATCH($A13,Base!$A:$A,0)),0)))</f>
        <v>0</v>
      </c>
      <c r="IQ13" s="21">
        <f>IF(IQ$1&lt;INDEX('Valo FX'!$Q:$Q,MATCH($A13,'Valo FX'!$A:$A,0)),0,IF(IQ$1&lt;INDEX('Valo FX'!$R:$R,MATCH($A13,'Valo FX'!$A:$A,0)),INDEX(Base!$U:$U,MATCH($A13,Base!$A:$A,0)),IF(IQ$1=INDEX('Valo FX'!$R:$R,MATCH($A13,'Valo FX'!$A:$A,0)),INDEX(Base!$V:$V,MATCH($A13,Base!$A:$A,0)),0)))</f>
        <v>0</v>
      </c>
      <c r="IR13" s="21">
        <f>IF(IR$1&lt;INDEX('Valo FX'!$Q:$Q,MATCH($A13,'Valo FX'!$A:$A,0)),0,IF(IR$1&lt;INDEX('Valo FX'!$R:$R,MATCH($A13,'Valo FX'!$A:$A,0)),INDEX(Base!$U:$U,MATCH($A13,Base!$A:$A,0)),IF(IR$1=INDEX('Valo FX'!$R:$R,MATCH($A13,'Valo FX'!$A:$A,0)),INDEX(Base!$V:$V,MATCH($A13,Base!$A:$A,0)),0)))</f>
        <v>0</v>
      </c>
      <c r="IS13" s="21">
        <f>IF(IS$1&lt;INDEX('Valo FX'!$Q:$Q,MATCH($A13,'Valo FX'!$A:$A,0)),0,IF(IS$1&lt;INDEX('Valo FX'!$R:$R,MATCH($A13,'Valo FX'!$A:$A,0)),INDEX(Base!$U:$U,MATCH($A13,Base!$A:$A,0)),IF(IS$1=INDEX('Valo FX'!$R:$R,MATCH($A13,'Valo FX'!$A:$A,0)),INDEX(Base!$V:$V,MATCH($A13,Base!$A:$A,0)),0)))</f>
        <v>0</v>
      </c>
      <c r="IT13" s="21">
        <f>IF(IT$1&lt;INDEX('Valo FX'!$Q:$Q,MATCH($A13,'Valo FX'!$A:$A,0)),0,IF(IT$1&lt;INDEX('Valo FX'!$R:$R,MATCH($A13,'Valo FX'!$A:$A,0)),INDEX(Base!$U:$U,MATCH($A13,Base!$A:$A,0)),IF(IT$1=INDEX('Valo FX'!$R:$R,MATCH($A13,'Valo FX'!$A:$A,0)),INDEX(Base!$V:$V,MATCH($A13,Base!$A:$A,0)),0)))</f>
        <v>0</v>
      </c>
      <c r="IU13" s="21">
        <f>IF(IU$1&lt;INDEX('Valo FX'!$Q:$Q,MATCH($A13,'Valo FX'!$A:$A,0)),0,IF(IU$1&lt;INDEX('Valo FX'!$R:$R,MATCH($A13,'Valo FX'!$A:$A,0)),INDEX(Base!$U:$U,MATCH($A13,Base!$A:$A,0)),IF(IU$1=INDEX('Valo FX'!$R:$R,MATCH($A13,'Valo FX'!$A:$A,0)),INDEX(Base!$V:$V,MATCH($A13,Base!$A:$A,0)),0)))</f>
        <v>0</v>
      </c>
      <c r="IV13" s="21">
        <f>IF(IV$1&lt;INDEX('Valo FX'!$Q:$Q,MATCH($A13,'Valo FX'!$A:$A,0)),0,IF(IV$1&lt;INDEX('Valo FX'!$R:$R,MATCH($A13,'Valo FX'!$A:$A,0)),INDEX(Base!$U:$U,MATCH($A13,Base!$A:$A,0)),IF(IV$1=INDEX('Valo FX'!$R:$R,MATCH($A13,'Valo FX'!$A:$A,0)),INDEX(Base!$V:$V,MATCH($A13,Base!$A:$A,0)),0)))</f>
        <v>0</v>
      </c>
      <c r="IW13" s="21">
        <f>IF(IW$1&lt;INDEX('Valo FX'!$Q:$Q,MATCH($A13,'Valo FX'!$A:$A,0)),0,IF(IW$1&lt;INDEX('Valo FX'!$R:$R,MATCH($A13,'Valo FX'!$A:$A,0)),INDEX(Base!$U:$U,MATCH($A13,Base!$A:$A,0)),IF(IW$1=INDEX('Valo FX'!$R:$R,MATCH($A13,'Valo FX'!$A:$A,0)),INDEX(Base!$V:$V,MATCH($A13,Base!$A:$A,0)),0)))</f>
        <v>0</v>
      </c>
      <c r="IX13" s="21">
        <f>IF(IX$1&lt;INDEX('Valo FX'!$Q:$Q,MATCH($A13,'Valo FX'!$A:$A,0)),0,IF(IX$1&lt;INDEX('Valo FX'!$R:$R,MATCH($A13,'Valo FX'!$A:$A,0)),INDEX(Base!$U:$U,MATCH($A13,Base!$A:$A,0)),IF(IX$1=INDEX('Valo FX'!$R:$R,MATCH($A13,'Valo FX'!$A:$A,0)),INDEX(Base!$V:$V,MATCH($A13,Base!$A:$A,0)),0)))</f>
        <v>0</v>
      </c>
      <c r="IY13" s="21">
        <f>IF(IY$1&lt;INDEX('Valo FX'!$Q:$Q,MATCH($A13,'Valo FX'!$A:$A,0)),0,IF(IY$1&lt;INDEX('Valo FX'!$R:$R,MATCH($A13,'Valo FX'!$A:$A,0)),INDEX(Base!$U:$U,MATCH($A13,Base!$A:$A,0)),IF(IY$1=INDEX('Valo FX'!$R:$R,MATCH($A13,'Valo FX'!$A:$A,0)),INDEX(Base!$V:$V,MATCH($A13,Base!$A:$A,0)),0)))</f>
        <v>0</v>
      </c>
      <c r="IZ13" s="21">
        <f>IF(IZ$1&lt;INDEX('Valo FX'!$Q:$Q,MATCH($A13,'Valo FX'!$A:$A,0)),0,IF(IZ$1&lt;INDEX('Valo FX'!$R:$R,MATCH($A13,'Valo FX'!$A:$A,0)),INDEX(Base!$U:$U,MATCH($A13,Base!$A:$A,0)),IF(IZ$1=INDEX('Valo FX'!$R:$R,MATCH($A13,'Valo FX'!$A:$A,0)),INDEX(Base!$V:$V,MATCH($A13,Base!$A:$A,0)),0)))</f>
        <v>0</v>
      </c>
      <c r="JA13" s="21">
        <f>IF(JA$1&lt;INDEX('Valo FX'!$Q:$Q,MATCH($A13,'Valo FX'!$A:$A,0)),0,IF(JA$1&lt;INDEX('Valo FX'!$R:$R,MATCH($A13,'Valo FX'!$A:$A,0)),INDEX(Base!$U:$U,MATCH($A13,Base!$A:$A,0)),IF(JA$1=INDEX('Valo FX'!$R:$R,MATCH($A13,'Valo FX'!$A:$A,0)),INDEX(Base!$V:$V,MATCH($A13,Base!$A:$A,0)),0)))</f>
        <v>0</v>
      </c>
      <c r="JB13" s="21">
        <f>IF(JB$1&lt;INDEX('Valo FX'!$Q:$Q,MATCH($A13,'Valo FX'!$A:$A,0)),0,IF(JB$1&lt;INDEX('Valo FX'!$R:$R,MATCH($A13,'Valo FX'!$A:$A,0)),INDEX(Base!$U:$U,MATCH($A13,Base!$A:$A,0)),IF(JB$1=INDEX('Valo FX'!$R:$R,MATCH($A13,'Valo FX'!$A:$A,0)),INDEX(Base!$V:$V,MATCH($A13,Base!$A:$A,0)),0)))</f>
        <v>0</v>
      </c>
      <c r="JC13" s="21">
        <f>IF(JC$1&lt;INDEX('Valo FX'!$Q:$Q,MATCH($A13,'Valo FX'!$A:$A,0)),0,IF(JC$1&lt;INDEX('Valo FX'!$R:$R,MATCH($A13,'Valo FX'!$A:$A,0)),INDEX(Base!$U:$U,MATCH($A13,Base!$A:$A,0)),IF(JC$1=INDEX('Valo FX'!$R:$R,MATCH($A13,'Valo FX'!$A:$A,0)),INDEX(Base!$V:$V,MATCH($A13,Base!$A:$A,0)),0)))</f>
        <v>0</v>
      </c>
      <c r="JD13" s="21">
        <f>IF(JD$1&lt;INDEX('Valo FX'!$Q:$Q,MATCH($A13,'Valo FX'!$A:$A,0)),0,IF(JD$1&lt;INDEX('Valo FX'!$R:$R,MATCH($A13,'Valo FX'!$A:$A,0)),INDEX(Base!$U:$U,MATCH($A13,Base!$A:$A,0)),IF(JD$1=INDEX('Valo FX'!$R:$R,MATCH($A13,'Valo FX'!$A:$A,0)),INDEX(Base!$V:$V,MATCH($A13,Base!$A:$A,0)),0)))</f>
        <v>0</v>
      </c>
      <c r="JE13" s="21">
        <f>IF(JE$1&lt;INDEX('Valo FX'!$Q:$Q,MATCH($A13,'Valo FX'!$A:$A,0)),0,IF(JE$1&lt;INDEX('Valo FX'!$R:$R,MATCH($A13,'Valo FX'!$A:$A,0)),INDEX(Base!$U:$U,MATCH($A13,Base!$A:$A,0)),IF(JE$1=INDEX('Valo FX'!$R:$R,MATCH($A13,'Valo FX'!$A:$A,0)),INDEX(Base!$V:$V,MATCH($A13,Base!$A:$A,0)),0)))</f>
        <v>0</v>
      </c>
      <c r="JF13" s="21">
        <f>IF(JF$1&lt;INDEX('Valo FX'!$Q:$Q,MATCH($A13,'Valo FX'!$A:$A,0)),0,IF(JF$1&lt;INDEX('Valo FX'!$R:$R,MATCH($A13,'Valo FX'!$A:$A,0)),INDEX(Base!$U:$U,MATCH($A13,Base!$A:$A,0)),IF(JF$1=INDEX('Valo FX'!$R:$R,MATCH($A13,'Valo FX'!$A:$A,0)),INDEX(Base!$V:$V,MATCH($A13,Base!$A:$A,0)),0)))</f>
        <v>0</v>
      </c>
      <c r="JG13" s="21">
        <f>IF(JG$1&lt;INDEX('Valo FX'!$Q:$Q,MATCH($A13,'Valo FX'!$A:$A,0)),0,IF(JG$1&lt;INDEX('Valo FX'!$R:$R,MATCH($A13,'Valo FX'!$A:$A,0)),INDEX(Base!$U:$U,MATCH($A13,Base!$A:$A,0)),IF(JG$1=INDEX('Valo FX'!$R:$R,MATCH($A13,'Valo FX'!$A:$A,0)),INDEX(Base!$V:$V,MATCH($A13,Base!$A:$A,0)),0)))</f>
        <v>0</v>
      </c>
      <c r="JH13" s="21">
        <f>IF(JH$1&lt;INDEX('Valo FX'!$Q:$Q,MATCH($A13,'Valo FX'!$A:$A,0)),0,IF(JH$1&lt;INDEX('Valo FX'!$R:$R,MATCH($A13,'Valo FX'!$A:$A,0)),INDEX(Base!$U:$U,MATCH($A13,Base!$A:$A,0)),IF(JH$1=INDEX('Valo FX'!$R:$R,MATCH($A13,'Valo FX'!$A:$A,0)),INDEX(Base!$V:$V,MATCH($A13,Base!$A:$A,0)),0)))</f>
        <v>0</v>
      </c>
      <c r="JI13" s="21">
        <f>IF(JI$1&lt;INDEX('Valo FX'!$Q:$Q,MATCH($A13,'Valo FX'!$A:$A,0)),0,IF(JI$1&lt;INDEX('Valo FX'!$R:$R,MATCH($A13,'Valo FX'!$A:$A,0)),INDEX(Base!$U:$U,MATCH($A13,Base!$A:$A,0)),IF(JI$1=INDEX('Valo FX'!$R:$R,MATCH($A13,'Valo FX'!$A:$A,0)),INDEX(Base!$V:$V,MATCH($A13,Base!$A:$A,0)),0)))</f>
        <v>0</v>
      </c>
      <c r="JJ13" s="21">
        <f>IF(JJ$1&lt;INDEX('Valo FX'!$Q:$Q,MATCH($A13,'Valo FX'!$A:$A,0)),0,IF(JJ$1&lt;INDEX('Valo FX'!$R:$R,MATCH($A13,'Valo FX'!$A:$A,0)),INDEX(Base!$U:$U,MATCH($A13,Base!$A:$A,0)),IF(JJ$1=INDEX('Valo FX'!$R:$R,MATCH($A13,'Valo FX'!$A:$A,0)),INDEX(Base!$V:$V,MATCH($A13,Base!$A:$A,0)),0)))</f>
        <v>0</v>
      </c>
      <c r="JK13" s="21">
        <f>IF(JK$1&lt;INDEX('Valo FX'!$Q:$Q,MATCH($A13,'Valo FX'!$A:$A,0)),0,IF(JK$1&lt;INDEX('Valo FX'!$R:$R,MATCH($A13,'Valo FX'!$A:$A,0)),INDEX(Base!$U:$U,MATCH($A13,Base!$A:$A,0)),IF(JK$1=INDEX('Valo FX'!$R:$R,MATCH($A13,'Valo FX'!$A:$A,0)),INDEX(Base!$V:$V,MATCH($A13,Base!$A:$A,0)),0)))</f>
        <v>0</v>
      </c>
      <c r="JL13" s="21">
        <f>IF(JL$1&lt;INDEX('Valo FX'!$Q:$Q,MATCH($A13,'Valo FX'!$A:$A,0)),0,IF(JL$1&lt;INDEX('Valo FX'!$R:$R,MATCH($A13,'Valo FX'!$A:$A,0)),INDEX(Base!$U:$U,MATCH($A13,Base!$A:$A,0)),IF(JL$1=INDEX('Valo FX'!$R:$R,MATCH($A13,'Valo FX'!$A:$A,0)),INDEX(Base!$V:$V,MATCH($A13,Base!$A:$A,0)),0)))</f>
        <v>0</v>
      </c>
      <c r="JM13" s="21">
        <f>IF(JM$1&lt;INDEX('Valo FX'!$Q:$Q,MATCH($A13,'Valo FX'!$A:$A,0)),0,IF(JM$1&lt;INDEX('Valo FX'!$R:$R,MATCH($A13,'Valo FX'!$A:$A,0)),INDEX(Base!$U:$U,MATCH($A13,Base!$A:$A,0)),IF(JM$1=INDEX('Valo FX'!$R:$R,MATCH($A13,'Valo FX'!$A:$A,0)),INDEX(Base!$V:$V,MATCH($A13,Base!$A:$A,0)),0)))</f>
        <v>0</v>
      </c>
      <c r="JN13" s="21">
        <f>IF(JN$1&lt;INDEX('Valo FX'!$Q:$Q,MATCH($A13,'Valo FX'!$A:$A,0)),0,IF(JN$1&lt;INDEX('Valo FX'!$R:$R,MATCH($A13,'Valo FX'!$A:$A,0)),INDEX(Base!$U:$U,MATCH($A13,Base!$A:$A,0)),IF(JN$1=INDEX('Valo FX'!$R:$R,MATCH($A13,'Valo FX'!$A:$A,0)),INDEX(Base!$V:$V,MATCH($A13,Base!$A:$A,0)),0)))</f>
        <v>0</v>
      </c>
      <c r="JO13" s="21">
        <f>IF(JO$1&lt;INDEX('Valo FX'!$Q:$Q,MATCH($A13,'Valo FX'!$A:$A,0)),0,IF(JO$1&lt;INDEX('Valo FX'!$R:$R,MATCH($A13,'Valo FX'!$A:$A,0)),INDEX(Base!$U:$U,MATCH($A13,Base!$A:$A,0)),IF(JO$1=INDEX('Valo FX'!$R:$R,MATCH($A13,'Valo FX'!$A:$A,0)),INDEX(Base!$V:$V,MATCH($A13,Base!$A:$A,0)),0)))</f>
        <v>0</v>
      </c>
      <c r="JP13" s="21">
        <f>IF(JP$1&lt;INDEX('Valo FX'!$Q:$Q,MATCH($A13,'Valo FX'!$A:$A,0)),0,IF(JP$1&lt;INDEX('Valo FX'!$R:$R,MATCH($A13,'Valo FX'!$A:$A,0)),INDEX(Base!$U:$U,MATCH($A13,Base!$A:$A,0)),IF(JP$1=INDEX('Valo FX'!$R:$R,MATCH($A13,'Valo FX'!$A:$A,0)),INDEX(Base!$V:$V,MATCH($A13,Base!$A:$A,0)),0)))</f>
        <v>0</v>
      </c>
      <c r="JQ13" s="21">
        <f>IF(JQ$1&lt;INDEX('Valo FX'!$Q:$Q,MATCH($A13,'Valo FX'!$A:$A,0)),0,IF(JQ$1&lt;INDEX('Valo FX'!$R:$R,MATCH($A13,'Valo FX'!$A:$A,0)),INDEX(Base!$U:$U,MATCH($A13,Base!$A:$A,0)),IF(JQ$1=INDEX('Valo FX'!$R:$R,MATCH($A13,'Valo FX'!$A:$A,0)),INDEX(Base!$V:$V,MATCH($A13,Base!$A:$A,0)),0)))</f>
        <v>0</v>
      </c>
      <c r="JR13" s="21">
        <f>IF(JR$1&lt;INDEX('Valo FX'!$Q:$Q,MATCH($A13,'Valo FX'!$A:$A,0)),0,IF(JR$1&lt;INDEX('Valo FX'!$R:$R,MATCH($A13,'Valo FX'!$A:$A,0)),INDEX(Base!$U:$U,MATCH($A13,Base!$A:$A,0)),IF(JR$1=INDEX('Valo FX'!$R:$R,MATCH($A13,'Valo FX'!$A:$A,0)),INDEX(Base!$V:$V,MATCH($A13,Base!$A:$A,0)),0)))</f>
        <v>0</v>
      </c>
      <c r="JS13" s="21">
        <f>IF(JS$1&lt;INDEX('Valo FX'!$Q:$Q,MATCH($A13,'Valo FX'!$A:$A,0)),0,IF(JS$1&lt;INDEX('Valo FX'!$R:$R,MATCH($A13,'Valo FX'!$A:$A,0)),INDEX(Base!$U:$U,MATCH($A13,Base!$A:$A,0)),IF(JS$1=INDEX('Valo FX'!$R:$R,MATCH($A13,'Valo FX'!$A:$A,0)),INDEX(Base!$V:$V,MATCH($A13,Base!$A:$A,0)),0)))</f>
        <v>0</v>
      </c>
      <c r="JT13" s="21">
        <f>IF(JT$1&lt;INDEX('Valo FX'!$Q:$Q,MATCH($A13,'Valo FX'!$A:$A,0)),0,IF(JT$1&lt;INDEX('Valo FX'!$R:$R,MATCH($A13,'Valo FX'!$A:$A,0)),INDEX(Base!$U:$U,MATCH($A13,Base!$A:$A,0)),IF(JT$1=INDEX('Valo FX'!$R:$R,MATCH($A13,'Valo FX'!$A:$A,0)),INDEX(Base!$V:$V,MATCH($A13,Base!$A:$A,0)),0)))</f>
        <v>0</v>
      </c>
      <c r="JU13" s="21">
        <f>IF(JU$1&lt;INDEX('Valo FX'!$Q:$Q,MATCH($A13,'Valo FX'!$A:$A,0)),0,IF(JU$1&lt;INDEX('Valo FX'!$R:$R,MATCH($A13,'Valo FX'!$A:$A,0)),INDEX(Base!$U:$U,MATCH($A13,Base!$A:$A,0)),IF(JU$1=INDEX('Valo FX'!$R:$R,MATCH($A13,'Valo FX'!$A:$A,0)),INDEX(Base!$V:$V,MATCH($A13,Base!$A:$A,0)),0)))</f>
        <v>0</v>
      </c>
      <c r="JV13" s="21">
        <f>IF(JV$1&lt;INDEX('Valo FX'!$Q:$Q,MATCH($A13,'Valo FX'!$A:$A,0)),0,IF(JV$1&lt;INDEX('Valo FX'!$R:$R,MATCH($A13,'Valo FX'!$A:$A,0)),INDEX(Base!$U:$U,MATCH($A13,Base!$A:$A,0)),IF(JV$1=INDEX('Valo FX'!$R:$R,MATCH($A13,'Valo FX'!$A:$A,0)),INDEX(Base!$V:$V,MATCH($A13,Base!$A:$A,0)),0)))</f>
        <v>0</v>
      </c>
      <c r="JW13" s="21">
        <f>IF(JW$1&lt;INDEX('Valo FX'!$Q:$Q,MATCH($A13,'Valo FX'!$A:$A,0)),0,IF(JW$1&lt;INDEX('Valo FX'!$R:$R,MATCH($A13,'Valo FX'!$A:$A,0)),INDEX(Base!$U:$U,MATCH($A13,Base!$A:$A,0)),IF(JW$1=INDEX('Valo FX'!$R:$R,MATCH($A13,'Valo FX'!$A:$A,0)),INDEX(Base!$V:$V,MATCH($A13,Base!$A:$A,0)),0)))</f>
        <v>0</v>
      </c>
      <c r="JX13" s="21">
        <f>IF(JX$1&lt;INDEX('Valo FX'!$Q:$Q,MATCH($A13,'Valo FX'!$A:$A,0)),0,IF(JX$1&lt;INDEX('Valo FX'!$R:$R,MATCH($A13,'Valo FX'!$A:$A,0)),INDEX(Base!$U:$U,MATCH($A13,Base!$A:$A,0)),IF(JX$1=INDEX('Valo FX'!$R:$R,MATCH($A13,'Valo FX'!$A:$A,0)),INDEX(Base!$V:$V,MATCH($A13,Base!$A:$A,0)),0)))</f>
        <v>0</v>
      </c>
      <c r="JY13" s="21">
        <f>IF(JY$1&lt;INDEX('Valo FX'!$Q:$Q,MATCH($A13,'Valo FX'!$A:$A,0)),0,IF(JY$1&lt;INDEX('Valo FX'!$R:$R,MATCH($A13,'Valo FX'!$A:$A,0)),INDEX(Base!$U:$U,MATCH($A13,Base!$A:$A,0)),IF(JY$1=INDEX('Valo FX'!$R:$R,MATCH($A13,'Valo FX'!$A:$A,0)),INDEX(Base!$V:$V,MATCH($A13,Base!$A:$A,0)),0)))</f>
        <v>0</v>
      </c>
      <c r="JZ13" s="21">
        <f>IF(JZ$1&lt;INDEX('Valo FX'!$Q:$Q,MATCH($A13,'Valo FX'!$A:$A,0)),0,IF(JZ$1&lt;INDEX('Valo FX'!$R:$R,MATCH($A13,'Valo FX'!$A:$A,0)),INDEX(Base!$U:$U,MATCH($A13,Base!$A:$A,0)),IF(JZ$1=INDEX('Valo FX'!$R:$R,MATCH($A13,'Valo FX'!$A:$A,0)),INDEX(Base!$V:$V,MATCH($A13,Base!$A:$A,0)),0)))</f>
        <v>0</v>
      </c>
      <c r="KA13" s="21">
        <f>IF(KA$1&lt;INDEX('Valo FX'!$Q:$Q,MATCH($A13,'Valo FX'!$A:$A,0)),0,IF(KA$1&lt;INDEX('Valo FX'!$R:$R,MATCH($A13,'Valo FX'!$A:$A,0)),INDEX(Base!$U:$U,MATCH($A13,Base!$A:$A,0)),IF(KA$1=INDEX('Valo FX'!$R:$R,MATCH($A13,'Valo FX'!$A:$A,0)),INDEX(Base!$V:$V,MATCH($A13,Base!$A:$A,0)),0)))</f>
        <v>0</v>
      </c>
      <c r="KB13" s="21">
        <f>IF(KB$1&lt;INDEX('Valo FX'!$Q:$Q,MATCH($A13,'Valo FX'!$A:$A,0)),0,IF(KB$1&lt;INDEX('Valo FX'!$R:$R,MATCH($A13,'Valo FX'!$A:$A,0)),INDEX(Base!$U:$U,MATCH($A13,Base!$A:$A,0)),IF(KB$1=INDEX('Valo FX'!$R:$R,MATCH($A13,'Valo FX'!$A:$A,0)),INDEX(Base!$V:$V,MATCH($A13,Base!$A:$A,0)),0)))</f>
        <v>0</v>
      </c>
      <c r="KC13" s="21">
        <f>IF(KC$1&lt;INDEX('Valo FX'!$Q:$Q,MATCH($A13,'Valo FX'!$A:$A,0)),0,IF(KC$1&lt;INDEX('Valo FX'!$R:$R,MATCH($A13,'Valo FX'!$A:$A,0)),INDEX(Base!$U:$U,MATCH($A13,Base!$A:$A,0)),IF(KC$1=INDEX('Valo FX'!$R:$R,MATCH($A13,'Valo FX'!$A:$A,0)),INDEX(Base!$V:$V,MATCH($A13,Base!$A:$A,0)),0)))</f>
        <v>0</v>
      </c>
      <c r="KD13" s="21">
        <f>IF(KD$1&lt;INDEX('Valo FX'!$Q:$Q,MATCH($A13,'Valo FX'!$A:$A,0)),0,IF(KD$1&lt;INDEX('Valo FX'!$R:$R,MATCH($A13,'Valo FX'!$A:$A,0)),INDEX(Base!$U:$U,MATCH($A13,Base!$A:$A,0)),IF(KD$1=INDEX('Valo FX'!$R:$R,MATCH($A13,'Valo FX'!$A:$A,0)),INDEX(Base!$V:$V,MATCH($A13,Base!$A:$A,0)),0)))</f>
        <v>0</v>
      </c>
      <c r="KE13" s="21">
        <f>IF(KE$1&lt;INDEX('Valo FX'!$Q:$Q,MATCH($A13,'Valo FX'!$A:$A,0)),0,IF(KE$1&lt;INDEX('Valo FX'!$R:$R,MATCH($A13,'Valo FX'!$A:$A,0)),INDEX(Base!$U:$U,MATCH($A13,Base!$A:$A,0)),IF(KE$1=INDEX('Valo FX'!$R:$R,MATCH($A13,'Valo FX'!$A:$A,0)),INDEX(Base!$V:$V,MATCH($A13,Base!$A:$A,0)),0)))</f>
        <v>0</v>
      </c>
      <c r="KF13" s="21">
        <f>IF(KF$1&lt;INDEX('Valo FX'!$Q:$Q,MATCH($A13,'Valo FX'!$A:$A,0)),0,IF(KF$1&lt;INDEX('Valo FX'!$R:$R,MATCH($A13,'Valo FX'!$A:$A,0)),INDEX(Base!$U:$U,MATCH($A13,Base!$A:$A,0)),IF(KF$1=INDEX('Valo FX'!$R:$R,MATCH($A13,'Valo FX'!$A:$A,0)),INDEX(Base!$V:$V,MATCH($A13,Base!$A:$A,0)),0)))</f>
        <v>0</v>
      </c>
      <c r="KG13" s="21">
        <f>IF(KG$1&lt;INDEX('Valo FX'!$Q:$Q,MATCH($A13,'Valo FX'!$A:$A,0)),0,IF(KG$1&lt;INDEX('Valo FX'!$R:$R,MATCH($A13,'Valo FX'!$A:$A,0)),INDEX(Base!$U:$U,MATCH($A13,Base!$A:$A,0)),IF(KG$1=INDEX('Valo FX'!$R:$R,MATCH($A13,'Valo FX'!$A:$A,0)),INDEX(Base!$V:$V,MATCH($A13,Base!$A:$A,0)),0)))</f>
        <v>0</v>
      </c>
      <c r="KH13" s="21">
        <f>IF(KH$1&lt;INDEX('Valo FX'!$Q:$Q,MATCH($A13,'Valo FX'!$A:$A,0)),0,IF(KH$1&lt;INDEX('Valo FX'!$R:$R,MATCH($A13,'Valo FX'!$A:$A,0)),INDEX(Base!$U:$U,MATCH($A13,Base!$A:$A,0)),IF(KH$1=INDEX('Valo FX'!$R:$R,MATCH($A13,'Valo FX'!$A:$A,0)),INDEX(Base!$V:$V,MATCH($A13,Base!$A:$A,0)),0)))</f>
        <v>0</v>
      </c>
      <c r="KI13" s="21">
        <f>IF(KI$1&lt;INDEX('Valo FX'!$Q:$Q,MATCH($A13,'Valo FX'!$A:$A,0)),0,IF(KI$1&lt;INDEX('Valo FX'!$R:$R,MATCH($A13,'Valo FX'!$A:$A,0)),INDEX(Base!$U:$U,MATCH($A13,Base!$A:$A,0)),IF(KI$1=INDEX('Valo FX'!$R:$R,MATCH($A13,'Valo FX'!$A:$A,0)),INDEX(Base!$V:$V,MATCH($A13,Base!$A:$A,0)),0)))</f>
        <v>0</v>
      </c>
      <c r="KJ13" s="21">
        <f>IF(KJ$1&lt;INDEX('Valo FX'!$Q:$Q,MATCH($A13,'Valo FX'!$A:$A,0)),0,IF(KJ$1&lt;INDEX('Valo FX'!$R:$R,MATCH($A13,'Valo FX'!$A:$A,0)),INDEX(Base!$U:$U,MATCH($A13,Base!$A:$A,0)),IF(KJ$1=INDEX('Valo FX'!$R:$R,MATCH($A13,'Valo FX'!$A:$A,0)),INDEX(Base!$V:$V,MATCH($A13,Base!$A:$A,0)),0)))</f>
        <v>0</v>
      </c>
      <c r="KK13" s="21">
        <f>IF(KK$1&lt;INDEX('Valo FX'!$Q:$Q,MATCH($A13,'Valo FX'!$A:$A,0)),0,IF(KK$1&lt;INDEX('Valo FX'!$R:$R,MATCH($A13,'Valo FX'!$A:$A,0)),INDEX(Base!$U:$U,MATCH($A13,Base!$A:$A,0)),IF(KK$1=INDEX('Valo FX'!$R:$R,MATCH($A13,'Valo FX'!$A:$A,0)),INDEX(Base!$V:$V,MATCH($A13,Base!$A:$A,0)),0)))</f>
        <v>0</v>
      </c>
      <c r="KL13" s="21">
        <f>IF(KL$1&lt;INDEX('Valo FX'!$Q:$Q,MATCH($A13,'Valo FX'!$A:$A,0)),0,IF(KL$1&lt;INDEX('Valo FX'!$R:$R,MATCH($A13,'Valo FX'!$A:$A,0)),INDEX(Base!$U:$U,MATCH($A13,Base!$A:$A,0)),IF(KL$1=INDEX('Valo FX'!$R:$R,MATCH($A13,'Valo FX'!$A:$A,0)),INDEX(Base!$V:$V,MATCH($A13,Base!$A:$A,0)),0)))</f>
        <v>0</v>
      </c>
      <c r="KM13" s="21">
        <f>IF(KM$1&lt;INDEX('Valo FX'!$Q:$Q,MATCH($A13,'Valo FX'!$A:$A,0)),0,IF(KM$1&lt;INDEX('Valo FX'!$R:$R,MATCH($A13,'Valo FX'!$A:$A,0)),INDEX(Base!$U:$U,MATCH($A13,Base!$A:$A,0)),IF(KM$1=INDEX('Valo FX'!$R:$R,MATCH($A13,'Valo FX'!$A:$A,0)),INDEX(Base!$V:$V,MATCH($A13,Base!$A:$A,0)),0)))</f>
        <v>0</v>
      </c>
      <c r="KN13" s="21">
        <f>IF(KN$1&lt;INDEX('Valo FX'!$Q:$Q,MATCH($A13,'Valo FX'!$A:$A,0)),0,IF(KN$1&lt;INDEX('Valo FX'!$R:$R,MATCH($A13,'Valo FX'!$A:$A,0)),INDEX(Base!$U:$U,MATCH($A13,Base!$A:$A,0)),IF(KN$1=INDEX('Valo FX'!$R:$R,MATCH($A13,'Valo FX'!$A:$A,0)),INDEX(Base!$V:$V,MATCH($A13,Base!$A:$A,0)),0)))</f>
        <v>0</v>
      </c>
      <c r="KO13" s="21">
        <f>IF(KO$1&lt;INDEX('Valo FX'!$Q:$Q,MATCH($A13,'Valo FX'!$A:$A,0)),0,IF(KO$1&lt;INDEX('Valo FX'!$R:$R,MATCH($A13,'Valo FX'!$A:$A,0)),INDEX(Base!$U:$U,MATCH($A13,Base!$A:$A,0)),IF(KO$1=INDEX('Valo FX'!$R:$R,MATCH($A13,'Valo FX'!$A:$A,0)),INDEX(Base!$V:$V,MATCH($A13,Base!$A:$A,0)),0)))</f>
        <v>0</v>
      </c>
      <c r="KP13" s="21">
        <f>IF(KP$1&lt;INDEX('Valo FX'!$Q:$Q,MATCH($A13,'Valo FX'!$A:$A,0)),0,IF(KP$1&lt;INDEX('Valo FX'!$R:$R,MATCH($A13,'Valo FX'!$A:$A,0)),INDEX(Base!$U:$U,MATCH($A13,Base!$A:$A,0)),IF(KP$1=INDEX('Valo FX'!$R:$R,MATCH($A13,'Valo FX'!$A:$A,0)),INDEX(Base!$V:$V,MATCH($A13,Base!$A:$A,0)),0)))</f>
        <v>0</v>
      </c>
      <c r="KQ13" s="21">
        <f>IF(KQ$1&lt;INDEX('Valo FX'!$Q:$Q,MATCH($A13,'Valo FX'!$A:$A,0)),0,IF(KQ$1&lt;INDEX('Valo FX'!$R:$R,MATCH($A13,'Valo FX'!$A:$A,0)),INDEX(Base!$U:$U,MATCH($A13,Base!$A:$A,0)),IF(KQ$1=INDEX('Valo FX'!$R:$R,MATCH($A13,'Valo FX'!$A:$A,0)),INDEX(Base!$V:$V,MATCH($A13,Base!$A:$A,0)),0)))</f>
        <v>0</v>
      </c>
      <c r="KR13" s="21">
        <f>IF(KR$1&lt;INDEX('Valo FX'!$Q:$Q,MATCH($A13,'Valo FX'!$A:$A,0)),0,IF(KR$1&lt;INDEX('Valo FX'!$R:$R,MATCH($A13,'Valo FX'!$A:$A,0)),INDEX(Base!$U:$U,MATCH($A13,Base!$A:$A,0)),IF(KR$1=INDEX('Valo FX'!$R:$R,MATCH($A13,'Valo FX'!$A:$A,0)),INDEX(Base!$V:$V,MATCH($A13,Base!$A:$A,0)),0)))</f>
        <v>0</v>
      </c>
      <c r="KS13" s="21">
        <f>IF(KS$1&lt;INDEX('Valo FX'!$Q:$Q,MATCH($A13,'Valo FX'!$A:$A,0)),0,IF(KS$1&lt;INDEX('Valo FX'!$R:$R,MATCH($A13,'Valo FX'!$A:$A,0)),INDEX(Base!$U:$U,MATCH($A13,Base!$A:$A,0)),IF(KS$1=INDEX('Valo FX'!$R:$R,MATCH($A13,'Valo FX'!$A:$A,0)),INDEX(Base!$V:$V,MATCH($A13,Base!$A:$A,0)),0)))</f>
        <v>0</v>
      </c>
      <c r="KT13" s="21">
        <f>IF(KT$1&lt;INDEX('Valo FX'!$Q:$Q,MATCH($A13,'Valo FX'!$A:$A,0)),0,IF(KT$1&lt;INDEX('Valo FX'!$R:$R,MATCH($A13,'Valo FX'!$A:$A,0)),INDEX(Base!$U:$U,MATCH($A13,Base!$A:$A,0)),IF(KT$1=INDEX('Valo FX'!$R:$R,MATCH($A13,'Valo FX'!$A:$A,0)),INDEX(Base!$V:$V,MATCH($A13,Base!$A:$A,0)),0)))</f>
        <v>0</v>
      </c>
      <c r="KU13" s="21">
        <f>IF(KU$1&lt;INDEX('Valo FX'!$Q:$Q,MATCH($A13,'Valo FX'!$A:$A,0)),0,IF(KU$1&lt;INDEX('Valo FX'!$R:$R,MATCH($A13,'Valo FX'!$A:$A,0)),INDEX(Base!$U:$U,MATCH($A13,Base!$A:$A,0)),IF(KU$1=INDEX('Valo FX'!$R:$R,MATCH($A13,'Valo FX'!$A:$A,0)),INDEX(Base!$V:$V,MATCH($A13,Base!$A:$A,0)),0)))</f>
        <v>0</v>
      </c>
      <c r="KV13" s="21">
        <f>IF(KV$1&lt;INDEX('Valo FX'!$Q:$Q,MATCH($A13,'Valo FX'!$A:$A,0)),0,IF(KV$1&lt;INDEX('Valo FX'!$R:$R,MATCH($A13,'Valo FX'!$A:$A,0)),INDEX(Base!$U:$U,MATCH($A13,Base!$A:$A,0)),IF(KV$1=INDEX('Valo FX'!$R:$R,MATCH($A13,'Valo FX'!$A:$A,0)),INDEX(Base!$V:$V,MATCH($A13,Base!$A:$A,0)),0)))</f>
        <v>0</v>
      </c>
      <c r="KW13" s="21">
        <f>IF(KW$1&lt;INDEX('Valo FX'!$Q:$Q,MATCH($A13,'Valo FX'!$A:$A,0)),0,IF(KW$1&lt;INDEX('Valo FX'!$R:$R,MATCH($A13,'Valo FX'!$A:$A,0)),INDEX(Base!$U:$U,MATCH($A13,Base!$A:$A,0)),IF(KW$1=INDEX('Valo FX'!$R:$R,MATCH($A13,'Valo FX'!$A:$A,0)),INDEX(Base!$V:$V,MATCH($A13,Base!$A:$A,0)),0)))</f>
        <v>0</v>
      </c>
      <c r="KX13" s="21">
        <f>IF(KX$1&lt;INDEX('Valo FX'!$Q:$Q,MATCH($A13,'Valo FX'!$A:$A,0)),0,IF(KX$1&lt;INDEX('Valo FX'!$R:$R,MATCH($A13,'Valo FX'!$A:$A,0)),INDEX(Base!$U:$U,MATCH($A13,Base!$A:$A,0)),IF(KX$1=INDEX('Valo FX'!$R:$R,MATCH($A13,'Valo FX'!$A:$A,0)),INDEX(Base!$V:$V,MATCH($A13,Base!$A:$A,0)),0)))</f>
        <v>0</v>
      </c>
      <c r="KY13" s="21">
        <f>IF(KY$1&lt;INDEX('Valo FX'!$Q:$Q,MATCH($A13,'Valo FX'!$A:$A,0)),0,IF(KY$1&lt;INDEX('Valo FX'!$R:$R,MATCH($A13,'Valo FX'!$A:$A,0)),INDEX(Base!$U:$U,MATCH($A13,Base!$A:$A,0)),IF(KY$1=INDEX('Valo FX'!$R:$R,MATCH($A13,'Valo FX'!$A:$A,0)),INDEX(Base!$V:$V,MATCH($A13,Base!$A:$A,0)),0)))</f>
        <v>0</v>
      </c>
      <c r="KZ13" s="21">
        <f>IF(KZ$1&lt;INDEX('Valo FX'!$Q:$Q,MATCH($A13,'Valo FX'!$A:$A,0)),0,IF(KZ$1&lt;INDEX('Valo FX'!$R:$R,MATCH($A13,'Valo FX'!$A:$A,0)),INDEX(Base!$U:$U,MATCH($A13,Base!$A:$A,0)),IF(KZ$1=INDEX('Valo FX'!$R:$R,MATCH($A13,'Valo FX'!$A:$A,0)),INDEX(Base!$V:$V,MATCH($A13,Base!$A:$A,0)),0)))</f>
        <v>0</v>
      </c>
      <c r="LA13" s="21">
        <f>IF(LA$1&lt;INDEX('Valo FX'!$Q:$Q,MATCH($A13,'Valo FX'!$A:$A,0)),0,IF(LA$1&lt;INDEX('Valo FX'!$R:$R,MATCH($A13,'Valo FX'!$A:$A,0)),INDEX(Base!$U:$U,MATCH($A13,Base!$A:$A,0)),IF(LA$1=INDEX('Valo FX'!$R:$R,MATCH($A13,'Valo FX'!$A:$A,0)),INDEX(Base!$V:$V,MATCH($A13,Base!$A:$A,0)),0)))</f>
        <v>0</v>
      </c>
      <c r="LB13" s="21">
        <f>IF(LB$1&lt;INDEX('Valo FX'!$Q:$Q,MATCH($A13,'Valo FX'!$A:$A,0)),0,IF(LB$1&lt;INDEX('Valo FX'!$R:$R,MATCH($A13,'Valo FX'!$A:$A,0)),INDEX(Base!$U:$U,MATCH($A13,Base!$A:$A,0)),IF(LB$1=INDEX('Valo FX'!$R:$R,MATCH($A13,'Valo FX'!$A:$A,0)),INDEX(Base!$V:$V,MATCH($A13,Base!$A:$A,0)),0)))</f>
        <v>0</v>
      </c>
      <c r="LC13" s="21">
        <f>IF(LC$1&lt;INDEX('Valo FX'!$Q:$Q,MATCH($A13,'Valo FX'!$A:$A,0)),0,IF(LC$1&lt;INDEX('Valo FX'!$R:$R,MATCH($A13,'Valo FX'!$A:$A,0)),INDEX(Base!$U:$U,MATCH($A13,Base!$A:$A,0)),IF(LC$1=INDEX('Valo FX'!$R:$R,MATCH($A13,'Valo FX'!$A:$A,0)),INDEX(Base!$V:$V,MATCH($A13,Base!$A:$A,0)),0)))</f>
        <v>0</v>
      </c>
      <c r="LD13" s="21">
        <f>IF(LD$1&lt;INDEX('Valo FX'!$Q:$Q,MATCH($A13,'Valo FX'!$A:$A,0)),0,IF(LD$1&lt;INDEX('Valo FX'!$R:$R,MATCH($A13,'Valo FX'!$A:$A,0)),INDEX(Base!$U:$U,MATCH($A13,Base!$A:$A,0)),IF(LD$1=INDEX('Valo FX'!$R:$R,MATCH($A13,'Valo FX'!$A:$A,0)),INDEX(Base!$V:$V,MATCH($A13,Base!$A:$A,0)),0)))</f>
        <v>0</v>
      </c>
      <c r="LE13" s="21">
        <f>IF(LE$1&lt;INDEX('Valo FX'!$Q:$Q,MATCH($A13,'Valo FX'!$A:$A,0)),0,IF(LE$1&lt;INDEX('Valo FX'!$R:$R,MATCH($A13,'Valo FX'!$A:$A,0)),INDEX(Base!$U:$U,MATCH($A13,Base!$A:$A,0)),IF(LE$1=INDEX('Valo FX'!$R:$R,MATCH($A13,'Valo FX'!$A:$A,0)),INDEX(Base!$V:$V,MATCH($A13,Base!$A:$A,0)),0)))</f>
        <v>0</v>
      </c>
      <c r="LF13" s="21">
        <f>IF(LF$1&lt;INDEX('Valo FX'!$Q:$Q,MATCH($A13,'Valo FX'!$A:$A,0)),0,IF(LF$1&lt;INDEX('Valo FX'!$R:$R,MATCH($A13,'Valo FX'!$A:$A,0)),INDEX(Base!$U:$U,MATCH($A13,Base!$A:$A,0)),IF(LF$1=INDEX('Valo FX'!$R:$R,MATCH($A13,'Valo FX'!$A:$A,0)),INDEX(Base!$V:$V,MATCH($A13,Base!$A:$A,0)),0)))</f>
        <v>0</v>
      </c>
      <c r="LG13" s="21">
        <f>IF(LG$1&lt;INDEX('Valo FX'!$Q:$Q,MATCH($A13,'Valo FX'!$A:$A,0)),0,IF(LG$1&lt;INDEX('Valo FX'!$R:$R,MATCH($A13,'Valo FX'!$A:$A,0)),INDEX(Base!$U:$U,MATCH($A13,Base!$A:$A,0)),IF(LG$1=INDEX('Valo FX'!$R:$R,MATCH($A13,'Valo FX'!$A:$A,0)),INDEX(Base!$V:$V,MATCH($A13,Base!$A:$A,0)),0)))</f>
        <v>0</v>
      </c>
      <c r="LH13" s="21">
        <f>IF(LH$1&lt;INDEX('Valo FX'!$Q:$Q,MATCH($A13,'Valo FX'!$A:$A,0)),0,IF(LH$1&lt;INDEX('Valo FX'!$R:$R,MATCH($A13,'Valo FX'!$A:$A,0)),INDEX(Base!$U:$U,MATCH($A13,Base!$A:$A,0)),IF(LH$1=INDEX('Valo FX'!$R:$R,MATCH($A13,'Valo FX'!$A:$A,0)),INDEX(Base!$V:$V,MATCH($A13,Base!$A:$A,0)),0)))</f>
        <v>0</v>
      </c>
      <c r="LI13" s="21">
        <f>IF(LI$1&lt;INDEX('Valo FX'!$Q:$Q,MATCH($A13,'Valo FX'!$A:$A,0)),0,IF(LI$1&lt;INDEX('Valo FX'!$R:$R,MATCH($A13,'Valo FX'!$A:$A,0)),INDEX(Base!$U:$U,MATCH($A13,Base!$A:$A,0)),IF(LI$1=INDEX('Valo FX'!$R:$R,MATCH($A13,'Valo FX'!$A:$A,0)),INDEX(Base!$V:$V,MATCH($A13,Base!$A:$A,0)),0)))</f>
        <v>0</v>
      </c>
      <c r="LJ13" s="21">
        <f>IF(LJ$1&lt;INDEX('Valo FX'!$Q:$Q,MATCH($A13,'Valo FX'!$A:$A,0)),0,IF(LJ$1&lt;INDEX('Valo FX'!$R:$R,MATCH($A13,'Valo FX'!$A:$A,0)),INDEX(Base!$U:$U,MATCH($A13,Base!$A:$A,0)),IF(LJ$1=INDEX('Valo FX'!$R:$R,MATCH($A13,'Valo FX'!$A:$A,0)),INDEX(Base!$V:$V,MATCH($A13,Base!$A:$A,0)),0)))</f>
        <v>0</v>
      </c>
      <c r="LK13" s="21">
        <f>IF(LK$1&lt;INDEX('Valo FX'!$Q:$Q,MATCH($A13,'Valo FX'!$A:$A,0)),0,IF(LK$1&lt;INDEX('Valo FX'!$R:$R,MATCH($A13,'Valo FX'!$A:$A,0)),INDEX(Base!$U:$U,MATCH($A13,Base!$A:$A,0)),IF(LK$1=INDEX('Valo FX'!$R:$R,MATCH($A13,'Valo FX'!$A:$A,0)),INDEX(Base!$V:$V,MATCH($A13,Base!$A:$A,0)),0)))</f>
        <v>0</v>
      </c>
      <c r="LL13" s="21">
        <f>IF(LL$1&lt;INDEX('Valo FX'!$Q:$Q,MATCH($A13,'Valo FX'!$A:$A,0)),0,IF(LL$1&lt;INDEX('Valo FX'!$R:$R,MATCH($A13,'Valo FX'!$A:$A,0)),INDEX(Base!$U:$U,MATCH($A13,Base!$A:$A,0)),IF(LL$1=INDEX('Valo FX'!$R:$R,MATCH($A13,'Valo FX'!$A:$A,0)),INDEX(Base!$V:$V,MATCH($A13,Base!$A:$A,0)),0)))</f>
        <v>0</v>
      </c>
      <c r="LM13" s="21">
        <f>IF(LM$1&lt;INDEX('Valo FX'!$Q:$Q,MATCH($A13,'Valo FX'!$A:$A,0)),0,IF(LM$1&lt;INDEX('Valo FX'!$R:$R,MATCH($A13,'Valo FX'!$A:$A,0)),INDEX(Base!$U:$U,MATCH($A13,Base!$A:$A,0)),IF(LM$1=INDEX('Valo FX'!$R:$R,MATCH($A13,'Valo FX'!$A:$A,0)),INDEX(Base!$V:$V,MATCH($A13,Base!$A:$A,0)),0)))</f>
        <v>0</v>
      </c>
      <c r="LN13" s="21">
        <f>IF(LN$1&lt;INDEX('Valo FX'!$Q:$Q,MATCH($A13,'Valo FX'!$A:$A,0)),0,IF(LN$1&lt;INDEX('Valo FX'!$R:$R,MATCH($A13,'Valo FX'!$A:$A,0)),INDEX(Base!$U:$U,MATCH($A13,Base!$A:$A,0)),IF(LN$1=INDEX('Valo FX'!$R:$R,MATCH($A13,'Valo FX'!$A:$A,0)),INDEX(Base!$V:$V,MATCH($A13,Base!$A:$A,0)),0)))</f>
        <v>0</v>
      </c>
      <c r="LO13" s="21">
        <f>IF(LO$1&lt;INDEX('Valo FX'!$Q:$Q,MATCH($A13,'Valo FX'!$A:$A,0)),0,IF(LO$1&lt;INDEX('Valo FX'!$R:$R,MATCH($A13,'Valo FX'!$A:$A,0)),INDEX(Base!$U:$U,MATCH($A13,Base!$A:$A,0)),IF(LO$1=INDEX('Valo FX'!$R:$R,MATCH($A13,'Valo FX'!$A:$A,0)),INDEX(Base!$V:$V,MATCH($A13,Base!$A:$A,0)),0)))</f>
        <v>0</v>
      </c>
      <c r="LP13" s="21">
        <f>IF(LP$1&lt;INDEX('Valo FX'!$Q:$Q,MATCH($A13,'Valo FX'!$A:$A,0)),0,IF(LP$1&lt;INDEX('Valo FX'!$R:$R,MATCH($A13,'Valo FX'!$A:$A,0)),INDEX(Base!$U:$U,MATCH($A13,Base!$A:$A,0)),IF(LP$1=INDEX('Valo FX'!$R:$R,MATCH($A13,'Valo FX'!$A:$A,0)),INDEX(Base!$V:$V,MATCH($A13,Base!$A:$A,0)),0)))</f>
        <v>0</v>
      </c>
      <c r="LQ13" s="21">
        <f>IF(LQ$1&lt;INDEX('Valo FX'!$Q:$Q,MATCH($A13,'Valo FX'!$A:$A,0)),0,IF(LQ$1&lt;INDEX('Valo FX'!$R:$R,MATCH($A13,'Valo FX'!$A:$A,0)),INDEX(Base!$U:$U,MATCH($A13,Base!$A:$A,0)),IF(LQ$1=INDEX('Valo FX'!$R:$R,MATCH($A13,'Valo FX'!$A:$A,0)),INDEX(Base!$V:$V,MATCH($A13,Base!$A:$A,0)),0)))</f>
        <v>0</v>
      </c>
      <c r="LR13" s="21">
        <f>IF(LR$1&lt;INDEX('Valo FX'!$Q:$Q,MATCH($A13,'Valo FX'!$A:$A,0)),0,IF(LR$1&lt;INDEX('Valo FX'!$R:$R,MATCH($A13,'Valo FX'!$A:$A,0)),INDEX(Base!$U:$U,MATCH($A13,Base!$A:$A,0)),IF(LR$1=INDEX('Valo FX'!$R:$R,MATCH($A13,'Valo FX'!$A:$A,0)),INDEX(Base!$V:$V,MATCH($A13,Base!$A:$A,0)),0)))</f>
        <v>0</v>
      </c>
      <c r="LS13" s="21">
        <f>IF(LS$1&lt;INDEX('Valo FX'!$Q:$Q,MATCH($A13,'Valo FX'!$A:$A,0)),0,IF(LS$1&lt;INDEX('Valo FX'!$R:$R,MATCH($A13,'Valo FX'!$A:$A,0)),INDEX(Base!$U:$U,MATCH($A13,Base!$A:$A,0)),IF(LS$1=INDEX('Valo FX'!$R:$R,MATCH($A13,'Valo FX'!$A:$A,0)),INDEX(Base!$V:$V,MATCH($A13,Base!$A:$A,0)),0)))</f>
        <v>0</v>
      </c>
      <c r="LT13" s="21">
        <f>IF(LT$1&lt;INDEX('Valo FX'!$Q:$Q,MATCH($A13,'Valo FX'!$A:$A,0)),0,IF(LT$1&lt;INDEX('Valo FX'!$R:$R,MATCH($A13,'Valo FX'!$A:$A,0)),INDEX(Base!$U:$U,MATCH($A13,Base!$A:$A,0)),IF(LT$1=INDEX('Valo FX'!$R:$R,MATCH($A13,'Valo FX'!$A:$A,0)),INDEX(Base!$V:$V,MATCH($A13,Base!$A:$A,0)),0)))</f>
        <v>0</v>
      </c>
      <c r="LU13" s="21">
        <f>IF(LU$1&lt;INDEX('Valo FX'!$Q:$Q,MATCH($A13,'Valo FX'!$A:$A,0)),0,IF(LU$1&lt;INDEX('Valo FX'!$R:$R,MATCH($A13,'Valo FX'!$A:$A,0)),INDEX(Base!$U:$U,MATCH($A13,Base!$A:$A,0)),IF(LU$1=INDEX('Valo FX'!$R:$R,MATCH($A13,'Valo FX'!$A:$A,0)),INDEX(Base!$V:$V,MATCH($A13,Base!$A:$A,0)),0)))</f>
        <v>0</v>
      </c>
      <c r="LV13" s="21">
        <f>IF(LV$1&lt;INDEX('Valo FX'!$Q:$Q,MATCH($A13,'Valo FX'!$A:$A,0)),0,IF(LV$1&lt;INDEX('Valo FX'!$R:$R,MATCH($A13,'Valo FX'!$A:$A,0)),INDEX(Base!$U:$U,MATCH($A13,Base!$A:$A,0)),IF(LV$1=INDEX('Valo FX'!$R:$R,MATCH($A13,'Valo FX'!$A:$A,0)),INDEX(Base!$V:$V,MATCH($A13,Base!$A:$A,0)),0)))</f>
        <v>0</v>
      </c>
      <c r="LW13" s="21">
        <f>IF(LW$1&lt;INDEX('Valo FX'!$Q:$Q,MATCH($A13,'Valo FX'!$A:$A,0)),0,IF(LW$1&lt;INDEX('Valo FX'!$R:$R,MATCH($A13,'Valo FX'!$A:$A,0)),INDEX(Base!$U:$U,MATCH($A13,Base!$A:$A,0)),IF(LW$1=INDEX('Valo FX'!$R:$R,MATCH($A13,'Valo FX'!$A:$A,0)),INDEX(Base!$V:$V,MATCH($A13,Base!$A:$A,0)),0)))</f>
        <v>0</v>
      </c>
      <c r="LX13" s="21">
        <f>IF(LX$1&lt;INDEX('Valo FX'!$Q:$Q,MATCH($A13,'Valo FX'!$A:$A,0)),0,IF(LX$1&lt;INDEX('Valo FX'!$R:$R,MATCH($A13,'Valo FX'!$A:$A,0)),INDEX(Base!$U:$U,MATCH($A13,Base!$A:$A,0)),IF(LX$1=INDEX('Valo FX'!$R:$R,MATCH($A13,'Valo FX'!$A:$A,0)),INDEX(Base!$V:$V,MATCH($A13,Base!$A:$A,0)),0)))</f>
        <v>0</v>
      </c>
      <c r="LY13" s="21">
        <f>IF(LY$1&lt;INDEX('Valo FX'!$Q:$Q,MATCH($A13,'Valo FX'!$A:$A,0)),0,IF(LY$1&lt;INDEX('Valo FX'!$R:$R,MATCH($A13,'Valo FX'!$A:$A,0)),INDEX(Base!$U:$U,MATCH($A13,Base!$A:$A,0)),IF(LY$1=INDEX('Valo FX'!$R:$R,MATCH($A13,'Valo FX'!$A:$A,0)),INDEX(Base!$V:$V,MATCH($A13,Base!$A:$A,0)),0)))</f>
        <v>0</v>
      </c>
      <c r="LZ13" s="21">
        <f>IF(LZ$1&lt;INDEX('Valo FX'!$Q:$Q,MATCH($A13,'Valo FX'!$A:$A,0)),0,IF(LZ$1&lt;INDEX('Valo FX'!$R:$R,MATCH($A13,'Valo FX'!$A:$A,0)),INDEX(Base!$U:$U,MATCH($A13,Base!$A:$A,0)),IF(LZ$1=INDEX('Valo FX'!$R:$R,MATCH($A13,'Valo FX'!$A:$A,0)),INDEX(Base!$V:$V,MATCH($A13,Base!$A:$A,0)),0)))</f>
        <v>0</v>
      </c>
      <c r="MA13" s="21">
        <f>IF(MA$1&lt;INDEX('Valo FX'!$Q:$Q,MATCH($A13,'Valo FX'!$A:$A,0)),0,IF(MA$1&lt;INDEX('Valo FX'!$R:$R,MATCH($A13,'Valo FX'!$A:$A,0)),INDEX(Base!$U:$U,MATCH($A13,Base!$A:$A,0)),IF(MA$1=INDEX('Valo FX'!$R:$R,MATCH($A13,'Valo FX'!$A:$A,0)),INDEX(Base!$V:$V,MATCH($A13,Base!$A:$A,0)),0)))</f>
        <v>0</v>
      </c>
      <c r="MB13" s="21">
        <f>IF(MB$1&lt;INDEX('Valo FX'!$Q:$Q,MATCH($A13,'Valo FX'!$A:$A,0)),0,IF(MB$1&lt;INDEX('Valo FX'!$R:$R,MATCH($A13,'Valo FX'!$A:$A,0)),INDEX(Base!$U:$U,MATCH($A13,Base!$A:$A,0)),IF(MB$1=INDEX('Valo FX'!$R:$R,MATCH($A13,'Valo FX'!$A:$A,0)),INDEX(Base!$V:$V,MATCH($A13,Base!$A:$A,0)),0)))</f>
        <v>0</v>
      </c>
      <c r="MC13" s="21">
        <f>IF(MC$1&lt;INDEX('Valo FX'!$Q:$Q,MATCH($A13,'Valo FX'!$A:$A,0)),0,IF(MC$1&lt;INDEX('Valo FX'!$R:$R,MATCH($A13,'Valo FX'!$A:$A,0)),INDEX(Base!$U:$U,MATCH($A13,Base!$A:$A,0)),IF(MC$1=INDEX('Valo FX'!$R:$R,MATCH($A13,'Valo FX'!$A:$A,0)),INDEX(Base!$V:$V,MATCH($A13,Base!$A:$A,0)),0)))</f>
        <v>0</v>
      </c>
      <c r="MD13" s="21">
        <f>IF(MD$1&lt;INDEX('Valo FX'!$Q:$Q,MATCH($A13,'Valo FX'!$A:$A,0)),0,IF(MD$1&lt;INDEX('Valo FX'!$R:$R,MATCH($A13,'Valo FX'!$A:$A,0)),INDEX(Base!$U:$U,MATCH($A13,Base!$A:$A,0)),IF(MD$1=INDEX('Valo FX'!$R:$R,MATCH($A13,'Valo FX'!$A:$A,0)),INDEX(Base!$V:$V,MATCH($A13,Base!$A:$A,0)),0)))</f>
        <v>0</v>
      </c>
      <c r="ME13" s="21">
        <f>IF(ME$1&lt;INDEX('Valo FX'!$Q:$Q,MATCH($A13,'Valo FX'!$A:$A,0)),0,IF(ME$1&lt;INDEX('Valo FX'!$R:$R,MATCH($A13,'Valo FX'!$A:$A,0)),INDEX(Base!$U:$U,MATCH($A13,Base!$A:$A,0)),IF(ME$1=INDEX('Valo FX'!$R:$R,MATCH($A13,'Valo FX'!$A:$A,0)),INDEX(Base!$V:$V,MATCH($A13,Base!$A:$A,0)),0)))</f>
        <v>0</v>
      </c>
      <c r="MF13" s="21">
        <f>IF(MF$1&lt;INDEX('Valo FX'!$Q:$Q,MATCH($A13,'Valo FX'!$A:$A,0)),0,IF(MF$1&lt;INDEX('Valo FX'!$R:$R,MATCH($A13,'Valo FX'!$A:$A,0)),INDEX(Base!$U:$U,MATCH($A13,Base!$A:$A,0)),IF(MF$1=INDEX('Valo FX'!$R:$R,MATCH($A13,'Valo FX'!$A:$A,0)),INDEX(Base!$V:$V,MATCH($A13,Base!$A:$A,0)),0)))</f>
        <v>0</v>
      </c>
      <c r="MG13" s="21">
        <f>IF(MG$1&lt;INDEX('Valo FX'!$Q:$Q,MATCH($A13,'Valo FX'!$A:$A,0)),0,IF(MG$1&lt;INDEX('Valo FX'!$R:$R,MATCH($A13,'Valo FX'!$A:$A,0)),INDEX(Base!$U:$U,MATCH($A13,Base!$A:$A,0)),IF(MG$1=INDEX('Valo FX'!$R:$R,MATCH($A13,'Valo FX'!$A:$A,0)),INDEX(Base!$V:$V,MATCH($A13,Base!$A:$A,0)),0)))</f>
        <v>0</v>
      </c>
      <c r="MH13" s="21">
        <f>IF(MH$1&lt;INDEX('Valo FX'!$Q:$Q,MATCH($A13,'Valo FX'!$A:$A,0)),0,IF(MH$1&lt;INDEX('Valo FX'!$R:$R,MATCH($A13,'Valo FX'!$A:$A,0)),INDEX(Base!$U:$U,MATCH($A13,Base!$A:$A,0)),IF(MH$1=INDEX('Valo FX'!$R:$R,MATCH($A13,'Valo FX'!$A:$A,0)),INDEX(Base!$V:$V,MATCH($A13,Base!$A:$A,0)),0)))</f>
        <v>0</v>
      </c>
      <c r="MI13" s="21">
        <f>IF(MI$1&lt;INDEX('Valo FX'!$Q:$Q,MATCH($A13,'Valo FX'!$A:$A,0)),0,IF(MI$1&lt;INDEX('Valo FX'!$R:$R,MATCH($A13,'Valo FX'!$A:$A,0)),INDEX(Base!$U:$U,MATCH($A13,Base!$A:$A,0)),IF(MI$1=INDEX('Valo FX'!$R:$R,MATCH($A13,'Valo FX'!$A:$A,0)),INDEX(Base!$V:$V,MATCH($A13,Base!$A:$A,0)),0)))</f>
        <v>0</v>
      </c>
      <c r="MJ13" s="21">
        <f>IF(MJ$1&lt;INDEX('Valo FX'!$Q:$Q,MATCH($A13,'Valo FX'!$A:$A,0)),0,IF(MJ$1&lt;INDEX('Valo FX'!$R:$R,MATCH($A13,'Valo FX'!$A:$A,0)),INDEX(Base!$U:$U,MATCH($A13,Base!$A:$A,0)),IF(MJ$1=INDEX('Valo FX'!$R:$R,MATCH($A13,'Valo FX'!$A:$A,0)),INDEX(Base!$V:$V,MATCH($A13,Base!$A:$A,0)),0)))</f>
        <v>0</v>
      </c>
      <c r="MK13" s="21">
        <f>IF(MK$1&lt;INDEX('Valo FX'!$Q:$Q,MATCH($A13,'Valo FX'!$A:$A,0)),0,IF(MK$1&lt;INDEX('Valo FX'!$R:$R,MATCH($A13,'Valo FX'!$A:$A,0)),INDEX(Base!$U:$U,MATCH($A13,Base!$A:$A,0)),IF(MK$1=INDEX('Valo FX'!$R:$R,MATCH($A13,'Valo FX'!$A:$A,0)),INDEX(Base!$V:$V,MATCH($A13,Base!$A:$A,0)),0)))</f>
        <v>0</v>
      </c>
      <c r="ML13" s="21">
        <f>IF(ML$1&lt;INDEX('Valo FX'!$Q:$Q,MATCH($A13,'Valo FX'!$A:$A,0)),0,IF(ML$1&lt;INDEX('Valo FX'!$R:$R,MATCH($A13,'Valo FX'!$A:$A,0)),INDEX(Base!$U:$U,MATCH($A13,Base!$A:$A,0)),IF(ML$1=INDEX('Valo FX'!$R:$R,MATCH($A13,'Valo FX'!$A:$A,0)),INDEX(Base!$V:$V,MATCH($A13,Base!$A:$A,0)),0)))</f>
        <v>0</v>
      </c>
      <c r="MM13" s="21">
        <f>IF(MM$1&lt;INDEX('Valo FX'!$Q:$Q,MATCH($A13,'Valo FX'!$A:$A,0)),0,IF(MM$1&lt;INDEX('Valo FX'!$R:$R,MATCH($A13,'Valo FX'!$A:$A,0)),INDEX(Base!$U:$U,MATCH($A13,Base!$A:$A,0)),IF(MM$1=INDEX('Valo FX'!$R:$R,MATCH($A13,'Valo FX'!$A:$A,0)),INDEX(Base!$V:$V,MATCH($A13,Base!$A:$A,0)),0)))</f>
        <v>0</v>
      </c>
      <c r="MN13" s="21">
        <f>IF(MN$1&lt;INDEX('Valo FX'!$Q:$Q,MATCH($A13,'Valo FX'!$A:$A,0)),0,IF(MN$1&lt;INDEX('Valo FX'!$R:$R,MATCH($A13,'Valo FX'!$A:$A,0)),INDEX(Base!$U:$U,MATCH($A13,Base!$A:$A,0)),IF(MN$1=INDEX('Valo FX'!$R:$R,MATCH($A13,'Valo FX'!$A:$A,0)),INDEX(Base!$V:$V,MATCH($A13,Base!$A:$A,0)),0)))</f>
        <v>0</v>
      </c>
      <c r="MO13" s="21">
        <f>IF(MO$1&lt;INDEX('Valo FX'!$Q:$Q,MATCH($A13,'Valo FX'!$A:$A,0)),0,IF(MO$1&lt;INDEX('Valo FX'!$R:$R,MATCH($A13,'Valo FX'!$A:$A,0)),INDEX(Base!$U:$U,MATCH($A13,Base!$A:$A,0)),IF(MO$1=INDEX('Valo FX'!$R:$R,MATCH($A13,'Valo FX'!$A:$A,0)),INDEX(Base!$V:$V,MATCH($A13,Base!$A:$A,0)),0)))</f>
        <v>0</v>
      </c>
      <c r="MP13" s="21">
        <f>IF(MP$1&lt;INDEX('Valo FX'!$Q:$Q,MATCH($A13,'Valo FX'!$A:$A,0)),0,IF(MP$1&lt;INDEX('Valo FX'!$R:$R,MATCH($A13,'Valo FX'!$A:$A,0)),INDEX(Base!$U:$U,MATCH($A13,Base!$A:$A,0)),IF(MP$1=INDEX('Valo FX'!$R:$R,MATCH($A13,'Valo FX'!$A:$A,0)),INDEX(Base!$V:$V,MATCH($A13,Base!$A:$A,0)),0)))</f>
        <v>0</v>
      </c>
      <c r="MQ13" s="21">
        <f>IF(MQ$1&lt;INDEX('Valo FX'!$Q:$Q,MATCH($A13,'Valo FX'!$A:$A,0)),0,IF(MQ$1&lt;INDEX('Valo FX'!$R:$R,MATCH($A13,'Valo FX'!$A:$A,0)),INDEX(Base!$U:$U,MATCH($A13,Base!$A:$A,0)),IF(MQ$1=INDEX('Valo FX'!$R:$R,MATCH($A13,'Valo FX'!$A:$A,0)),INDEX(Base!$V:$V,MATCH($A13,Base!$A:$A,0)),0)))</f>
        <v>0</v>
      </c>
      <c r="MR13" s="21">
        <f>IF(MR$1&lt;INDEX('Valo FX'!$Q:$Q,MATCH($A13,'Valo FX'!$A:$A,0)),0,IF(MR$1&lt;INDEX('Valo FX'!$R:$R,MATCH($A13,'Valo FX'!$A:$A,0)),INDEX(Base!$U:$U,MATCH($A13,Base!$A:$A,0)),IF(MR$1=INDEX('Valo FX'!$R:$R,MATCH($A13,'Valo FX'!$A:$A,0)),INDEX(Base!$V:$V,MATCH($A13,Base!$A:$A,0)),0)))</f>
        <v>0</v>
      </c>
      <c r="MS13" s="21">
        <f>IF(MS$1&lt;INDEX('Valo FX'!$Q:$Q,MATCH($A13,'Valo FX'!$A:$A,0)),0,IF(MS$1&lt;INDEX('Valo FX'!$R:$R,MATCH($A13,'Valo FX'!$A:$A,0)),INDEX(Base!$U:$U,MATCH($A13,Base!$A:$A,0)),IF(MS$1=INDEX('Valo FX'!$R:$R,MATCH($A13,'Valo FX'!$A:$A,0)),INDEX(Base!$V:$V,MATCH($A13,Base!$A:$A,0)),0)))</f>
        <v>0</v>
      </c>
      <c r="MT13" s="21">
        <f>IF(MT$1&lt;INDEX('Valo FX'!$Q:$Q,MATCH($A13,'Valo FX'!$A:$A,0)),0,IF(MT$1&lt;INDEX('Valo FX'!$R:$R,MATCH($A13,'Valo FX'!$A:$A,0)),INDEX(Base!$U:$U,MATCH($A13,Base!$A:$A,0)),IF(MT$1=INDEX('Valo FX'!$R:$R,MATCH($A13,'Valo FX'!$A:$A,0)),INDEX(Base!$V:$V,MATCH($A13,Base!$A:$A,0)),0)))</f>
        <v>0</v>
      </c>
      <c r="MU13" s="21">
        <f>IF(MU$1&lt;INDEX('Valo FX'!$Q:$Q,MATCH($A13,'Valo FX'!$A:$A,0)),0,IF(MU$1&lt;INDEX('Valo FX'!$R:$R,MATCH($A13,'Valo FX'!$A:$A,0)),INDEX(Base!$U:$U,MATCH($A13,Base!$A:$A,0)),IF(MU$1=INDEX('Valo FX'!$R:$R,MATCH($A13,'Valo FX'!$A:$A,0)),INDEX(Base!$V:$V,MATCH($A13,Base!$A:$A,0)),0)))</f>
        <v>0</v>
      </c>
      <c r="MV13" s="21">
        <f>IF(MV$1&lt;INDEX('Valo FX'!$Q:$Q,MATCH($A13,'Valo FX'!$A:$A,0)),0,IF(MV$1&lt;INDEX('Valo FX'!$R:$R,MATCH($A13,'Valo FX'!$A:$A,0)),INDEX(Base!$U:$U,MATCH($A13,Base!$A:$A,0)),IF(MV$1=INDEX('Valo FX'!$R:$R,MATCH($A13,'Valo FX'!$A:$A,0)),INDEX(Base!$V:$V,MATCH($A13,Base!$A:$A,0)),0)))</f>
        <v>0</v>
      </c>
      <c r="MW13" s="21">
        <f>IF(MW$1&lt;INDEX('Valo FX'!$Q:$Q,MATCH($A13,'Valo FX'!$A:$A,0)),0,IF(MW$1&lt;INDEX('Valo FX'!$R:$R,MATCH($A13,'Valo FX'!$A:$A,0)),INDEX(Base!$U:$U,MATCH($A13,Base!$A:$A,0)),IF(MW$1=INDEX('Valo FX'!$R:$R,MATCH($A13,'Valo FX'!$A:$A,0)),INDEX(Base!$V:$V,MATCH($A13,Base!$A:$A,0)),0)))</f>
        <v>0</v>
      </c>
      <c r="MX13" s="21">
        <f>IF(MX$1&lt;INDEX('Valo FX'!$Q:$Q,MATCH($A13,'Valo FX'!$A:$A,0)),0,IF(MX$1&lt;INDEX('Valo FX'!$R:$R,MATCH($A13,'Valo FX'!$A:$A,0)),INDEX(Base!$U:$U,MATCH($A13,Base!$A:$A,0)),IF(MX$1=INDEX('Valo FX'!$R:$R,MATCH($A13,'Valo FX'!$A:$A,0)),INDEX(Base!$V:$V,MATCH($A13,Base!$A:$A,0)),0)))</f>
        <v>0</v>
      </c>
      <c r="MY13" s="21">
        <f>IF(MY$1&lt;INDEX('Valo FX'!$Q:$Q,MATCH($A13,'Valo FX'!$A:$A,0)),0,IF(MY$1&lt;INDEX('Valo FX'!$R:$R,MATCH($A13,'Valo FX'!$A:$A,0)),INDEX(Base!$U:$U,MATCH($A13,Base!$A:$A,0)),IF(MY$1=INDEX('Valo FX'!$R:$R,MATCH($A13,'Valo FX'!$A:$A,0)),INDEX(Base!$V:$V,MATCH($A13,Base!$A:$A,0)),0)))</f>
        <v>0</v>
      </c>
    </row>
    <row r="14" spans="1:363" x14ac:dyDescent="0.2">
      <c r="A14" s="7">
        <f>+'Valo FX'!A15</f>
        <v>12</v>
      </c>
      <c r="B14" s="58">
        <f>-'Valo FX'!T15</f>
        <v>-787.48093687706933</v>
      </c>
      <c r="C14" s="21">
        <f>IF(C$1&lt;INDEX('Valo FX'!$Q:$Q,MATCH($A14,'Valo FX'!$A:$A,0)),0,IF(C$1&lt;INDEX('Valo FX'!$R:$R,MATCH($A14,'Valo FX'!$A:$A,0)),INDEX(Base!$U:$U,MATCH($A14,Base!$A:$A,0)),IF(C$1=INDEX('Valo FX'!$R:$R,MATCH($A14,'Valo FX'!$A:$A,0)),INDEX(Base!$V:$V,MATCH($A14,Base!$A:$A,0)),0)))</f>
        <v>0</v>
      </c>
      <c r="D14" s="21">
        <f>IF(D$1&lt;INDEX('Valo FX'!$Q:$Q,MATCH($A14,'Valo FX'!$A:$A,0)),0,IF(D$1&lt;INDEX('Valo FX'!$R:$R,MATCH($A14,'Valo FX'!$A:$A,0)),INDEX(Base!$U:$U,MATCH($A14,Base!$A:$A,0)),IF(D$1=INDEX('Valo FX'!$R:$R,MATCH($A14,'Valo FX'!$A:$A,0)),INDEX(Base!$V:$V,MATCH($A14,Base!$A:$A,0)),0)))</f>
        <v>0</v>
      </c>
      <c r="E14" s="21">
        <f>IF(E$1&lt;INDEX('Valo FX'!$Q:$Q,MATCH($A14,'Valo FX'!$A:$A,0)),0,IF(E$1&lt;INDEX('Valo FX'!$R:$R,MATCH($A14,'Valo FX'!$A:$A,0)),INDEX(Base!$U:$U,MATCH($A14,Base!$A:$A,0)),IF(E$1=INDEX('Valo FX'!$R:$R,MATCH($A14,'Valo FX'!$A:$A,0)),INDEX(Base!$V:$V,MATCH($A14,Base!$A:$A,0)),0)))</f>
        <v>0</v>
      </c>
      <c r="F14" s="21">
        <f>IF(F$1&lt;INDEX('Valo FX'!$Q:$Q,MATCH($A14,'Valo FX'!$A:$A,0)),0,IF(F$1&lt;INDEX('Valo FX'!$R:$R,MATCH($A14,'Valo FX'!$A:$A,0)),INDEX(Base!$U:$U,MATCH($A14,Base!$A:$A,0)),IF(F$1=INDEX('Valo FX'!$R:$R,MATCH($A14,'Valo FX'!$A:$A,0)),INDEX(Base!$V:$V,MATCH($A14,Base!$A:$A,0)),0)))</f>
        <v>0</v>
      </c>
      <c r="G14" s="21">
        <f>IF(G$1&lt;INDEX('Valo FX'!$Q:$Q,MATCH($A14,'Valo FX'!$A:$A,0)),0,IF(G$1&lt;INDEX('Valo FX'!$R:$R,MATCH($A14,'Valo FX'!$A:$A,0)),INDEX(Base!$U:$U,MATCH($A14,Base!$A:$A,0)),IF(G$1=INDEX('Valo FX'!$R:$R,MATCH($A14,'Valo FX'!$A:$A,0)),INDEX(Base!$V:$V,MATCH($A14,Base!$A:$A,0)),0)))</f>
        <v>0</v>
      </c>
      <c r="H14" s="21">
        <f>IF(H$1&lt;INDEX('Valo FX'!$Q:$Q,MATCH($A14,'Valo FX'!$A:$A,0)),0,IF(H$1&lt;INDEX('Valo FX'!$R:$R,MATCH($A14,'Valo FX'!$A:$A,0)),INDEX(Base!$U:$U,MATCH($A14,Base!$A:$A,0)),IF(H$1=INDEX('Valo FX'!$R:$R,MATCH($A14,'Valo FX'!$A:$A,0)),INDEX(Base!$V:$V,MATCH($A14,Base!$A:$A,0)),0)))</f>
        <v>0</v>
      </c>
      <c r="I14" s="21">
        <f>IF(I$1&lt;INDEX('Valo FX'!$Q:$Q,MATCH($A14,'Valo FX'!$A:$A,0)),0,IF(I$1&lt;INDEX('Valo FX'!$R:$R,MATCH($A14,'Valo FX'!$A:$A,0)),INDEX(Base!$U:$U,MATCH($A14,Base!$A:$A,0)),IF(I$1=INDEX('Valo FX'!$R:$R,MATCH($A14,'Valo FX'!$A:$A,0)),INDEX(Base!$V:$V,MATCH($A14,Base!$A:$A,0)),0)))</f>
        <v>6.850911</v>
      </c>
      <c r="J14" s="21">
        <f>IF(J$1&lt;INDEX('Valo FX'!$Q:$Q,MATCH($A14,'Valo FX'!$A:$A,0)),0,IF(J$1&lt;INDEX('Valo FX'!$R:$R,MATCH($A14,'Valo FX'!$A:$A,0)),INDEX(Base!$U:$U,MATCH($A14,Base!$A:$A,0)),IF(J$1=INDEX('Valo FX'!$R:$R,MATCH($A14,'Valo FX'!$A:$A,0)),INDEX(Base!$V:$V,MATCH($A14,Base!$A:$A,0)),0)))</f>
        <v>6.850911</v>
      </c>
      <c r="K14" s="21">
        <f>IF(K$1&lt;INDEX('Valo FX'!$Q:$Q,MATCH($A14,'Valo FX'!$A:$A,0)),0,IF(K$1&lt;INDEX('Valo FX'!$R:$R,MATCH($A14,'Valo FX'!$A:$A,0)),INDEX(Base!$U:$U,MATCH($A14,Base!$A:$A,0)),IF(K$1=INDEX('Valo FX'!$R:$R,MATCH($A14,'Valo FX'!$A:$A,0)),INDEX(Base!$V:$V,MATCH($A14,Base!$A:$A,0)),0)))</f>
        <v>6.850911</v>
      </c>
      <c r="L14" s="21">
        <f>IF(L$1&lt;INDEX('Valo FX'!$Q:$Q,MATCH($A14,'Valo FX'!$A:$A,0)),0,IF(L$1&lt;INDEX('Valo FX'!$R:$R,MATCH($A14,'Valo FX'!$A:$A,0)),INDEX(Base!$U:$U,MATCH($A14,Base!$A:$A,0)),IF(L$1=INDEX('Valo FX'!$R:$R,MATCH($A14,'Valo FX'!$A:$A,0)),INDEX(Base!$V:$V,MATCH($A14,Base!$A:$A,0)),0)))</f>
        <v>6.850911</v>
      </c>
      <c r="M14" s="21">
        <f>IF(M$1&lt;INDEX('Valo FX'!$Q:$Q,MATCH($A14,'Valo FX'!$A:$A,0)),0,IF(M$1&lt;INDEX('Valo FX'!$R:$R,MATCH($A14,'Valo FX'!$A:$A,0)),INDEX(Base!$U:$U,MATCH($A14,Base!$A:$A,0)),IF(M$1=INDEX('Valo FX'!$R:$R,MATCH($A14,'Valo FX'!$A:$A,0)),INDEX(Base!$V:$V,MATCH($A14,Base!$A:$A,0)),0)))</f>
        <v>6.850911</v>
      </c>
      <c r="N14" s="21">
        <f>IF(N$1&lt;INDEX('Valo FX'!$Q:$Q,MATCH($A14,'Valo FX'!$A:$A,0)),0,IF(N$1&lt;INDEX('Valo FX'!$R:$R,MATCH($A14,'Valo FX'!$A:$A,0)),INDEX(Base!$U:$U,MATCH($A14,Base!$A:$A,0)),IF(N$1=INDEX('Valo FX'!$R:$R,MATCH($A14,'Valo FX'!$A:$A,0)),INDEX(Base!$V:$V,MATCH($A14,Base!$A:$A,0)),0)))</f>
        <v>6.850911</v>
      </c>
      <c r="O14" s="21">
        <f>IF(O$1&lt;INDEX('Valo FX'!$Q:$Q,MATCH($A14,'Valo FX'!$A:$A,0)),0,IF(O$1&lt;INDEX('Valo FX'!$R:$R,MATCH($A14,'Valo FX'!$A:$A,0)),INDEX(Base!$U:$U,MATCH($A14,Base!$A:$A,0)),IF(O$1=INDEX('Valo FX'!$R:$R,MATCH($A14,'Valo FX'!$A:$A,0)),INDEX(Base!$V:$V,MATCH($A14,Base!$A:$A,0)),0)))</f>
        <v>6.850911</v>
      </c>
      <c r="P14" s="21">
        <f>IF(P$1&lt;INDEX('Valo FX'!$Q:$Q,MATCH($A14,'Valo FX'!$A:$A,0)),0,IF(P$1&lt;INDEX('Valo FX'!$R:$R,MATCH($A14,'Valo FX'!$A:$A,0)),INDEX(Base!$U:$U,MATCH($A14,Base!$A:$A,0)),IF(P$1=INDEX('Valo FX'!$R:$R,MATCH($A14,'Valo FX'!$A:$A,0)),INDEX(Base!$V:$V,MATCH($A14,Base!$A:$A,0)),0)))</f>
        <v>6.850911</v>
      </c>
      <c r="Q14" s="21">
        <f>IF(Q$1&lt;INDEX('Valo FX'!$Q:$Q,MATCH($A14,'Valo FX'!$A:$A,0)),0,IF(Q$1&lt;INDEX('Valo FX'!$R:$R,MATCH($A14,'Valo FX'!$A:$A,0)),INDEX(Base!$U:$U,MATCH($A14,Base!$A:$A,0)),IF(Q$1=INDEX('Valo FX'!$R:$R,MATCH($A14,'Valo FX'!$A:$A,0)),INDEX(Base!$V:$V,MATCH($A14,Base!$A:$A,0)),0)))</f>
        <v>6.850911</v>
      </c>
      <c r="R14" s="21">
        <f>IF(R$1&lt;INDEX('Valo FX'!$Q:$Q,MATCH($A14,'Valo FX'!$A:$A,0)),0,IF(R$1&lt;INDEX('Valo FX'!$R:$R,MATCH($A14,'Valo FX'!$A:$A,0)),INDEX(Base!$U:$U,MATCH($A14,Base!$A:$A,0)),IF(R$1=INDEX('Valo FX'!$R:$R,MATCH($A14,'Valo FX'!$A:$A,0)),INDEX(Base!$V:$V,MATCH($A14,Base!$A:$A,0)),0)))</f>
        <v>6.850911</v>
      </c>
      <c r="S14" s="21">
        <f>IF(S$1&lt;INDEX('Valo FX'!$Q:$Q,MATCH($A14,'Valo FX'!$A:$A,0)),0,IF(S$1&lt;INDEX('Valo FX'!$R:$R,MATCH($A14,'Valo FX'!$A:$A,0)),INDEX(Base!$U:$U,MATCH($A14,Base!$A:$A,0)),IF(S$1=INDEX('Valo FX'!$R:$R,MATCH($A14,'Valo FX'!$A:$A,0)),INDEX(Base!$V:$V,MATCH($A14,Base!$A:$A,0)),0)))</f>
        <v>6.850911</v>
      </c>
      <c r="T14" s="21">
        <f>IF(T$1&lt;INDEX('Valo FX'!$Q:$Q,MATCH($A14,'Valo FX'!$A:$A,0)),0,IF(T$1&lt;INDEX('Valo FX'!$R:$R,MATCH($A14,'Valo FX'!$A:$A,0)),INDEX(Base!$U:$U,MATCH($A14,Base!$A:$A,0)),IF(T$1=INDEX('Valo FX'!$R:$R,MATCH($A14,'Valo FX'!$A:$A,0)),INDEX(Base!$V:$V,MATCH($A14,Base!$A:$A,0)),0)))</f>
        <v>6.850911</v>
      </c>
      <c r="U14" s="21">
        <f>IF(U$1&lt;INDEX('Valo FX'!$Q:$Q,MATCH($A14,'Valo FX'!$A:$A,0)),0,IF(U$1&lt;INDEX('Valo FX'!$R:$R,MATCH($A14,'Valo FX'!$A:$A,0)),INDEX(Base!$U:$U,MATCH($A14,Base!$A:$A,0)),IF(U$1=INDEX('Valo FX'!$R:$R,MATCH($A14,'Valo FX'!$A:$A,0)),INDEX(Base!$V:$V,MATCH($A14,Base!$A:$A,0)),0)))</f>
        <v>6.850911</v>
      </c>
      <c r="V14" s="21">
        <f>IF(V$1&lt;INDEX('Valo FX'!$Q:$Q,MATCH($A14,'Valo FX'!$A:$A,0)),0,IF(V$1&lt;INDEX('Valo FX'!$R:$R,MATCH($A14,'Valo FX'!$A:$A,0)),INDEX(Base!$U:$U,MATCH($A14,Base!$A:$A,0)),IF(V$1=INDEX('Valo FX'!$R:$R,MATCH($A14,'Valo FX'!$A:$A,0)),INDEX(Base!$V:$V,MATCH($A14,Base!$A:$A,0)),0)))</f>
        <v>6.850911</v>
      </c>
      <c r="W14" s="21">
        <f>IF(W$1&lt;INDEX('Valo FX'!$Q:$Q,MATCH($A14,'Valo FX'!$A:$A,0)),0,IF(W$1&lt;INDEX('Valo FX'!$R:$R,MATCH($A14,'Valo FX'!$A:$A,0)),INDEX(Base!$U:$U,MATCH($A14,Base!$A:$A,0)),IF(W$1=INDEX('Valo FX'!$R:$R,MATCH($A14,'Valo FX'!$A:$A,0)),INDEX(Base!$V:$V,MATCH($A14,Base!$A:$A,0)),0)))</f>
        <v>6.850911</v>
      </c>
      <c r="X14" s="21">
        <f>IF(X$1&lt;INDEX('Valo FX'!$Q:$Q,MATCH($A14,'Valo FX'!$A:$A,0)),0,IF(X$1&lt;INDEX('Valo FX'!$R:$R,MATCH($A14,'Valo FX'!$A:$A,0)),INDEX(Base!$U:$U,MATCH($A14,Base!$A:$A,0)),IF(X$1=INDEX('Valo FX'!$R:$R,MATCH($A14,'Valo FX'!$A:$A,0)),INDEX(Base!$V:$V,MATCH($A14,Base!$A:$A,0)),0)))</f>
        <v>6.850911</v>
      </c>
      <c r="Y14" s="21">
        <f>IF(Y$1&lt;INDEX('Valo FX'!$Q:$Q,MATCH($A14,'Valo FX'!$A:$A,0)),0,IF(Y$1&lt;INDEX('Valo FX'!$R:$R,MATCH($A14,'Valo FX'!$A:$A,0)),INDEX(Base!$U:$U,MATCH($A14,Base!$A:$A,0)),IF(Y$1=INDEX('Valo FX'!$R:$R,MATCH($A14,'Valo FX'!$A:$A,0)),INDEX(Base!$V:$V,MATCH($A14,Base!$A:$A,0)),0)))</f>
        <v>6.850911</v>
      </c>
      <c r="Z14" s="21">
        <f>IF(Z$1&lt;INDEX('Valo FX'!$Q:$Q,MATCH($A14,'Valo FX'!$A:$A,0)),0,IF(Z$1&lt;INDEX('Valo FX'!$R:$R,MATCH($A14,'Valo FX'!$A:$A,0)),INDEX(Base!$U:$U,MATCH($A14,Base!$A:$A,0)),IF(Z$1=INDEX('Valo FX'!$R:$R,MATCH($A14,'Valo FX'!$A:$A,0)),INDEX(Base!$V:$V,MATCH($A14,Base!$A:$A,0)),0)))</f>
        <v>6.850911</v>
      </c>
      <c r="AA14" s="21">
        <f>IF(AA$1&lt;INDEX('Valo FX'!$Q:$Q,MATCH($A14,'Valo FX'!$A:$A,0)),0,IF(AA$1&lt;INDEX('Valo FX'!$R:$R,MATCH($A14,'Valo FX'!$A:$A,0)),INDEX(Base!$U:$U,MATCH($A14,Base!$A:$A,0)),IF(AA$1=INDEX('Valo FX'!$R:$R,MATCH($A14,'Valo FX'!$A:$A,0)),INDEX(Base!$V:$V,MATCH($A14,Base!$A:$A,0)),0)))</f>
        <v>6.850911</v>
      </c>
      <c r="AB14" s="21">
        <f>IF(AB$1&lt;INDEX('Valo FX'!$Q:$Q,MATCH($A14,'Valo FX'!$A:$A,0)),0,IF(AB$1&lt;INDEX('Valo FX'!$R:$R,MATCH($A14,'Valo FX'!$A:$A,0)),INDEX(Base!$U:$U,MATCH($A14,Base!$A:$A,0)),IF(AB$1=INDEX('Valo FX'!$R:$R,MATCH($A14,'Valo FX'!$A:$A,0)),INDEX(Base!$V:$V,MATCH($A14,Base!$A:$A,0)),0)))</f>
        <v>6.850911</v>
      </c>
      <c r="AC14" s="21">
        <f>IF(AC$1&lt;INDEX('Valo FX'!$Q:$Q,MATCH($A14,'Valo FX'!$A:$A,0)),0,IF(AC$1&lt;INDEX('Valo FX'!$R:$R,MATCH($A14,'Valo FX'!$A:$A,0)),INDEX(Base!$U:$U,MATCH($A14,Base!$A:$A,0)),IF(AC$1=INDEX('Valo FX'!$R:$R,MATCH($A14,'Valo FX'!$A:$A,0)),INDEX(Base!$V:$V,MATCH($A14,Base!$A:$A,0)),0)))</f>
        <v>6.850911</v>
      </c>
      <c r="AD14" s="21">
        <f>IF(AD$1&lt;INDEX('Valo FX'!$Q:$Q,MATCH($A14,'Valo FX'!$A:$A,0)),0,IF(AD$1&lt;INDEX('Valo FX'!$R:$R,MATCH($A14,'Valo FX'!$A:$A,0)),INDEX(Base!$U:$U,MATCH($A14,Base!$A:$A,0)),IF(AD$1=INDEX('Valo FX'!$R:$R,MATCH($A14,'Valo FX'!$A:$A,0)),INDEX(Base!$V:$V,MATCH($A14,Base!$A:$A,0)),0)))</f>
        <v>6.850911</v>
      </c>
      <c r="AE14" s="21">
        <f>IF(AE$1&lt;INDEX('Valo FX'!$Q:$Q,MATCH($A14,'Valo FX'!$A:$A,0)),0,IF(AE$1&lt;INDEX('Valo FX'!$R:$R,MATCH($A14,'Valo FX'!$A:$A,0)),INDEX(Base!$U:$U,MATCH($A14,Base!$A:$A,0)),IF(AE$1=INDEX('Valo FX'!$R:$R,MATCH($A14,'Valo FX'!$A:$A,0)),INDEX(Base!$V:$V,MATCH($A14,Base!$A:$A,0)),0)))</f>
        <v>6.850911</v>
      </c>
      <c r="AF14" s="21">
        <f>IF(AF$1&lt;INDEX('Valo FX'!$Q:$Q,MATCH($A14,'Valo FX'!$A:$A,0)),0,IF(AF$1&lt;INDEX('Valo FX'!$R:$R,MATCH($A14,'Valo FX'!$A:$A,0)),INDEX(Base!$U:$U,MATCH($A14,Base!$A:$A,0)),IF(AF$1=INDEX('Valo FX'!$R:$R,MATCH($A14,'Valo FX'!$A:$A,0)),INDEX(Base!$V:$V,MATCH($A14,Base!$A:$A,0)),0)))</f>
        <v>6.850911</v>
      </c>
      <c r="AG14" s="21">
        <f>IF(AG$1&lt;INDEX('Valo FX'!$Q:$Q,MATCH($A14,'Valo FX'!$A:$A,0)),0,IF(AG$1&lt;INDEX('Valo FX'!$R:$R,MATCH($A14,'Valo FX'!$A:$A,0)),INDEX(Base!$U:$U,MATCH($A14,Base!$A:$A,0)),IF(AG$1=INDEX('Valo FX'!$R:$R,MATCH($A14,'Valo FX'!$A:$A,0)),INDEX(Base!$V:$V,MATCH($A14,Base!$A:$A,0)),0)))</f>
        <v>6.850911</v>
      </c>
      <c r="AH14" s="21">
        <f>IF(AH$1&lt;INDEX('Valo FX'!$Q:$Q,MATCH($A14,'Valo FX'!$A:$A,0)),0,IF(AH$1&lt;INDEX('Valo FX'!$R:$R,MATCH($A14,'Valo FX'!$A:$A,0)),INDEX(Base!$U:$U,MATCH($A14,Base!$A:$A,0)),IF(AH$1=INDEX('Valo FX'!$R:$R,MATCH($A14,'Valo FX'!$A:$A,0)),INDEX(Base!$V:$V,MATCH($A14,Base!$A:$A,0)),0)))</f>
        <v>6.850911</v>
      </c>
      <c r="AI14" s="21">
        <f>IF(AI$1&lt;INDEX('Valo FX'!$Q:$Q,MATCH($A14,'Valo FX'!$A:$A,0)),0,IF(AI$1&lt;INDEX('Valo FX'!$R:$R,MATCH($A14,'Valo FX'!$A:$A,0)),INDEX(Base!$U:$U,MATCH($A14,Base!$A:$A,0)),IF(AI$1=INDEX('Valo FX'!$R:$R,MATCH($A14,'Valo FX'!$A:$A,0)),INDEX(Base!$V:$V,MATCH($A14,Base!$A:$A,0)),0)))</f>
        <v>6.850911</v>
      </c>
      <c r="AJ14" s="21">
        <f>IF(AJ$1&lt;INDEX('Valo FX'!$Q:$Q,MATCH($A14,'Valo FX'!$A:$A,0)),0,IF(AJ$1&lt;INDEX('Valo FX'!$R:$R,MATCH($A14,'Valo FX'!$A:$A,0)),INDEX(Base!$U:$U,MATCH($A14,Base!$A:$A,0)),IF(AJ$1=INDEX('Valo FX'!$R:$R,MATCH($A14,'Valo FX'!$A:$A,0)),INDEX(Base!$V:$V,MATCH($A14,Base!$A:$A,0)),0)))</f>
        <v>6.850911</v>
      </c>
      <c r="AK14" s="21">
        <f>IF(AK$1&lt;INDEX('Valo FX'!$Q:$Q,MATCH($A14,'Valo FX'!$A:$A,0)),0,IF(AK$1&lt;INDEX('Valo FX'!$R:$R,MATCH($A14,'Valo FX'!$A:$A,0)),INDEX(Base!$U:$U,MATCH($A14,Base!$A:$A,0)),IF(AK$1=INDEX('Valo FX'!$R:$R,MATCH($A14,'Valo FX'!$A:$A,0)),INDEX(Base!$V:$V,MATCH($A14,Base!$A:$A,0)),0)))</f>
        <v>6.850911</v>
      </c>
      <c r="AL14" s="21">
        <f>IF(AL$1&lt;INDEX('Valo FX'!$Q:$Q,MATCH($A14,'Valo FX'!$A:$A,0)),0,IF(AL$1&lt;INDEX('Valo FX'!$R:$R,MATCH($A14,'Valo FX'!$A:$A,0)),INDEX(Base!$U:$U,MATCH($A14,Base!$A:$A,0)),IF(AL$1=INDEX('Valo FX'!$R:$R,MATCH($A14,'Valo FX'!$A:$A,0)),INDEX(Base!$V:$V,MATCH($A14,Base!$A:$A,0)),0)))</f>
        <v>6.850911</v>
      </c>
      <c r="AM14" s="21">
        <f>IF(AM$1&lt;INDEX('Valo FX'!$Q:$Q,MATCH($A14,'Valo FX'!$A:$A,0)),0,IF(AM$1&lt;INDEX('Valo FX'!$R:$R,MATCH($A14,'Valo FX'!$A:$A,0)),INDEX(Base!$U:$U,MATCH($A14,Base!$A:$A,0)),IF(AM$1=INDEX('Valo FX'!$R:$R,MATCH($A14,'Valo FX'!$A:$A,0)),INDEX(Base!$V:$V,MATCH($A14,Base!$A:$A,0)),0)))</f>
        <v>6.850911</v>
      </c>
      <c r="AN14" s="21">
        <f>IF(AN$1&lt;INDEX('Valo FX'!$Q:$Q,MATCH($A14,'Valo FX'!$A:$A,0)),0,IF(AN$1&lt;INDEX('Valo FX'!$R:$R,MATCH($A14,'Valo FX'!$A:$A,0)),INDEX(Base!$U:$U,MATCH($A14,Base!$A:$A,0)),IF(AN$1=INDEX('Valo FX'!$R:$R,MATCH($A14,'Valo FX'!$A:$A,0)),INDEX(Base!$V:$V,MATCH($A14,Base!$A:$A,0)),0)))</f>
        <v>6.850911</v>
      </c>
      <c r="AO14" s="21">
        <f>IF(AO$1&lt;INDEX('Valo FX'!$Q:$Q,MATCH($A14,'Valo FX'!$A:$A,0)),0,IF(AO$1&lt;INDEX('Valo FX'!$R:$R,MATCH($A14,'Valo FX'!$A:$A,0)),INDEX(Base!$U:$U,MATCH($A14,Base!$A:$A,0)),IF(AO$1=INDEX('Valo FX'!$R:$R,MATCH($A14,'Valo FX'!$A:$A,0)),INDEX(Base!$V:$V,MATCH($A14,Base!$A:$A,0)),0)))</f>
        <v>6.850911</v>
      </c>
      <c r="AP14" s="21">
        <f>IF(AP$1&lt;INDEX('Valo FX'!$Q:$Q,MATCH($A14,'Valo FX'!$A:$A,0)),0,IF(AP$1&lt;INDEX('Valo FX'!$R:$R,MATCH($A14,'Valo FX'!$A:$A,0)),INDEX(Base!$U:$U,MATCH($A14,Base!$A:$A,0)),IF(AP$1=INDEX('Valo FX'!$R:$R,MATCH($A14,'Valo FX'!$A:$A,0)),INDEX(Base!$V:$V,MATCH($A14,Base!$A:$A,0)),0)))</f>
        <v>6.850911</v>
      </c>
      <c r="AQ14" s="21">
        <f>IF(AQ$1&lt;INDEX('Valo FX'!$Q:$Q,MATCH($A14,'Valo FX'!$A:$A,0)),0,IF(AQ$1&lt;INDEX('Valo FX'!$R:$R,MATCH($A14,'Valo FX'!$A:$A,0)),INDEX(Base!$U:$U,MATCH($A14,Base!$A:$A,0)),IF(AQ$1=INDEX('Valo FX'!$R:$R,MATCH($A14,'Valo FX'!$A:$A,0)),INDEX(Base!$V:$V,MATCH($A14,Base!$A:$A,0)),0)))</f>
        <v>6.850911</v>
      </c>
      <c r="AR14" s="21">
        <f>IF(AR$1&lt;INDEX('Valo FX'!$Q:$Q,MATCH($A14,'Valo FX'!$A:$A,0)),0,IF(AR$1&lt;INDEX('Valo FX'!$R:$R,MATCH($A14,'Valo FX'!$A:$A,0)),INDEX(Base!$U:$U,MATCH($A14,Base!$A:$A,0)),IF(AR$1=INDEX('Valo FX'!$R:$R,MATCH($A14,'Valo FX'!$A:$A,0)),INDEX(Base!$V:$V,MATCH($A14,Base!$A:$A,0)),0)))</f>
        <v>6.850911</v>
      </c>
      <c r="AS14" s="21">
        <f>IF(AS$1&lt;INDEX('Valo FX'!$Q:$Q,MATCH($A14,'Valo FX'!$A:$A,0)),0,IF(AS$1&lt;INDEX('Valo FX'!$R:$R,MATCH($A14,'Valo FX'!$A:$A,0)),INDEX(Base!$U:$U,MATCH($A14,Base!$A:$A,0)),IF(AS$1=INDEX('Valo FX'!$R:$R,MATCH($A14,'Valo FX'!$A:$A,0)),INDEX(Base!$V:$V,MATCH($A14,Base!$A:$A,0)),0)))</f>
        <v>6.850911</v>
      </c>
      <c r="AT14" s="21">
        <f>IF(AT$1&lt;INDEX('Valo FX'!$Q:$Q,MATCH($A14,'Valo FX'!$A:$A,0)),0,IF(AT$1&lt;INDEX('Valo FX'!$R:$R,MATCH($A14,'Valo FX'!$A:$A,0)),INDEX(Base!$U:$U,MATCH($A14,Base!$A:$A,0)),IF(AT$1=INDEX('Valo FX'!$R:$R,MATCH($A14,'Valo FX'!$A:$A,0)),INDEX(Base!$V:$V,MATCH($A14,Base!$A:$A,0)),0)))</f>
        <v>6.850911</v>
      </c>
      <c r="AU14" s="21">
        <f>IF(AU$1&lt;INDEX('Valo FX'!$Q:$Q,MATCH($A14,'Valo FX'!$A:$A,0)),0,IF(AU$1&lt;INDEX('Valo FX'!$R:$R,MATCH($A14,'Valo FX'!$A:$A,0)),INDEX(Base!$U:$U,MATCH($A14,Base!$A:$A,0)),IF(AU$1=INDEX('Valo FX'!$R:$R,MATCH($A14,'Valo FX'!$A:$A,0)),INDEX(Base!$V:$V,MATCH($A14,Base!$A:$A,0)),0)))</f>
        <v>6.850911</v>
      </c>
      <c r="AV14" s="21">
        <f>IF(AV$1&lt;INDEX('Valo FX'!$Q:$Q,MATCH($A14,'Valo FX'!$A:$A,0)),0,IF(AV$1&lt;INDEX('Valo FX'!$R:$R,MATCH($A14,'Valo FX'!$A:$A,0)),INDEX(Base!$U:$U,MATCH($A14,Base!$A:$A,0)),IF(AV$1=INDEX('Valo FX'!$R:$R,MATCH($A14,'Valo FX'!$A:$A,0)),INDEX(Base!$V:$V,MATCH($A14,Base!$A:$A,0)),0)))</f>
        <v>6.850911</v>
      </c>
      <c r="AW14" s="21">
        <f>IF(AW$1&lt;INDEX('Valo FX'!$Q:$Q,MATCH($A14,'Valo FX'!$A:$A,0)),0,IF(AW$1&lt;INDEX('Valo FX'!$R:$R,MATCH($A14,'Valo FX'!$A:$A,0)),INDEX(Base!$U:$U,MATCH($A14,Base!$A:$A,0)),IF(AW$1=INDEX('Valo FX'!$R:$R,MATCH($A14,'Valo FX'!$A:$A,0)),INDEX(Base!$V:$V,MATCH($A14,Base!$A:$A,0)),0)))</f>
        <v>6.850911</v>
      </c>
      <c r="AX14" s="21">
        <f>IF(AX$1&lt;INDEX('Valo FX'!$Q:$Q,MATCH($A14,'Valo FX'!$A:$A,0)),0,IF(AX$1&lt;INDEX('Valo FX'!$R:$R,MATCH($A14,'Valo FX'!$A:$A,0)),INDEX(Base!$U:$U,MATCH($A14,Base!$A:$A,0)),IF(AX$1=INDEX('Valo FX'!$R:$R,MATCH($A14,'Valo FX'!$A:$A,0)),INDEX(Base!$V:$V,MATCH($A14,Base!$A:$A,0)),0)))</f>
        <v>6.850911</v>
      </c>
      <c r="AY14" s="21">
        <f>IF(AY$1&lt;INDEX('Valo FX'!$Q:$Q,MATCH($A14,'Valo FX'!$A:$A,0)),0,IF(AY$1&lt;INDEX('Valo FX'!$R:$R,MATCH($A14,'Valo FX'!$A:$A,0)),INDEX(Base!$U:$U,MATCH($A14,Base!$A:$A,0)),IF(AY$1=INDEX('Valo FX'!$R:$R,MATCH($A14,'Valo FX'!$A:$A,0)),INDEX(Base!$V:$V,MATCH($A14,Base!$A:$A,0)),0)))</f>
        <v>6.850911</v>
      </c>
      <c r="AZ14" s="21">
        <f>IF(AZ$1&lt;INDEX('Valo FX'!$Q:$Q,MATCH($A14,'Valo FX'!$A:$A,0)),0,IF(AZ$1&lt;INDEX('Valo FX'!$R:$R,MATCH($A14,'Valo FX'!$A:$A,0)),INDEX(Base!$U:$U,MATCH($A14,Base!$A:$A,0)),IF(AZ$1=INDEX('Valo FX'!$R:$R,MATCH($A14,'Valo FX'!$A:$A,0)),INDEX(Base!$V:$V,MATCH($A14,Base!$A:$A,0)),0)))</f>
        <v>6.850911</v>
      </c>
      <c r="BA14" s="21">
        <f>IF(BA$1&lt;INDEX('Valo FX'!$Q:$Q,MATCH($A14,'Valo FX'!$A:$A,0)),0,IF(BA$1&lt;INDEX('Valo FX'!$R:$R,MATCH($A14,'Valo FX'!$A:$A,0)),INDEX(Base!$U:$U,MATCH($A14,Base!$A:$A,0)),IF(BA$1=INDEX('Valo FX'!$R:$R,MATCH($A14,'Valo FX'!$A:$A,0)),INDEX(Base!$V:$V,MATCH($A14,Base!$A:$A,0)),0)))</f>
        <v>6.850911</v>
      </c>
      <c r="BB14" s="21">
        <f>IF(BB$1&lt;INDEX('Valo FX'!$Q:$Q,MATCH($A14,'Valo FX'!$A:$A,0)),0,IF(BB$1&lt;INDEX('Valo FX'!$R:$R,MATCH($A14,'Valo FX'!$A:$A,0)),INDEX(Base!$U:$U,MATCH($A14,Base!$A:$A,0)),IF(BB$1=INDEX('Valo FX'!$R:$R,MATCH($A14,'Valo FX'!$A:$A,0)),INDEX(Base!$V:$V,MATCH($A14,Base!$A:$A,0)),0)))</f>
        <v>6.850911</v>
      </c>
      <c r="BC14" s="21">
        <f>IF(BC$1&lt;INDEX('Valo FX'!$Q:$Q,MATCH($A14,'Valo FX'!$A:$A,0)),0,IF(BC$1&lt;INDEX('Valo FX'!$R:$R,MATCH($A14,'Valo FX'!$A:$A,0)),INDEX(Base!$U:$U,MATCH($A14,Base!$A:$A,0)),IF(BC$1=INDEX('Valo FX'!$R:$R,MATCH($A14,'Valo FX'!$A:$A,0)),INDEX(Base!$V:$V,MATCH($A14,Base!$A:$A,0)),0)))</f>
        <v>6.850911</v>
      </c>
      <c r="BD14" s="21">
        <f>IF(BD$1&lt;INDEX('Valo FX'!$Q:$Q,MATCH($A14,'Valo FX'!$A:$A,0)),0,IF(BD$1&lt;INDEX('Valo FX'!$R:$R,MATCH($A14,'Valo FX'!$A:$A,0)),INDEX(Base!$U:$U,MATCH($A14,Base!$A:$A,0)),IF(BD$1=INDEX('Valo FX'!$R:$R,MATCH($A14,'Valo FX'!$A:$A,0)),INDEX(Base!$V:$V,MATCH($A14,Base!$A:$A,0)),0)))</f>
        <v>6.850911</v>
      </c>
      <c r="BE14" s="21">
        <f>IF(BE$1&lt;INDEX('Valo FX'!$Q:$Q,MATCH($A14,'Valo FX'!$A:$A,0)),0,IF(BE$1&lt;INDEX('Valo FX'!$R:$R,MATCH($A14,'Valo FX'!$A:$A,0)),INDEX(Base!$U:$U,MATCH($A14,Base!$A:$A,0)),IF(BE$1=INDEX('Valo FX'!$R:$R,MATCH($A14,'Valo FX'!$A:$A,0)),INDEX(Base!$V:$V,MATCH($A14,Base!$A:$A,0)),0)))</f>
        <v>6.850911</v>
      </c>
      <c r="BF14" s="21">
        <f>IF(BF$1&lt;INDEX('Valo FX'!$Q:$Q,MATCH($A14,'Valo FX'!$A:$A,0)),0,IF(BF$1&lt;INDEX('Valo FX'!$R:$R,MATCH($A14,'Valo FX'!$A:$A,0)),INDEX(Base!$U:$U,MATCH($A14,Base!$A:$A,0)),IF(BF$1=INDEX('Valo FX'!$R:$R,MATCH($A14,'Valo FX'!$A:$A,0)),INDEX(Base!$V:$V,MATCH($A14,Base!$A:$A,0)),0)))</f>
        <v>6.850911</v>
      </c>
      <c r="BG14" s="21">
        <f>IF(BG$1&lt;INDEX('Valo FX'!$Q:$Q,MATCH($A14,'Valo FX'!$A:$A,0)),0,IF(BG$1&lt;INDEX('Valo FX'!$R:$R,MATCH($A14,'Valo FX'!$A:$A,0)),INDEX(Base!$U:$U,MATCH($A14,Base!$A:$A,0)),IF(BG$1=INDEX('Valo FX'!$R:$R,MATCH($A14,'Valo FX'!$A:$A,0)),INDEX(Base!$V:$V,MATCH($A14,Base!$A:$A,0)),0)))</f>
        <v>6.850911</v>
      </c>
      <c r="BH14" s="21">
        <f>IF(BH$1&lt;INDEX('Valo FX'!$Q:$Q,MATCH($A14,'Valo FX'!$A:$A,0)),0,IF(BH$1&lt;INDEX('Valo FX'!$R:$R,MATCH($A14,'Valo FX'!$A:$A,0)),INDEX(Base!$U:$U,MATCH($A14,Base!$A:$A,0)),IF(BH$1=INDEX('Valo FX'!$R:$R,MATCH($A14,'Valo FX'!$A:$A,0)),INDEX(Base!$V:$V,MATCH($A14,Base!$A:$A,0)),0)))</f>
        <v>6.850911</v>
      </c>
      <c r="BI14" s="21">
        <f>IF(BI$1&lt;INDEX('Valo FX'!$Q:$Q,MATCH($A14,'Valo FX'!$A:$A,0)),0,IF(BI$1&lt;INDEX('Valo FX'!$R:$R,MATCH($A14,'Valo FX'!$A:$A,0)),INDEX(Base!$U:$U,MATCH($A14,Base!$A:$A,0)),IF(BI$1=INDEX('Valo FX'!$R:$R,MATCH($A14,'Valo FX'!$A:$A,0)),INDEX(Base!$V:$V,MATCH($A14,Base!$A:$A,0)),0)))</f>
        <v>6.850911</v>
      </c>
      <c r="BJ14" s="21">
        <f>IF(BJ$1&lt;INDEX('Valo FX'!$Q:$Q,MATCH($A14,'Valo FX'!$A:$A,0)),0,IF(BJ$1&lt;INDEX('Valo FX'!$R:$R,MATCH($A14,'Valo FX'!$A:$A,0)),INDEX(Base!$U:$U,MATCH($A14,Base!$A:$A,0)),IF(BJ$1=INDEX('Valo FX'!$R:$R,MATCH($A14,'Valo FX'!$A:$A,0)),INDEX(Base!$V:$V,MATCH($A14,Base!$A:$A,0)),0)))</f>
        <v>6.850911</v>
      </c>
      <c r="BK14" s="21">
        <f>IF(BK$1&lt;INDEX('Valo FX'!$Q:$Q,MATCH($A14,'Valo FX'!$A:$A,0)),0,IF(BK$1&lt;INDEX('Valo FX'!$R:$R,MATCH($A14,'Valo FX'!$A:$A,0)),INDEX(Base!$U:$U,MATCH($A14,Base!$A:$A,0)),IF(BK$1=INDEX('Valo FX'!$R:$R,MATCH($A14,'Valo FX'!$A:$A,0)),INDEX(Base!$V:$V,MATCH($A14,Base!$A:$A,0)),0)))</f>
        <v>6.850911</v>
      </c>
      <c r="BL14" s="21">
        <f>IF(BL$1&lt;INDEX('Valo FX'!$Q:$Q,MATCH($A14,'Valo FX'!$A:$A,0)),0,IF(BL$1&lt;INDEX('Valo FX'!$R:$R,MATCH($A14,'Valo FX'!$A:$A,0)),INDEX(Base!$U:$U,MATCH($A14,Base!$A:$A,0)),IF(BL$1=INDEX('Valo FX'!$R:$R,MATCH($A14,'Valo FX'!$A:$A,0)),INDEX(Base!$V:$V,MATCH($A14,Base!$A:$A,0)),0)))</f>
        <v>6.850911</v>
      </c>
      <c r="BM14" s="21">
        <f>IF(BM$1&lt;INDEX('Valo FX'!$Q:$Q,MATCH($A14,'Valo FX'!$A:$A,0)),0,IF(BM$1&lt;INDEX('Valo FX'!$R:$R,MATCH($A14,'Valo FX'!$A:$A,0)),INDEX(Base!$U:$U,MATCH($A14,Base!$A:$A,0)),IF(BM$1=INDEX('Valo FX'!$R:$R,MATCH($A14,'Valo FX'!$A:$A,0)),INDEX(Base!$V:$V,MATCH($A14,Base!$A:$A,0)),0)))</f>
        <v>6.850911</v>
      </c>
      <c r="BN14" s="21">
        <f>IF(BN$1&lt;INDEX('Valo FX'!$Q:$Q,MATCH($A14,'Valo FX'!$A:$A,0)),0,IF(BN$1&lt;INDEX('Valo FX'!$R:$R,MATCH($A14,'Valo FX'!$A:$A,0)),INDEX(Base!$U:$U,MATCH($A14,Base!$A:$A,0)),IF(BN$1=INDEX('Valo FX'!$R:$R,MATCH($A14,'Valo FX'!$A:$A,0)),INDEX(Base!$V:$V,MATCH($A14,Base!$A:$A,0)),0)))</f>
        <v>6.850911</v>
      </c>
      <c r="BO14" s="21">
        <f>IF(BO$1&lt;INDEX('Valo FX'!$Q:$Q,MATCH($A14,'Valo FX'!$A:$A,0)),0,IF(BO$1&lt;INDEX('Valo FX'!$R:$R,MATCH($A14,'Valo FX'!$A:$A,0)),INDEX(Base!$U:$U,MATCH($A14,Base!$A:$A,0)),IF(BO$1=INDEX('Valo FX'!$R:$R,MATCH($A14,'Valo FX'!$A:$A,0)),INDEX(Base!$V:$V,MATCH($A14,Base!$A:$A,0)),0)))</f>
        <v>6.850911</v>
      </c>
      <c r="BP14" s="21">
        <f>IF(BP$1&lt;INDEX('Valo FX'!$Q:$Q,MATCH($A14,'Valo FX'!$A:$A,0)),0,IF(BP$1&lt;INDEX('Valo FX'!$R:$R,MATCH($A14,'Valo FX'!$A:$A,0)),INDEX(Base!$U:$U,MATCH($A14,Base!$A:$A,0)),IF(BP$1=INDEX('Valo FX'!$R:$R,MATCH($A14,'Valo FX'!$A:$A,0)),INDEX(Base!$V:$V,MATCH($A14,Base!$A:$A,0)),0)))</f>
        <v>6.850911</v>
      </c>
      <c r="BQ14" s="21">
        <f>IF(BQ$1&lt;INDEX('Valo FX'!$Q:$Q,MATCH($A14,'Valo FX'!$A:$A,0)),0,IF(BQ$1&lt;INDEX('Valo FX'!$R:$R,MATCH($A14,'Valo FX'!$A:$A,0)),INDEX(Base!$U:$U,MATCH($A14,Base!$A:$A,0)),IF(BQ$1=INDEX('Valo FX'!$R:$R,MATCH($A14,'Valo FX'!$A:$A,0)),INDEX(Base!$V:$V,MATCH($A14,Base!$A:$A,0)),0)))</f>
        <v>6.850911</v>
      </c>
      <c r="BR14" s="21">
        <f>IF(BR$1&lt;INDEX('Valo FX'!$Q:$Q,MATCH($A14,'Valo FX'!$A:$A,0)),0,IF(BR$1&lt;INDEX('Valo FX'!$R:$R,MATCH($A14,'Valo FX'!$A:$A,0)),INDEX(Base!$U:$U,MATCH($A14,Base!$A:$A,0)),IF(BR$1=INDEX('Valo FX'!$R:$R,MATCH($A14,'Valo FX'!$A:$A,0)),INDEX(Base!$V:$V,MATCH($A14,Base!$A:$A,0)),0)))</f>
        <v>6.850911</v>
      </c>
      <c r="BS14" s="21">
        <f>IF(BS$1&lt;INDEX('Valo FX'!$Q:$Q,MATCH($A14,'Valo FX'!$A:$A,0)),0,IF(BS$1&lt;INDEX('Valo FX'!$R:$R,MATCH($A14,'Valo FX'!$A:$A,0)),INDEX(Base!$U:$U,MATCH($A14,Base!$A:$A,0)),IF(BS$1=INDEX('Valo FX'!$R:$R,MATCH($A14,'Valo FX'!$A:$A,0)),INDEX(Base!$V:$V,MATCH($A14,Base!$A:$A,0)),0)))</f>
        <v>6.850911</v>
      </c>
      <c r="BT14" s="21">
        <f>IF(BT$1&lt;INDEX('Valo FX'!$Q:$Q,MATCH($A14,'Valo FX'!$A:$A,0)),0,IF(BT$1&lt;INDEX('Valo FX'!$R:$R,MATCH($A14,'Valo FX'!$A:$A,0)),INDEX(Base!$U:$U,MATCH($A14,Base!$A:$A,0)),IF(BT$1=INDEX('Valo FX'!$R:$R,MATCH($A14,'Valo FX'!$A:$A,0)),INDEX(Base!$V:$V,MATCH($A14,Base!$A:$A,0)),0)))</f>
        <v>6.850911</v>
      </c>
      <c r="BU14" s="21">
        <f>IF(BU$1&lt;INDEX('Valo FX'!$Q:$Q,MATCH($A14,'Valo FX'!$A:$A,0)),0,IF(BU$1&lt;INDEX('Valo FX'!$R:$R,MATCH($A14,'Valo FX'!$A:$A,0)),INDEX(Base!$U:$U,MATCH($A14,Base!$A:$A,0)),IF(BU$1=INDEX('Valo FX'!$R:$R,MATCH($A14,'Valo FX'!$A:$A,0)),INDEX(Base!$V:$V,MATCH($A14,Base!$A:$A,0)),0)))</f>
        <v>6.850911</v>
      </c>
      <c r="BV14" s="21">
        <f>IF(BV$1&lt;INDEX('Valo FX'!$Q:$Q,MATCH($A14,'Valo FX'!$A:$A,0)),0,IF(BV$1&lt;INDEX('Valo FX'!$R:$R,MATCH($A14,'Valo FX'!$A:$A,0)),INDEX(Base!$U:$U,MATCH($A14,Base!$A:$A,0)),IF(BV$1=INDEX('Valo FX'!$R:$R,MATCH($A14,'Valo FX'!$A:$A,0)),INDEX(Base!$V:$V,MATCH($A14,Base!$A:$A,0)),0)))</f>
        <v>6.850911</v>
      </c>
      <c r="BW14" s="21">
        <f>IF(BW$1&lt;INDEX('Valo FX'!$Q:$Q,MATCH($A14,'Valo FX'!$A:$A,0)),0,IF(BW$1&lt;INDEX('Valo FX'!$R:$R,MATCH($A14,'Valo FX'!$A:$A,0)),INDEX(Base!$U:$U,MATCH($A14,Base!$A:$A,0)),IF(BW$1=INDEX('Valo FX'!$R:$R,MATCH($A14,'Valo FX'!$A:$A,0)),INDEX(Base!$V:$V,MATCH($A14,Base!$A:$A,0)),0)))</f>
        <v>6.850911</v>
      </c>
      <c r="BX14" s="21">
        <f>IF(BX$1&lt;INDEX('Valo FX'!$Q:$Q,MATCH($A14,'Valo FX'!$A:$A,0)),0,IF(BX$1&lt;INDEX('Valo FX'!$R:$R,MATCH($A14,'Valo FX'!$A:$A,0)),INDEX(Base!$U:$U,MATCH($A14,Base!$A:$A,0)),IF(BX$1=INDEX('Valo FX'!$R:$R,MATCH($A14,'Valo FX'!$A:$A,0)),INDEX(Base!$V:$V,MATCH($A14,Base!$A:$A,0)),0)))</f>
        <v>6.850911</v>
      </c>
      <c r="BY14" s="21">
        <f>IF(BY$1&lt;INDEX('Valo FX'!$Q:$Q,MATCH($A14,'Valo FX'!$A:$A,0)),0,IF(BY$1&lt;INDEX('Valo FX'!$R:$R,MATCH($A14,'Valo FX'!$A:$A,0)),INDEX(Base!$U:$U,MATCH($A14,Base!$A:$A,0)),IF(BY$1=INDEX('Valo FX'!$R:$R,MATCH($A14,'Valo FX'!$A:$A,0)),INDEX(Base!$V:$V,MATCH($A14,Base!$A:$A,0)),0)))</f>
        <v>6.850911</v>
      </c>
      <c r="BZ14" s="21">
        <f>IF(BZ$1&lt;INDEX('Valo FX'!$Q:$Q,MATCH($A14,'Valo FX'!$A:$A,0)),0,IF(BZ$1&lt;INDEX('Valo FX'!$R:$R,MATCH($A14,'Valo FX'!$A:$A,0)),INDEX(Base!$U:$U,MATCH($A14,Base!$A:$A,0)),IF(BZ$1=INDEX('Valo FX'!$R:$R,MATCH($A14,'Valo FX'!$A:$A,0)),INDEX(Base!$V:$V,MATCH($A14,Base!$A:$A,0)),0)))</f>
        <v>6.850911</v>
      </c>
      <c r="CA14" s="21">
        <f>IF(CA$1&lt;INDEX('Valo FX'!$Q:$Q,MATCH($A14,'Valo FX'!$A:$A,0)),0,IF(CA$1&lt;INDEX('Valo FX'!$R:$R,MATCH($A14,'Valo FX'!$A:$A,0)),INDEX(Base!$U:$U,MATCH($A14,Base!$A:$A,0)),IF(CA$1=INDEX('Valo FX'!$R:$R,MATCH($A14,'Valo FX'!$A:$A,0)),INDEX(Base!$V:$V,MATCH($A14,Base!$A:$A,0)),0)))</f>
        <v>6.850911</v>
      </c>
      <c r="CB14" s="21">
        <f>IF(CB$1&lt;INDEX('Valo FX'!$Q:$Q,MATCH($A14,'Valo FX'!$A:$A,0)),0,IF(CB$1&lt;INDEX('Valo FX'!$R:$R,MATCH($A14,'Valo FX'!$A:$A,0)),INDEX(Base!$U:$U,MATCH($A14,Base!$A:$A,0)),IF(CB$1=INDEX('Valo FX'!$R:$R,MATCH($A14,'Valo FX'!$A:$A,0)),INDEX(Base!$V:$V,MATCH($A14,Base!$A:$A,0)),0)))</f>
        <v>6.850911</v>
      </c>
      <c r="CC14" s="21">
        <f>IF(CC$1&lt;INDEX('Valo FX'!$Q:$Q,MATCH($A14,'Valo FX'!$A:$A,0)),0,IF(CC$1&lt;INDEX('Valo FX'!$R:$R,MATCH($A14,'Valo FX'!$A:$A,0)),INDEX(Base!$U:$U,MATCH($A14,Base!$A:$A,0)),IF(CC$1=INDEX('Valo FX'!$R:$R,MATCH($A14,'Valo FX'!$A:$A,0)),INDEX(Base!$V:$V,MATCH($A14,Base!$A:$A,0)),0)))</f>
        <v>6.850911</v>
      </c>
      <c r="CD14" s="21">
        <f>IF(CD$1&lt;INDEX('Valo FX'!$Q:$Q,MATCH($A14,'Valo FX'!$A:$A,0)),0,IF(CD$1&lt;INDEX('Valo FX'!$R:$R,MATCH($A14,'Valo FX'!$A:$A,0)),INDEX(Base!$U:$U,MATCH($A14,Base!$A:$A,0)),IF(CD$1=INDEX('Valo FX'!$R:$R,MATCH($A14,'Valo FX'!$A:$A,0)),INDEX(Base!$V:$V,MATCH($A14,Base!$A:$A,0)),0)))</f>
        <v>6.850911</v>
      </c>
      <c r="CE14" s="21">
        <f>IF(CE$1&lt;INDEX('Valo FX'!$Q:$Q,MATCH($A14,'Valo FX'!$A:$A,0)),0,IF(CE$1&lt;INDEX('Valo FX'!$R:$R,MATCH($A14,'Valo FX'!$A:$A,0)),INDEX(Base!$U:$U,MATCH($A14,Base!$A:$A,0)),IF(CE$1=INDEX('Valo FX'!$R:$R,MATCH($A14,'Valo FX'!$A:$A,0)),INDEX(Base!$V:$V,MATCH($A14,Base!$A:$A,0)),0)))</f>
        <v>6.850911</v>
      </c>
      <c r="CF14" s="21">
        <f>IF(CF$1&lt;INDEX('Valo FX'!$Q:$Q,MATCH($A14,'Valo FX'!$A:$A,0)),0,IF(CF$1&lt;INDEX('Valo FX'!$R:$R,MATCH($A14,'Valo FX'!$A:$A,0)),INDEX(Base!$U:$U,MATCH($A14,Base!$A:$A,0)),IF(CF$1=INDEX('Valo FX'!$R:$R,MATCH($A14,'Valo FX'!$A:$A,0)),INDEX(Base!$V:$V,MATCH($A14,Base!$A:$A,0)),0)))</f>
        <v>6.850911</v>
      </c>
      <c r="CG14" s="21">
        <f>IF(CG$1&lt;INDEX('Valo FX'!$Q:$Q,MATCH($A14,'Valo FX'!$A:$A,0)),0,IF(CG$1&lt;INDEX('Valo FX'!$R:$R,MATCH($A14,'Valo FX'!$A:$A,0)),INDEX(Base!$U:$U,MATCH($A14,Base!$A:$A,0)),IF(CG$1=INDEX('Valo FX'!$R:$R,MATCH($A14,'Valo FX'!$A:$A,0)),INDEX(Base!$V:$V,MATCH($A14,Base!$A:$A,0)),0)))</f>
        <v>6.850911</v>
      </c>
      <c r="CH14" s="21">
        <f>IF(CH$1&lt;INDEX('Valo FX'!$Q:$Q,MATCH($A14,'Valo FX'!$A:$A,0)),0,IF(CH$1&lt;INDEX('Valo FX'!$R:$R,MATCH($A14,'Valo FX'!$A:$A,0)),INDEX(Base!$U:$U,MATCH($A14,Base!$A:$A,0)),IF(CH$1=INDEX('Valo FX'!$R:$R,MATCH($A14,'Valo FX'!$A:$A,0)),INDEX(Base!$V:$V,MATCH($A14,Base!$A:$A,0)),0)))</f>
        <v>6.850911</v>
      </c>
      <c r="CI14" s="21">
        <f>IF(CI$1&lt;INDEX('Valo FX'!$Q:$Q,MATCH($A14,'Valo FX'!$A:$A,0)),0,IF(CI$1&lt;INDEX('Valo FX'!$R:$R,MATCH($A14,'Valo FX'!$A:$A,0)),INDEX(Base!$U:$U,MATCH($A14,Base!$A:$A,0)),IF(CI$1=INDEX('Valo FX'!$R:$R,MATCH($A14,'Valo FX'!$A:$A,0)),INDEX(Base!$V:$V,MATCH($A14,Base!$A:$A,0)),0)))</f>
        <v>6.850911</v>
      </c>
      <c r="CJ14" s="21">
        <f>IF(CJ$1&lt;INDEX('Valo FX'!$Q:$Q,MATCH($A14,'Valo FX'!$A:$A,0)),0,IF(CJ$1&lt;INDEX('Valo FX'!$R:$R,MATCH($A14,'Valo FX'!$A:$A,0)),INDEX(Base!$U:$U,MATCH($A14,Base!$A:$A,0)),IF(CJ$1=INDEX('Valo FX'!$R:$R,MATCH($A14,'Valo FX'!$A:$A,0)),INDEX(Base!$V:$V,MATCH($A14,Base!$A:$A,0)),0)))</f>
        <v>6.850911</v>
      </c>
      <c r="CK14" s="21">
        <f>IF(CK$1&lt;INDEX('Valo FX'!$Q:$Q,MATCH($A14,'Valo FX'!$A:$A,0)),0,IF(CK$1&lt;INDEX('Valo FX'!$R:$R,MATCH($A14,'Valo FX'!$A:$A,0)),INDEX(Base!$U:$U,MATCH($A14,Base!$A:$A,0)),IF(CK$1=INDEX('Valo FX'!$R:$R,MATCH($A14,'Valo FX'!$A:$A,0)),INDEX(Base!$V:$V,MATCH($A14,Base!$A:$A,0)),0)))</f>
        <v>6.850911</v>
      </c>
      <c r="CL14" s="21">
        <f>IF(CL$1&lt;INDEX('Valo FX'!$Q:$Q,MATCH($A14,'Valo FX'!$A:$A,0)),0,IF(CL$1&lt;INDEX('Valo FX'!$R:$R,MATCH($A14,'Valo FX'!$A:$A,0)),INDEX(Base!$U:$U,MATCH($A14,Base!$A:$A,0)),IF(CL$1=INDEX('Valo FX'!$R:$R,MATCH($A14,'Valo FX'!$A:$A,0)),INDEX(Base!$V:$V,MATCH($A14,Base!$A:$A,0)),0)))</f>
        <v>6.850911</v>
      </c>
      <c r="CM14" s="21">
        <f>IF(CM$1&lt;INDEX('Valo FX'!$Q:$Q,MATCH($A14,'Valo FX'!$A:$A,0)),0,IF(CM$1&lt;INDEX('Valo FX'!$R:$R,MATCH($A14,'Valo FX'!$A:$A,0)),INDEX(Base!$U:$U,MATCH($A14,Base!$A:$A,0)),IF(CM$1=INDEX('Valo FX'!$R:$R,MATCH($A14,'Valo FX'!$A:$A,0)),INDEX(Base!$V:$V,MATCH($A14,Base!$A:$A,0)),0)))</f>
        <v>6.850911</v>
      </c>
      <c r="CN14" s="21">
        <f>IF(CN$1&lt;INDEX('Valo FX'!$Q:$Q,MATCH($A14,'Valo FX'!$A:$A,0)),0,IF(CN$1&lt;INDEX('Valo FX'!$R:$R,MATCH($A14,'Valo FX'!$A:$A,0)),INDEX(Base!$U:$U,MATCH($A14,Base!$A:$A,0)),IF(CN$1=INDEX('Valo FX'!$R:$R,MATCH($A14,'Valo FX'!$A:$A,0)),INDEX(Base!$V:$V,MATCH($A14,Base!$A:$A,0)),0)))</f>
        <v>6.850911</v>
      </c>
      <c r="CO14" s="21">
        <f>IF(CO$1&lt;INDEX('Valo FX'!$Q:$Q,MATCH($A14,'Valo FX'!$A:$A,0)),0,IF(CO$1&lt;INDEX('Valo FX'!$R:$R,MATCH($A14,'Valo FX'!$A:$A,0)),INDEX(Base!$U:$U,MATCH($A14,Base!$A:$A,0)),IF(CO$1=INDEX('Valo FX'!$R:$R,MATCH($A14,'Valo FX'!$A:$A,0)),INDEX(Base!$V:$V,MATCH($A14,Base!$A:$A,0)),0)))</f>
        <v>6.850911</v>
      </c>
      <c r="CP14" s="21">
        <f>IF(CP$1&lt;INDEX('Valo FX'!$Q:$Q,MATCH($A14,'Valo FX'!$A:$A,0)),0,IF(CP$1&lt;INDEX('Valo FX'!$R:$R,MATCH($A14,'Valo FX'!$A:$A,0)),INDEX(Base!$U:$U,MATCH($A14,Base!$A:$A,0)),IF(CP$1=INDEX('Valo FX'!$R:$R,MATCH($A14,'Valo FX'!$A:$A,0)),INDEX(Base!$V:$V,MATCH($A14,Base!$A:$A,0)),0)))</f>
        <v>6.850911</v>
      </c>
      <c r="CQ14" s="21">
        <f>IF(CQ$1&lt;INDEX('Valo FX'!$Q:$Q,MATCH($A14,'Valo FX'!$A:$A,0)),0,IF(CQ$1&lt;INDEX('Valo FX'!$R:$R,MATCH($A14,'Valo FX'!$A:$A,0)),INDEX(Base!$U:$U,MATCH($A14,Base!$A:$A,0)),IF(CQ$1=INDEX('Valo FX'!$R:$R,MATCH($A14,'Valo FX'!$A:$A,0)),INDEX(Base!$V:$V,MATCH($A14,Base!$A:$A,0)),0)))</f>
        <v>6.850911</v>
      </c>
      <c r="CR14" s="21">
        <f>IF(CR$1&lt;INDEX('Valo FX'!$Q:$Q,MATCH($A14,'Valo FX'!$A:$A,0)),0,IF(CR$1&lt;INDEX('Valo FX'!$R:$R,MATCH($A14,'Valo FX'!$A:$A,0)),INDEX(Base!$U:$U,MATCH($A14,Base!$A:$A,0)),IF(CR$1=INDEX('Valo FX'!$R:$R,MATCH($A14,'Valo FX'!$A:$A,0)),INDEX(Base!$V:$V,MATCH($A14,Base!$A:$A,0)),0)))</f>
        <v>6.850911</v>
      </c>
      <c r="CS14" s="21">
        <f>IF(CS$1&lt;INDEX('Valo FX'!$Q:$Q,MATCH($A14,'Valo FX'!$A:$A,0)),0,IF(CS$1&lt;INDEX('Valo FX'!$R:$R,MATCH($A14,'Valo FX'!$A:$A,0)),INDEX(Base!$U:$U,MATCH($A14,Base!$A:$A,0)),IF(CS$1=INDEX('Valo FX'!$R:$R,MATCH($A14,'Valo FX'!$A:$A,0)),INDEX(Base!$V:$V,MATCH($A14,Base!$A:$A,0)),0)))</f>
        <v>6.850911</v>
      </c>
      <c r="CT14" s="21">
        <f>IF(CT$1&lt;INDEX('Valo FX'!$Q:$Q,MATCH($A14,'Valo FX'!$A:$A,0)),0,IF(CT$1&lt;INDEX('Valo FX'!$R:$R,MATCH($A14,'Valo FX'!$A:$A,0)),INDEX(Base!$U:$U,MATCH($A14,Base!$A:$A,0)),IF(CT$1=INDEX('Valo FX'!$R:$R,MATCH($A14,'Valo FX'!$A:$A,0)),INDEX(Base!$V:$V,MATCH($A14,Base!$A:$A,0)),0)))</f>
        <v>6.850911</v>
      </c>
      <c r="CU14" s="21">
        <f>IF(CU$1&lt;INDEX('Valo FX'!$Q:$Q,MATCH($A14,'Valo FX'!$A:$A,0)),0,IF(CU$1&lt;INDEX('Valo FX'!$R:$R,MATCH($A14,'Valo FX'!$A:$A,0)),INDEX(Base!$U:$U,MATCH($A14,Base!$A:$A,0)),IF(CU$1=INDEX('Valo FX'!$R:$R,MATCH($A14,'Valo FX'!$A:$A,0)),INDEX(Base!$V:$V,MATCH($A14,Base!$A:$A,0)),0)))</f>
        <v>6.850911</v>
      </c>
      <c r="CV14" s="21">
        <f>IF(CV$1&lt;INDEX('Valo FX'!$Q:$Q,MATCH($A14,'Valo FX'!$A:$A,0)),0,IF(CV$1&lt;INDEX('Valo FX'!$R:$R,MATCH($A14,'Valo FX'!$A:$A,0)),INDEX(Base!$U:$U,MATCH($A14,Base!$A:$A,0)),IF(CV$1=INDEX('Valo FX'!$R:$R,MATCH($A14,'Valo FX'!$A:$A,0)),INDEX(Base!$V:$V,MATCH($A14,Base!$A:$A,0)),0)))</f>
        <v>6.850911</v>
      </c>
      <c r="CW14" s="21">
        <f>IF(CW$1&lt;INDEX('Valo FX'!$Q:$Q,MATCH($A14,'Valo FX'!$A:$A,0)),0,IF(CW$1&lt;INDEX('Valo FX'!$R:$R,MATCH($A14,'Valo FX'!$A:$A,0)),INDEX(Base!$U:$U,MATCH($A14,Base!$A:$A,0)),IF(CW$1=INDEX('Valo FX'!$R:$R,MATCH($A14,'Valo FX'!$A:$A,0)),INDEX(Base!$V:$V,MATCH($A14,Base!$A:$A,0)),0)))</f>
        <v>6.850911</v>
      </c>
      <c r="CX14" s="21">
        <f>IF(CX$1&lt;INDEX('Valo FX'!$Q:$Q,MATCH($A14,'Valo FX'!$A:$A,0)),0,IF(CX$1&lt;INDEX('Valo FX'!$R:$R,MATCH($A14,'Valo FX'!$A:$A,0)),INDEX(Base!$U:$U,MATCH($A14,Base!$A:$A,0)),IF(CX$1=INDEX('Valo FX'!$R:$R,MATCH($A14,'Valo FX'!$A:$A,0)),INDEX(Base!$V:$V,MATCH($A14,Base!$A:$A,0)),0)))</f>
        <v>6.850911</v>
      </c>
      <c r="CY14" s="21">
        <f>IF(CY$1&lt;INDEX('Valo FX'!$Q:$Q,MATCH($A14,'Valo FX'!$A:$A,0)),0,IF(CY$1&lt;INDEX('Valo FX'!$R:$R,MATCH($A14,'Valo FX'!$A:$A,0)),INDEX(Base!$U:$U,MATCH($A14,Base!$A:$A,0)),IF(CY$1=INDEX('Valo FX'!$R:$R,MATCH($A14,'Valo FX'!$A:$A,0)),INDEX(Base!$V:$V,MATCH($A14,Base!$A:$A,0)),0)))</f>
        <v>6.850911</v>
      </c>
      <c r="CZ14" s="21">
        <f>IF(CZ$1&lt;INDEX('Valo FX'!$Q:$Q,MATCH($A14,'Valo FX'!$A:$A,0)),0,IF(CZ$1&lt;INDEX('Valo FX'!$R:$R,MATCH($A14,'Valo FX'!$A:$A,0)),INDEX(Base!$U:$U,MATCH($A14,Base!$A:$A,0)),IF(CZ$1=INDEX('Valo FX'!$R:$R,MATCH($A14,'Valo FX'!$A:$A,0)),INDEX(Base!$V:$V,MATCH($A14,Base!$A:$A,0)),0)))</f>
        <v>6.850911</v>
      </c>
      <c r="DA14" s="21">
        <f>IF(DA$1&lt;INDEX('Valo FX'!$Q:$Q,MATCH($A14,'Valo FX'!$A:$A,0)),0,IF(DA$1&lt;INDEX('Valo FX'!$R:$R,MATCH($A14,'Valo FX'!$A:$A,0)),INDEX(Base!$U:$U,MATCH($A14,Base!$A:$A,0)),IF(DA$1=INDEX('Valo FX'!$R:$R,MATCH($A14,'Valo FX'!$A:$A,0)),INDEX(Base!$V:$V,MATCH($A14,Base!$A:$A,0)),0)))</f>
        <v>6.850911</v>
      </c>
      <c r="DB14" s="21">
        <f>IF(DB$1&lt;INDEX('Valo FX'!$Q:$Q,MATCH($A14,'Valo FX'!$A:$A,0)),0,IF(DB$1&lt;INDEX('Valo FX'!$R:$R,MATCH($A14,'Valo FX'!$A:$A,0)),INDEX(Base!$U:$U,MATCH($A14,Base!$A:$A,0)),IF(DB$1=INDEX('Valo FX'!$R:$R,MATCH($A14,'Valo FX'!$A:$A,0)),INDEX(Base!$V:$V,MATCH($A14,Base!$A:$A,0)),0)))</f>
        <v>6.850911</v>
      </c>
      <c r="DC14" s="21">
        <f>IF(DC$1&lt;INDEX('Valo FX'!$Q:$Q,MATCH($A14,'Valo FX'!$A:$A,0)),0,IF(DC$1&lt;INDEX('Valo FX'!$R:$R,MATCH($A14,'Valo FX'!$A:$A,0)),INDEX(Base!$U:$U,MATCH($A14,Base!$A:$A,0)),IF(DC$1=INDEX('Valo FX'!$R:$R,MATCH($A14,'Valo FX'!$A:$A,0)),INDEX(Base!$V:$V,MATCH($A14,Base!$A:$A,0)),0)))</f>
        <v>6.850911</v>
      </c>
      <c r="DD14" s="21">
        <f>IF(DD$1&lt;INDEX('Valo FX'!$Q:$Q,MATCH($A14,'Valo FX'!$A:$A,0)),0,IF(DD$1&lt;INDEX('Valo FX'!$R:$R,MATCH($A14,'Valo FX'!$A:$A,0)),INDEX(Base!$U:$U,MATCH($A14,Base!$A:$A,0)),IF(DD$1=INDEX('Valo FX'!$R:$R,MATCH($A14,'Valo FX'!$A:$A,0)),INDEX(Base!$V:$V,MATCH($A14,Base!$A:$A,0)),0)))</f>
        <v>6.850911</v>
      </c>
      <c r="DE14" s="21">
        <f>IF(DE$1&lt;INDEX('Valo FX'!$Q:$Q,MATCH($A14,'Valo FX'!$A:$A,0)),0,IF(DE$1&lt;INDEX('Valo FX'!$R:$R,MATCH($A14,'Valo FX'!$A:$A,0)),INDEX(Base!$U:$U,MATCH($A14,Base!$A:$A,0)),IF(DE$1=INDEX('Valo FX'!$R:$R,MATCH($A14,'Valo FX'!$A:$A,0)),INDEX(Base!$V:$V,MATCH($A14,Base!$A:$A,0)),0)))</f>
        <v>6.850911</v>
      </c>
      <c r="DF14" s="21">
        <f>IF(DF$1&lt;INDEX('Valo FX'!$Q:$Q,MATCH($A14,'Valo FX'!$A:$A,0)),0,IF(DF$1&lt;INDEX('Valo FX'!$R:$R,MATCH($A14,'Valo FX'!$A:$A,0)),INDEX(Base!$U:$U,MATCH($A14,Base!$A:$A,0)),IF(DF$1=INDEX('Valo FX'!$R:$R,MATCH($A14,'Valo FX'!$A:$A,0)),INDEX(Base!$V:$V,MATCH($A14,Base!$A:$A,0)),0)))</f>
        <v>6.850911</v>
      </c>
      <c r="DG14" s="21">
        <f>IF(DG$1&lt;INDEX('Valo FX'!$Q:$Q,MATCH($A14,'Valo FX'!$A:$A,0)),0,IF(DG$1&lt;INDEX('Valo FX'!$R:$R,MATCH($A14,'Valo FX'!$A:$A,0)),INDEX(Base!$U:$U,MATCH($A14,Base!$A:$A,0)),IF(DG$1=INDEX('Valo FX'!$R:$R,MATCH($A14,'Valo FX'!$A:$A,0)),INDEX(Base!$V:$V,MATCH($A14,Base!$A:$A,0)),0)))</f>
        <v>6.850911</v>
      </c>
      <c r="DH14" s="21">
        <f>IF(DH$1&lt;INDEX('Valo FX'!$Q:$Q,MATCH($A14,'Valo FX'!$A:$A,0)),0,IF(DH$1&lt;INDEX('Valo FX'!$R:$R,MATCH($A14,'Valo FX'!$A:$A,0)),INDEX(Base!$U:$U,MATCH($A14,Base!$A:$A,0)),IF(DH$1=INDEX('Valo FX'!$R:$R,MATCH($A14,'Valo FX'!$A:$A,0)),INDEX(Base!$V:$V,MATCH($A14,Base!$A:$A,0)),0)))</f>
        <v>6.850911</v>
      </c>
      <c r="DI14" s="21">
        <f>IF(DI$1&lt;INDEX('Valo FX'!$Q:$Q,MATCH($A14,'Valo FX'!$A:$A,0)),0,IF(DI$1&lt;INDEX('Valo FX'!$R:$R,MATCH($A14,'Valo FX'!$A:$A,0)),INDEX(Base!$U:$U,MATCH($A14,Base!$A:$A,0)),IF(DI$1=INDEX('Valo FX'!$R:$R,MATCH($A14,'Valo FX'!$A:$A,0)),INDEX(Base!$V:$V,MATCH($A14,Base!$A:$A,0)),0)))</f>
        <v>6.850911</v>
      </c>
      <c r="DJ14" s="21">
        <f>IF(DJ$1&lt;INDEX('Valo FX'!$Q:$Q,MATCH($A14,'Valo FX'!$A:$A,0)),0,IF(DJ$1&lt;INDEX('Valo FX'!$R:$R,MATCH($A14,'Valo FX'!$A:$A,0)),INDEX(Base!$U:$U,MATCH($A14,Base!$A:$A,0)),IF(DJ$1=INDEX('Valo FX'!$R:$R,MATCH($A14,'Valo FX'!$A:$A,0)),INDEX(Base!$V:$V,MATCH($A14,Base!$A:$A,0)),0)))</f>
        <v>6.850911</v>
      </c>
      <c r="DK14" s="21">
        <f>IF(DK$1&lt;INDEX('Valo FX'!$Q:$Q,MATCH($A14,'Valo FX'!$A:$A,0)),0,IF(DK$1&lt;INDEX('Valo FX'!$R:$R,MATCH($A14,'Valo FX'!$A:$A,0)),INDEX(Base!$U:$U,MATCH($A14,Base!$A:$A,0)),IF(DK$1=INDEX('Valo FX'!$R:$R,MATCH($A14,'Valo FX'!$A:$A,0)),INDEX(Base!$V:$V,MATCH($A14,Base!$A:$A,0)),0)))</f>
        <v>6.850911</v>
      </c>
      <c r="DL14" s="21">
        <f>IF(DL$1&lt;INDEX('Valo FX'!$Q:$Q,MATCH($A14,'Valo FX'!$A:$A,0)),0,IF(DL$1&lt;INDEX('Valo FX'!$R:$R,MATCH($A14,'Valo FX'!$A:$A,0)),INDEX(Base!$U:$U,MATCH($A14,Base!$A:$A,0)),IF(DL$1=INDEX('Valo FX'!$R:$R,MATCH($A14,'Valo FX'!$A:$A,0)),INDEX(Base!$V:$V,MATCH($A14,Base!$A:$A,0)),0)))</f>
        <v>6.850911</v>
      </c>
      <c r="DM14" s="21">
        <f>IF(DM$1&lt;INDEX('Valo FX'!$Q:$Q,MATCH($A14,'Valo FX'!$A:$A,0)),0,IF(DM$1&lt;INDEX('Valo FX'!$R:$R,MATCH($A14,'Valo FX'!$A:$A,0)),INDEX(Base!$U:$U,MATCH($A14,Base!$A:$A,0)),IF(DM$1=INDEX('Valo FX'!$R:$R,MATCH($A14,'Valo FX'!$A:$A,0)),INDEX(Base!$V:$V,MATCH($A14,Base!$A:$A,0)),0)))</f>
        <v>6.850911</v>
      </c>
      <c r="DN14" s="21">
        <f>IF(DN$1&lt;INDEX('Valo FX'!$Q:$Q,MATCH($A14,'Valo FX'!$A:$A,0)),0,IF(DN$1&lt;INDEX('Valo FX'!$R:$R,MATCH($A14,'Valo FX'!$A:$A,0)),INDEX(Base!$U:$U,MATCH($A14,Base!$A:$A,0)),IF(DN$1=INDEX('Valo FX'!$R:$R,MATCH($A14,'Valo FX'!$A:$A,0)),INDEX(Base!$V:$V,MATCH($A14,Base!$A:$A,0)),0)))</f>
        <v>6.850911</v>
      </c>
      <c r="DO14" s="21">
        <f>IF(DO$1&lt;INDEX('Valo FX'!$Q:$Q,MATCH($A14,'Valo FX'!$A:$A,0)),0,IF(DO$1&lt;INDEX('Valo FX'!$R:$R,MATCH($A14,'Valo FX'!$A:$A,0)),INDEX(Base!$U:$U,MATCH($A14,Base!$A:$A,0)),IF(DO$1=INDEX('Valo FX'!$R:$R,MATCH($A14,'Valo FX'!$A:$A,0)),INDEX(Base!$V:$V,MATCH($A14,Base!$A:$A,0)),0)))</f>
        <v>6.850911</v>
      </c>
      <c r="DP14" s="21">
        <f>IF(DP$1&lt;INDEX('Valo FX'!$Q:$Q,MATCH($A14,'Valo FX'!$A:$A,0)),0,IF(DP$1&lt;INDEX('Valo FX'!$R:$R,MATCH($A14,'Valo FX'!$A:$A,0)),INDEX(Base!$U:$U,MATCH($A14,Base!$A:$A,0)),IF(DP$1=INDEX('Valo FX'!$R:$R,MATCH($A14,'Valo FX'!$A:$A,0)),INDEX(Base!$V:$V,MATCH($A14,Base!$A:$A,0)),0)))</f>
        <v>6.850911</v>
      </c>
      <c r="DQ14" s="21">
        <f>IF(DQ$1&lt;INDEX('Valo FX'!$Q:$Q,MATCH($A14,'Valo FX'!$A:$A,0)),0,IF(DQ$1&lt;INDEX('Valo FX'!$R:$R,MATCH($A14,'Valo FX'!$A:$A,0)),INDEX(Base!$U:$U,MATCH($A14,Base!$A:$A,0)),IF(DQ$1=INDEX('Valo FX'!$R:$R,MATCH($A14,'Valo FX'!$A:$A,0)),INDEX(Base!$V:$V,MATCH($A14,Base!$A:$A,0)),0)))</f>
        <v>6.850911</v>
      </c>
      <c r="DR14" s="21">
        <f>IF(DR$1&lt;INDEX('Valo FX'!$Q:$Q,MATCH($A14,'Valo FX'!$A:$A,0)),0,IF(DR$1&lt;INDEX('Valo FX'!$R:$R,MATCH($A14,'Valo FX'!$A:$A,0)),INDEX(Base!$U:$U,MATCH($A14,Base!$A:$A,0)),IF(DR$1=INDEX('Valo FX'!$R:$R,MATCH($A14,'Valo FX'!$A:$A,0)),INDEX(Base!$V:$V,MATCH($A14,Base!$A:$A,0)),0)))</f>
        <v>6.850911</v>
      </c>
      <c r="DS14" s="21">
        <f>IF(DS$1&lt;INDEX('Valo FX'!$Q:$Q,MATCH($A14,'Valo FX'!$A:$A,0)),0,IF(DS$1&lt;INDEX('Valo FX'!$R:$R,MATCH($A14,'Valo FX'!$A:$A,0)),INDEX(Base!$U:$U,MATCH($A14,Base!$A:$A,0)),IF(DS$1=INDEX('Valo FX'!$R:$R,MATCH($A14,'Valo FX'!$A:$A,0)),INDEX(Base!$V:$V,MATCH($A14,Base!$A:$A,0)),0)))</f>
        <v>6.850911</v>
      </c>
      <c r="DT14" s="21">
        <f>IF(DT$1&lt;INDEX('Valo FX'!$Q:$Q,MATCH($A14,'Valo FX'!$A:$A,0)),0,IF(DT$1&lt;INDEX('Valo FX'!$R:$R,MATCH($A14,'Valo FX'!$A:$A,0)),INDEX(Base!$U:$U,MATCH($A14,Base!$A:$A,0)),IF(DT$1=INDEX('Valo FX'!$R:$R,MATCH($A14,'Valo FX'!$A:$A,0)),INDEX(Base!$V:$V,MATCH($A14,Base!$A:$A,0)),0)))</f>
        <v>6.850911</v>
      </c>
      <c r="DU14" s="21">
        <f>IF(DU$1&lt;INDEX('Valo FX'!$Q:$Q,MATCH($A14,'Valo FX'!$A:$A,0)),0,IF(DU$1&lt;INDEX('Valo FX'!$R:$R,MATCH($A14,'Valo FX'!$A:$A,0)),INDEX(Base!$U:$U,MATCH($A14,Base!$A:$A,0)),IF(DU$1=INDEX('Valo FX'!$R:$R,MATCH($A14,'Valo FX'!$A:$A,0)),INDEX(Base!$V:$V,MATCH($A14,Base!$A:$A,0)),0)))</f>
        <v>6.850911</v>
      </c>
      <c r="DV14" s="21">
        <f>IF(DV$1&lt;INDEX('Valo FX'!$Q:$Q,MATCH($A14,'Valo FX'!$A:$A,0)),0,IF(DV$1&lt;INDEX('Valo FX'!$R:$R,MATCH($A14,'Valo FX'!$A:$A,0)),INDEX(Base!$U:$U,MATCH($A14,Base!$A:$A,0)),IF(DV$1=INDEX('Valo FX'!$R:$R,MATCH($A14,'Valo FX'!$A:$A,0)),INDEX(Base!$V:$V,MATCH($A14,Base!$A:$A,0)),0)))</f>
        <v>6.850911</v>
      </c>
      <c r="DW14" s="21">
        <f>IF(DW$1&lt;INDEX('Valo FX'!$Q:$Q,MATCH($A14,'Valo FX'!$A:$A,0)),0,IF(DW$1&lt;INDEX('Valo FX'!$R:$R,MATCH($A14,'Valo FX'!$A:$A,0)),INDEX(Base!$U:$U,MATCH($A14,Base!$A:$A,0)),IF(DW$1=INDEX('Valo FX'!$R:$R,MATCH($A14,'Valo FX'!$A:$A,0)),INDEX(Base!$V:$V,MATCH($A14,Base!$A:$A,0)),0)))</f>
        <v>6.850911</v>
      </c>
      <c r="DX14" s="21">
        <f>IF(DX$1&lt;INDEX('Valo FX'!$Q:$Q,MATCH($A14,'Valo FX'!$A:$A,0)),0,IF(DX$1&lt;INDEX('Valo FX'!$R:$R,MATCH($A14,'Valo FX'!$A:$A,0)),INDEX(Base!$U:$U,MATCH($A14,Base!$A:$A,0)),IF(DX$1=INDEX('Valo FX'!$R:$R,MATCH($A14,'Valo FX'!$A:$A,0)),INDEX(Base!$V:$V,MATCH($A14,Base!$A:$A,0)),0)))</f>
        <v>6.850911</v>
      </c>
      <c r="DY14" s="21">
        <f>IF(DY$1&lt;INDEX('Valo FX'!$Q:$Q,MATCH($A14,'Valo FX'!$A:$A,0)),0,IF(DY$1&lt;INDEX('Valo FX'!$R:$R,MATCH($A14,'Valo FX'!$A:$A,0)),INDEX(Base!$U:$U,MATCH($A14,Base!$A:$A,0)),IF(DY$1=INDEX('Valo FX'!$R:$R,MATCH($A14,'Valo FX'!$A:$A,0)),INDEX(Base!$V:$V,MATCH($A14,Base!$A:$A,0)),0)))</f>
        <v>6.850911</v>
      </c>
      <c r="DZ14" s="21">
        <f>IF(DZ$1&lt;INDEX('Valo FX'!$Q:$Q,MATCH($A14,'Valo FX'!$A:$A,0)),0,IF(DZ$1&lt;INDEX('Valo FX'!$R:$R,MATCH($A14,'Valo FX'!$A:$A,0)),INDEX(Base!$U:$U,MATCH($A14,Base!$A:$A,0)),IF(DZ$1=INDEX('Valo FX'!$R:$R,MATCH($A14,'Valo FX'!$A:$A,0)),INDEX(Base!$V:$V,MATCH($A14,Base!$A:$A,0)),0)))</f>
        <v>6.850911</v>
      </c>
      <c r="EA14" s="21">
        <f>IF(EA$1&lt;INDEX('Valo FX'!$Q:$Q,MATCH($A14,'Valo FX'!$A:$A,0)),0,IF(EA$1&lt;INDEX('Valo FX'!$R:$R,MATCH($A14,'Valo FX'!$A:$A,0)),INDEX(Base!$U:$U,MATCH($A14,Base!$A:$A,0)),IF(EA$1=INDEX('Valo FX'!$R:$R,MATCH($A14,'Valo FX'!$A:$A,0)),INDEX(Base!$V:$V,MATCH($A14,Base!$A:$A,0)),0)))</f>
        <v>6.850911</v>
      </c>
      <c r="EB14" s="21">
        <f>IF(EB$1&lt;INDEX('Valo FX'!$Q:$Q,MATCH($A14,'Valo FX'!$A:$A,0)),0,IF(EB$1&lt;INDEX('Valo FX'!$R:$R,MATCH($A14,'Valo FX'!$A:$A,0)),INDEX(Base!$U:$U,MATCH($A14,Base!$A:$A,0)),IF(EB$1=INDEX('Valo FX'!$R:$R,MATCH($A14,'Valo FX'!$A:$A,0)),INDEX(Base!$V:$V,MATCH($A14,Base!$A:$A,0)),0)))</f>
        <v>6.850911</v>
      </c>
      <c r="EC14" s="21">
        <f>IF(EC$1&lt;INDEX('Valo FX'!$Q:$Q,MATCH($A14,'Valo FX'!$A:$A,0)),0,IF(EC$1&lt;INDEX('Valo FX'!$R:$R,MATCH($A14,'Valo FX'!$A:$A,0)),INDEX(Base!$U:$U,MATCH($A14,Base!$A:$A,0)),IF(EC$1=INDEX('Valo FX'!$R:$R,MATCH($A14,'Valo FX'!$A:$A,0)),INDEX(Base!$V:$V,MATCH($A14,Base!$A:$A,0)),0)))</f>
        <v>6.850911</v>
      </c>
      <c r="ED14" s="21">
        <f>IF(ED$1&lt;INDEX('Valo FX'!$Q:$Q,MATCH($A14,'Valo FX'!$A:$A,0)),0,IF(ED$1&lt;INDEX('Valo FX'!$R:$R,MATCH($A14,'Valo FX'!$A:$A,0)),INDEX(Base!$U:$U,MATCH($A14,Base!$A:$A,0)),IF(ED$1=INDEX('Valo FX'!$R:$R,MATCH($A14,'Valo FX'!$A:$A,0)),INDEX(Base!$V:$V,MATCH($A14,Base!$A:$A,0)),0)))</f>
        <v>6.850911</v>
      </c>
      <c r="EE14" s="21">
        <f>IF(EE$1&lt;INDEX('Valo FX'!$Q:$Q,MATCH($A14,'Valo FX'!$A:$A,0)),0,IF(EE$1&lt;INDEX('Valo FX'!$R:$R,MATCH($A14,'Valo FX'!$A:$A,0)),INDEX(Base!$U:$U,MATCH($A14,Base!$A:$A,0)),IF(EE$1=INDEX('Valo FX'!$R:$R,MATCH($A14,'Valo FX'!$A:$A,0)),INDEX(Base!$V:$V,MATCH($A14,Base!$A:$A,0)),0)))</f>
        <v>6.850911</v>
      </c>
      <c r="EF14" s="21">
        <f>IF(EF$1&lt;INDEX('Valo FX'!$Q:$Q,MATCH($A14,'Valo FX'!$A:$A,0)),0,IF(EF$1&lt;INDEX('Valo FX'!$R:$R,MATCH($A14,'Valo FX'!$A:$A,0)),INDEX(Base!$U:$U,MATCH($A14,Base!$A:$A,0)),IF(EF$1=INDEX('Valo FX'!$R:$R,MATCH($A14,'Valo FX'!$A:$A,0)),INDEX(Base!$V:$V,MATCH($A14,Base!$A:$A,0)),0)))</f>
        <v>6.850911</v>
      </c>
      <c r="EG14" s="21">
        <f>IF(EG$1&lt;INDEX('Valo FX'!$Q:$Q,MATCH($A14,'Valo FX'!$A:$A,0)),0,IF(EG$1&lt;INDEX('Valo FX'!$R:$R,MATCH($A14,'Valo FX'!$A:$A,0)),INDEX(Base!$U:$U,MATCH($A14,Base!$A:$A,0)),IF(EG$1=INDEX('Valo FX'!$R:$R,MATCH($A14,'Valo FX'!$A:$A,0)),INDEX(Base!$V:$V,MATCH($A14,Base!$A:$A,0)),0)))</f>
        <v>6.850911</v>
      </c>
      <c r="EH14" s="21">
        <f>IF(EH$1&lt;INDEX('Valo FX'!$Q:$Q,MATCH($A14,'Valo FX'!$A:$A,0)),0,IF(EH$1&lt;INDEX('Valo FX'!$R:$R,MATCH($A14,'Valo FX'!$A:$A,0)),INDEX(Base!$U:$U,MATCH($A14,Base!$A:$A,0)),IF(EH$1=INDEX('Valo FX'!$R:$R,MATCH($A14,'Valo FX'!$A:$A,0)),INDEX(Base!$V:$V,MATCH($A14,Base!$A:$A,0)),0)))</f>
        <v>6.850911</v>
      </c>
      <c r="EI14" s="21">
        <f>IF(EI$1&lt;INDEX('Valo FX'!$Q:$Q,MATCH($A14,'Valo FX'!$A:$A,0)),0,IF(EI$1&lt;INDEX('Valo FX'!$R:$R,MATCH($A14,'Valo FX'!$A:$A,0)),INDEX(Base!$U:$U,MATCH($A14,Base!$A:$A,0)),IF(EI$1=INDEX('Valo FX'!$R:$R,MATCH($A14,'Valo FX'!$A:$A,0)),INDEX(Base!$V:$V,MATCH($A14,Base!$A:$A,0)),0)))</f>
        <v>6.850911</v>
      </c>
      <c r="EJ14" s="21">
        <f>IF(EJ$1&lt;INDEX('Valo FX'!$Q:$Q,MATCH($A14,'Valo FX'!$A:$A,0)),0,IF(EJ$1&lt;INDEX('Valo FX'!$R:$R,MATCH($A14,'Valo FX'!$A:$A,0)),INDEX(Base!$U:$U,MATCH($A14,Base!$A:$A,0)),IF(EJ$1=INDEX('Valo FX'!$R:$R,MATCH($A14,'Valo FX'!$A:$A,0)),INDEX(Base!$V:$V,MATCH($A14,Base!$A:$A,0)),0)))</f>
        <v>6.850911</v>
      </c>
      <c r="EK14" s="21">
        <f>IF(EK$1&lt;INDEX('Valo FX'!$Q:$Q,MATCH($A14,'Valo FX'!$A:$A,0)),0,IF(EK$1&lt;INDEX('Valo FX'!$R:$R,MATCH($A14,'Valo FX'!$A:$A,0)),INDEX(Base!$U:$U,MATCH($A14,Base!$A:$A,0)),IF(EK$1=INDEX('Valo FX'!$R:$R,MATCH($A14,'Valo FX'!$A:$A,0)),INDEX(Base!$V:$V,MATCH($A14,Base!$A:$A,0)),0)))</f>
        <v>6.850911</v>
      </c>
      <c r="EL14" s="21">
        <f>IF(EL$1&lt;INDEX('Valo FX'!$Q:$Q,MATCH($A14,'Valo FX'!$A:$A,0)),0,IF(EL$1&lt;INDEX('Valo FX'!$R:$R,MATCH($A14,'Valo FX'!$A:$A,0)),INDEX(Base!$U:$U,MATCH($A14,Base!$A:$A,0)),IF(EL$1=INDEX('Valo FX'!$R:$R,MATCH($A14,'Valo FX'!$A:$A,0)),INDEX(Base!$V:$V,MATCH($A14,Base!$A:$A,0)),0)))</f>
        <v>6.850911</v>
      </c>
      <c r="EM14" s="21">
        <f>IF(EM$1&lt;INDEX('Valo FX'!$Q:$Q,MATCH($A14,'Valo FX'!$A:$A,0)),0,IF(EM$1&lt;INDEX('Valo FX'!$R:$R,MATCH($A14,'Valo FX'!$A:$A,0)),INDEX(Base!$U:$U,MATCH($A14,Base!$A:$A,0)),IF(EM$1=INDEX('Valo FX'!$R:$R,MATCH($A14,'Valo FX'!$A:$A,0)),INDEX(Base!$V:$V,MATCH($A14,Base!$A:$A,0)),0)))</f>
        <v>6.850911</v>
      </c>
      <c r="EN14" s="21">
        <f>IF(EN$1&lt;INDEX('Valo FX'!$Q:$Q,MATCH($A14,'Valo FX'!$A:$A,0)),0,IF(EN$1&lt;INDEX('Valo FX'!$R:$R,MATCH($A14,'Valo FX'!$A:$A,0)),INDEX(Base!$U:$U,MATCH($A14,Base!$A:$A,0)),IF(EN$1=INDEX('Valo FX'!$R:$R,MATCH($A14,'Valo FX'!$A:$A,0)),INDEX(Base!$V:$V,MATCH($A14,Base!$A:$A,0)),0)))</f>
        <v>6.850911</v>
      </c>
      <c r="EO14" s="21">
        <f>IF(EO$1&lt;INDEX('Valo FX'!$Q:$Q,MATCH($A14,'Valo FX'!$A:$A,0)),0,IF(EO$1&lt;INDEX('Valo FX'!$R:$R,MATCH($A14,'Valo FX'!$A:$A,0)),INDEX(Base!$U:$U,MATCH($A14,Base!$A:$A,0)),IF(EO$1=INDEX('Valo FX'!$R:$R,MATCH($A14,'Valo FX'!$A:$A,0)),INDEX(Base!$V:$V,MATCH($A14,Base!$A:$A,0)),0)))</f>
        <v>6.850911</v>
      </c>
      <c r="EP14" s="21">
        <f>IF(EP$1&lt;INDEX('Valo FX'!$Q:$Q,MATCH($A14,'Valo FX'!$A:$A,0)),0,IF(EP$1&lt;INDEX('Valo FX'!$R:$R,MATCH($A14,'Valo FX'!$A:$A,0)),INDEX(Base!$U:$U,MATCH($A14,Base!$A:$A,0)),IF(EP$1=INDEX('Valo FX'!$R:$R,MATCH($A14,'Valo FX'!$A:$A,0)),INDEX(Base!$V:$V,MATCH($A14,Base!$A:$A,0)),0)))</f>
        <v>6.850911</v>
      </c>
      <c r="EQ14" s="21">
        <f>IF(EQ$1&lt;INDEX('Valo FX'!$Q:$Q,MATCH($A14,'Valo FX'!$A:$A,0)),0,IF(EQ$1&lt;INDEX('Valo FX'!$R:$R,MATCH($A14,'Valo FX'!$A:$A,0)),INDEX(Base!$U:$U,MATCH($A14,Base!$A:$A,0)),IF(EQ$1=INDEX('Valo FX'!$R:$R,MATCH($A14,'Valo FX'!$A:$A,0)),INDEX(Base!$V:$V,MATCH($A14,Base!$A:$A,0)),0)))</f>
        <v>6.850911</v>
      </c>
      <c r="ER14" s="21">
        <f>IF(ER$1&lt;INDEX('Valo FX'!$Q:$Q,MATCH($A14,'Valo FX'!$A:$A,0)),0,IF(ER$1&lt;INDEX('Valo FX'!$R:$R,MATCH($A14,'Valo FX'!$A:$A,0)),INDEX(Base!$U:$U,MATCH($A14,Base!$A:$A,0)),IF(ER$1=INDEX('Valo FX'!$R:$R,MATCH($A14,'Valo FX'!$A:$A,0)),INDEX(Base!$V:$V,MATCH($A14,Base!$A:$A,0)),0)))</f>
        <v>6.850911</v>
      </c>
      <c r="ES14" s="21">
        <f>IF(ES$1&lt;INDEX('Valo FX'!$Q:$Q,MATCH($A14,'Valo FX'!$A:$A,0)),0,IF(ES$1&lt;INDEX('Valo FX'!$R:$R,MATCH($A14,'Valo FX'!$A:$A,0)),INDEX(Base!$U:$U,MATCH($A14,Base!$A:$A,0)),IF(ES$1=INDEX('Valo FX'!$R:$R,MATCH($A14,'Valo FX'!$A:$A,0)),INDEX(Base!$V:$V,MATCH($A14,Base!$A:$A,0)),0)))</f>
        <v>6.850911</v>
      </c>
      <c r="ET14" s="21">
        <f>IF(ET$1&lt;INDEX('Valo FX'!$Q:$Q,MATCH($A14,'Valo FX'!$A:$A,0)),0,IF(ET$1&lt;INDEX('Valo FX'!$R:$R,MATCH($A14,'Valo FX'!$A:$A,0)),INDEX(Base!$U:$U,MATCH($A14,Base!$A:$A,0)),IF(ET$1=INDEX('Valo FX'!$R:$R,MATCH($A14,'Valo FX'!$A:$A,0)),INDEX(Base!$V:$V,MATCH($A14,Base!$A:$A,0)),0)))</f>
        <v>6.850911</v>
      </c>
      <c r="EU14" s="21">
        <f>IF(EU$1&lt;INDEX('Valo FX'!$Q:$Q,MATCH($A14,'Valo FX'!$A:$A,0)),0,IF(EU$1&lt;INDEX('Valo FX'!$R:$R,MATCH($A14,'Valo FX'!$A:$A,0)),INDEX(Base!$U:$U,MATCH($A14,Base!$A:$A,0)),IF(EU$1=INDEX('Valo FX'!$R:$R,MATCH($A14,'Valo FX'!$A:$A,0)),INDEX(Base!$V:$V,MATCH($A14,Base!$A:$A,0)),0)))</f>
        <v>6.850911</v>
      </c>
      <c r="EV14" s="21">
        <f>IF(EV$1&lt;INDEX('Valo FX'!$Q:$Q,MATCH($A14,'Valo FX'!$A:$A,0)),0,IF(EV$1&lt;INDEX('Valo FX'!$R:$R,MATCH($A14,'Valo FX'!$A:$A,0)),INDEX(Base!$U:$U,MATCH($A14,Base!$A:$A,0)),IF(EV$1=INDEX('Valo FX'!$R:$R,MATCH($A14,'Valo FX'!$A:$A,0)),INDEX(Base!$V:$V,MATCH($A14,Base!$A:$A,0)),0)))</f>
        <v>6.850911</v>
      </c>
      <c r="EW14" s="21">
        <f>IF(EW$1&lt;INDEX('Valo FX'!$Q:$Q,MATCH($A14,'Valo FX'!$A:$A,0)),0,IF(EW$1&lt;INDEX('Valo FX'!$R:$R,MATCH($A14,'Valo FX'!$A:$A,0)),INDEX(Base!$U:$U,MATCH($A14,Base!$A:$A,0)),IF(EW$1=INDEX('Valo FX'!$R:$R,MATCH($A14,'Valo FX'!$A:$A,0)),INDEX(Base!$V:$V,MATCH($A14,Base!$A:$A,0)),0)))</f>
        <v>6.850911</v>
      </c>
      <c r="EX14" s="21">
        <f>IF(EX$1&lt;INDEX('Valo FX'!$Q:$Q,MATCH($A14,'Valo FX'!$A:$A,0)),0,IF(EX$1&lt;INDEX('Valo FX'!$R:$R,MATCH($A14,'Valo FX'!$A:$A,0)),INDEX(Base!$U:$U,MATCH($A14,Base!$A:$A,0)),IF(EX$1=INDEX('Valo FX'!$R:$R,MATCH($A14,'Valo FX'!$A:$A,0)),INDEX(Base!$V:$V,MATCH($A14,Base!$A:$A,0)),0)))</f>
        <v>6.850911</v>
      </c>
      <c r="EY14" s="21">
        <f>IF(EY$1&lt;INDEX('Valo FX'!$Q:$Q,MATCH($A14,'Valo FX'!$A:$A,0)),0,IF(EY$1&lt;INDEX('Valo FX'!$R:$R,MATCH($A14,'Valo FX'!$A:$A,0)),INDEX(Base!$U:$U,MATCH($A14,Base!$A:$A,0)),IF(EY$1=INDEX('Valo FX'!$R:$R,MATCH($A14,'Valo FX'!$A:$A,0)),INDEX(Base!$V:$V,MATCH($A14,Base!$A:$A,0)),0)))</f>
        <v>6.850911</v>
      </c>
      <c r="EZ14" s="21">
        <f>IF(EZ$1&lt;INDEX('Valo FX'!$Q:$Q,MATCH($A14,'Valo FX'!$A:$A,0)),0,IF(EZ$1&lt;INDEX('Valo FX'!$R:$R,MATCH($A14,'Valo FX'!$A:$A,0)),INDEX(Base!$U:$U,MATCH($A14,Base!$A:$A,0)),IF(EZ$1=INDEX('Valo FX'!$R:$R,MATCH($A14,'Valo FX'!$A:$A,0)),INDEX(Base!$V:$V,MATCH($A14,Base!$A:$A,0)),0)))</f>
        <v>6.850911</v>
      </c>
      <c r="FA14" s="21">
        <f>IF(FA$1&lt;INDEX('Valo FX'!$Q:$Q,MATCH($A14,'Valo FX'!$A:$A,0)),0,IF(FA$1&lt;INDEX('Valo FX'!$R:$R,MATCH($A14,'Valo FX'!$A:$A,0)),INDEX(Base!$U:$U,MATCH($A14,Base!$A:$A,0)),IF(FA$1=INDEX('Valo FX'!$R:$R,MATCH($A14,'Valo FX'!$A:$A,0)),INDEX(Base!$V:$V,MATCH($A14,Base!$A:$A,0)),0)))</f>
        <v>6.850911</v>
      </c>
      <c r="FB14" s="21">
        <f>IF(FB$1&lt;INDEX('Valo FX'!$Q:$Q,MATCH($A14,'Valo FX'!$A:$A,0)),0,IF(FB$1&lt;INDEX('Valo FX'!$R:$R,MATCH($A14,'Valo FX'!$A:$A,0)),INDEX(Base!$U:$U,MATCH($A14,Base!$A:$A,0)),IF(FB$1=INDEX('Valo FX'!$R:$R,MATCH($A14,'Valo FX'!$A:$A,0)),INDEX(Base!$V:$V,MATCH($A14,Base!$A:$A,0)),0)))</f>
        <v>6.850911</v>
      </c>
      <c r="FC14" s="21">
        <f>IF(FC$1&lt;INDEX('Valo FX'!$Q:$Q,MATCH($A14,'Valo FX'!$A:$A,0)),0,IF(FC$1&lt;INDEX('Valo FX'!$R:$R,MATCH($A14,'Valo FX'!$A:$A,0)),INDEX(Base!$U:$U,MATCH($A14,Base!$A:$A,0)),IF(FC$1=INDEX('Valo FX'!$R:$R,MATCH($A14,'Valo FX'!$A:$A,0)),INDEX(Base!$V:$V,MATCH($A14,Base!$A:$A,0)),0)))</f>
        <v>6.850911</v>
      </c>
      <c r="FD14" s="21">
        <f>IF(FD$1&lt;INDEX('Valo FX'!$Q:$Q,MATCH($A14,'Valo FX'!$A:$A,0)),0,IF(FD$1&lt;INDEX('Valo FX'!$R:$R,MATCH($A14,'Valo FX'!$A:$A,0)),INDEX(Base!$U:$U,MATCH($A14,Base!$A:$A,0)),IF(FD$1=INDEX('Valo FX'!$R:$R,MATCH($A14,'Valo FX'!$A:$A,0)),INDEX(Base!$V:$V,MATCH($A14,Base!$A:$A,0)),0)))</f>
        <v>6.850911</v>
      </c>
      <c r="FE14" s="21">
        <f>IF(FE$1&lt;INDEX('Valo FX'!$Q:$Q,MATCH($A14,'Valo FX'!$A:$A,0)),0,IF(FE$1&lt;INDEX('Valo FX'!$R:$R,MATCH($A14,'Valo FX'!$A:$A,0)),INDEX(Base!$U:$U,MATCH($A14,Base!$A:$A,0)),IF(FE$1=INDEX('Valo FX'!$R:$R,MATCH($A14,'Valo FX'!$A:$A,0)),INDEX(Base!$V:$V,MATCH($A14,Base!$A:$A,0)),0)))</f>
        <v>6.850911</v>
      </c>
      <c r="FF14" s="21">
        <f>IF(FF$1&lt;INDEX('Valo FX'!$Q:$Q,MATCH($A14,'Valo FX'!$A:$A,0)),0,IF(FF$1&lt;INDEX('Valo FX'!$R:$R,MATCH($A14,'Valo FX'!$A:$A,0)),INDEX(Base!$U:$U,MATCH($A14,Base!$A:$A,0)),IF(FF$1=INDEX('Valo FX'!$R:$R,MATCH($A14,'Valo FX'!$A:$A,0)),INDEX(Base!$V:$V,MATCH($A14,Base!$A:$A,0)),0)))</f>
        <v>6.850911</v>
      </c>
      <c r="FG14" s="21">
        <f>IF(FG$1&lt;INDEX('Valo FX'!$Q:$Q,MATCH($A14,'Valo FX'!$A:$A,0)),0,IF(FG$1&lt;INDEX('Valo FX'!$R:$R,MATCH($A14,'Valo FX'!$A:$A,0)),INDEX(Base!$U:$U,MATCH($A14,Base!$A:$A,0)),IF(FG$1=INDEX('Valo FX'!$R:$R,MATCH($A14,'Valo FX'!$A:$A,0)),INDEX(Base!$V:$V,MATCH($A14,Base!$A:$A,0)),0)))</f>
        <v>6.850911</v>
      </c>
      <c r="FH14" s="21">
        <f>IF(FH$1&lt;INDEX('Valo FX'!$Q:$Q,MATCH($A14,'Valo FX'!$A:$A,0)),0,IF(FH$1&lt;INDEX('Valo FX'!$R:$R,MATCH($A14,'Valo FX'!$A:$A,0)),INDEX(Base!$U:$U,MATCH($A14,Base!$A:$A,0)),IF(FH$1=INDEX('Valo FX'!$R:$R,MATCH($A14,'Valo FX'!$A:$A,0)),INDEX(Base!$V:$V,MATCH($A14,Base!$A:$A,0)),0)))</f>
        <v>6.850911</v>
      </c>
      <c r="FI14" s="21">
        <f>IF(FI$1&lt;INDEX('Valo FX'!$Q:$Q,MATCH($A14,'Valo FX'!$A:$A,0)),0,IF(FI$1&lt;INDEX('Valo FX'!$R:$R,MATCH($A14,'Valo FX'!$A:$A,0)),INDEX(Base!$U:$U,MATCH($A14,Base!$A:$A,0)),IF(FI$1=INDEX('Valo FX'!$R:$R,MATCH($A14,'Valo FX'!$A:$A,0)),INDEX(Base!$V:$V,MATCH($A14,Base!$A:$A,0)),0)))</f>
        <v>6.850911</v>
      </c>
      <c r="FJ14" s="21">
        <f>IF(FJ$1&lt;INDEX('Valo FX'!$Q:$Q,MATCH($A14,'Valo FX'!$A:$A,0)),0,IF(FJ$1&lt;INDEX('Valo FX'!$R:$R,MATCH($A14,'Valo FX'!$A:$A,0)),INDEX(Base!$U:$U,MATCH($A14,Base!$A:$A,0)),IF(FJ$1=INDEX('Valo FX'!$R:$R,MATCH($A14,'Valo FX'!$A:$A,0)),INDEX(Base!$V:$V,MATCH($A14,Base!$A:$A,0)),0)))</f>
        <v>6.850911</v>
      </c>
      <c r="FK14" s="21">
        <f>IF(FK$1&lt;INDEX('Valo FX'!$Q:$Q,MATCH($A14,'Valo FX'!$A:$A,0)),0,IF(FK$1&lt;INDEX('Valo FX'!$R:$R,MATCH($A14,'Valo FX'!$A:$A,0)),INDEX(Base!$U:$U,MATCH($A14,Base!$A:$A,0)),IF(FK$1=INDEX('Valo FX'!$R:$R,MATCH($A14,'Valo FX'!$A:$A,0)),INDEX(Base!$V:$V,MATCH($A14,Base!$A:$A,0)),0)))</f>
        <v>6.850911</v>
      </c>
      <c r="FL14" s="21">
        <f>IF(FL$1&lt;INDEX('Valo FX'!$Q:$Q,MATCH($A14,'Valo FX'!$A:$A,0)),0,IF(FL$1&lt;INDEX('Valo FX'!$R:$R,MATCH($A14,'Valo FX'!$A:$A,0)),INDEX(Base!$U:$U,MATCH($A14,Base!$A:$A,0)),IF(FL$1=INDEX('Valo FX'!$R:$R,MATCH($A14,'Valo FX'!$A:$A,0)),INDEX(Base!$V:$V,MATCH($A14,Base!$A:$A,0)),0)))</f>
        <v>6.850911</v>
      </c>
      <c r="FM14" s="21">
        <f>IF(FM$1&lt;INDEX('Valo FX'!$Q:$Q,MATCH($A14,'Valo FX'!$A:$A,0)),0,IF(FM$1&lt;INDEX('Valo FX'!$R:$R,MATCH($A14,'Valo FX'!$A:$A,0)),INDEX(Base!$U:$U,MATCH($A14,Base!$A:$A,0)),IF(FM$1=INDEX('Valo FX'!$R:$R,MATCH($A14,'Valo FX'!$A:$A,0)),INDEX(Base!$V:$V,MATCH($A14,Base!$A:$A,0)),0)))</f>
        <v>6.850911</v>
      </c>
      <c r="FN14" s="21">
        <f>IF(FN$1&lt;INDEX('Valo FX'!$Q:$Q,MATCH($A14,'Valo FX'!$A:$A,0)),0,IF(FN$1&lt;INDEX('Valo FX'!$R:$R,MATCH($A14,'Valo FX'!$A:$A,0)),INDEX(Base!$U:$U,MATCH($A14,Base!$A:$A,0)),IF(FN$1=INDEX('Valo FX'!$R:$R,MATCH($A14,'Valo FX'!$A:$A,0)),INDEX(Base!$V:$V,MATCH($A14,Base!$A:$A,0)),0)))</f>
        <v>6.850911</v>
      </c>
      <c r="FO14" s="21">
        <f>IF(FO$1&lt;INDEX('Valo FX'!$Q:$Q,MATCH($A14,'Valo FX'!$A:$A,0)),0,IF(FO$1&lt;INDEX('Valo FX'!$R:$R,MATCH($A14,'Valo FX'!$A:$A,0)),INDEX(Base!$U:$U,MATCH($A14,Base!$A:$A,0)),IF(FO$1=INDEX('Valo FX'!$R:$R,MATCH($A14,'Valo FX'!$A:$A,0)),INDEX(Base!$V:$V,MATCH($A14,Base!$A:$A,0)),0)))</f>
        <v>6.850911</v>
      </c>
      <c r="FP14" s="21">
        <f>IF(FP$1&lt;INDEX('Valo FX'!$Q:$Q,MATCH($A14,'Valo FX'!$A:$A,0)),0,IF(FP$1&lt;INDEX('Valo FX'!$R:$R,MATCH($A14,'Valo FX'!$A:$A,0)),INDEX(Base!$U:$U,MATCH($A14,Base!$A:$A,0)),IF(FP$1=INDEX('Valo FX'!$R:$R,MATCH($A14,'Valo FX'!$A:$A,0)),INDEX(Base!$V:$V,MATCH($A14,Base!$A:$A,0)),0)))</f>
        <v>6.850911</v>
      </c>
      <c r="FQ14" s="21">
        <f>IF(FQ$1&lt;INDEX('Valo FX'!$Q:$Q,MATCH($A14,'Valo FX'!$A:$A,0)),0,IF(FQ$1&lt;INDEX('Valo FX'!$R:$R,MATCH($A14,'Valo FX'!$A:$A,0)),INDEX(Base!$U:$U,MATCH($A14,Base!$A:$A,0)),IF(FQ$1=INDEX('Valo FX'!$R:$R,MATCH($A14,'Valo FX'!$A:$A,0)),INDEX(Base!$V:$V,MATCH($A14,Base!$A:$A,0)),0)))</f>
        <v>6.850911</v>
      </c>
      <c r="FR14" s="21">
        <f>IF(FR$1&lt;INDEX('Valo FX'!$Q:$Q,MATCH($A14,'Valo FX'!$A:$A,0)),0,IF(FR$1&lt;INDEX('Valo FX'!$R:$R,MATCH($A14,'Valo FX'!$A:$A,0)),INDEX(Base!$U:$U,MATCH($A14,Base!$A:$A,0)),IF(FR$1=INDEX('Valo FX'!$R:$R,MATCH($A14,'Valo FX'!$A:$A,0)),INDEX(Base!$V:$V,MATCH($A14,Base!$A:$A,0)),0)))</f>
        <v>6.850911</v>
      </c>
      <c r="FS14" s="21">
        <f>IF(FS$1&lt;INDEX('Valo FX'!$Q:$Q,MATCH($A14,'Valo FX'!$A:$A,0)),0,IF(FS$1&lt;INDEX('Valo FX'!$R:$R,MATCH($A14,'Valo FX'!$A:$A,0)),INDEX(Base!$U:$U,MATCH($A14,Base!$A:$A,0)),IF(FS$1=INDEX('Valo FX'!$R:$R,MATCH($A14,'Valo FX'!$A:$A,0)),INDEX(Base!$V:$V,MATCH($A14,Base!$A:$A,0)),0)))</f>
        <v>6.850911</v>
      </c>
      <c r="FT14" s="21">
        <f>IF(FT$1&lt;INDEX('Valo FX'!$Q:$Q,MATCH($A14,'Valo FX'!$A:$A,0)),0,IF(FT$1&lt;INDEX('Valo FX'!$R:$R,MATCH($A14,'Valo FX'!$A:$A,0)),INDEX(Base!$U:$U,MATCH($A14,Base!$A:$A,0)),IF(FT$1=INDEX('Valo FX'!$R:$R,MATCH($A14,'Valo FX'!$A:$A,0)),INDEX(Base!$V:$V,MATCH($A14,Base!$A:$A,0)),0)))</f>
        <v>6.850911</v>
      </c>
      <c r="FU14" s="21">
        <f>IF(FU$1&lt;INDEX('Valo FX'!$Q:$Q,MATCH($A14,'Valo FX'!$A:$A,0)),0,IF(FU$1&lt;INDEX('Valo FX'!$R:$R,MATCH($A14,'Valo FX'!$A:$A,0)),INDEX(Base!$U:$U,MATCH($A14,Base!$A:$A,0)),IF(FU$1=INDEX('Valo FX'!$R:$R,MATCH($A14,'Valo FX'!$A:$A,0)),INDEX(Base!$V:$V,MATCH($A14,Base!$A:$A,0)),0)))</f>
        <v>6.850911</v>
      </c>
      <c r="FV14" s="21">
        <f>IF(FV$1&lt;INDEX('Valo FX'!$Q:$Q,MATCH($A14,'Valo FX'!$A:$A,0)),0,IF(FV$1&lt;INDEX('Valo FX'!$R:$R,MATCH($A14,'Valo FX'!$A:$A,0)),INDEX(Base!$U:$U,MATCH($A14,Base!$A:$A,0)),IF(FV$1=INDEX('Valo FX'!$R:$R,MATCH($A14,'Valo FX'!$A:$A,0)),INDEX(Base!$V:$V,MATCH($A14,Base!$A:$A,0)),0)))</f>
        <v>6.850911</v>
      </c>
      <c r="FW14" s="21">
        <f>IF(FW$1&lt;INDEX('Valo FX'!$Q:$Q,MATCH($A14,'Valo FX'!$A:$A,0)),0,IF(FW$1&lt;INDEX('Valo FX'!$R:$R,MATCH($A14,'Valo FX'!$A:$A,0)),INDEX(Base!$U:$U,MATCH($A14,Base!$A:$A,0)),IF(FW$1=INDEX('Valo FX'!$R:$R,MATCH($A14,'Valo FX'!$A:$A,0)),INDEX(Base!$V:$V,MATCH($A14,Base!$A:$A,0)),0)))</f>
        <v>6.850911</v>
      </c>
      <c r="FX14" s="21">
        <f>IF(FX$1&lt;INDEX('Valo FX'!$Q:$Q,MATCH($A14,'Valo FX'!$A:$A,0)),0,IF(FX$1&lt;INDEX('Valo FX'!$R:$R,MATCH($A14,'Valo FX'!$A:$A,0)),INDEX(Base!$U:$U,MATCH($A14,Base!$A:$A,0)),IF(FX$1=INDEX('Valo FX'!$R:$R,MATCH($A14,'Valo FX'!$A:$A,0)),INDEX(Base!$V:$V,MATCH($A14,Base!$A:$A,0)),0)))</f>
        <v>6.850911</v>
      </c>
      <c r="FY14" s="21">
        <f>IF(FY$1&lt;INDEX('Valo FX'!$Q:$Q,MATCH($A14,'Valo FX'!$A:$A,0)),0,IF(FY$1&lt;INDEX('Valo FX'!$R:$R,MATCH($A14,'Valo FX'!$A:$A,0)),INDEX(Base!$U:$U,MATCH($A14,Base!$A:$A,0)),IF(FY$1=INDEX('Valo FX'!$R:$R,MATCH($A14,'Valo FX'!$A:$A,0)),INDEX(Base!$V:$V,MATCH($A14,Base!$A:$A,0)),0)))</f>
        <v>6.850911</v>
      </c>
      <c r="FZ14" s="21">
        <f>IF(FZ$1&lt;INDEX('Valo FX'!$Q:$Q,MATCH($A14,'Valo FX'!$A:$A,0)),0,IF(FZ$1&lt;INDEX('Valo FX'!$R:$R,MATCH($A14,'Valo FX'!$A:$A,0)),INDEX(Base!$U:$U,MATCH($A14,Base!$A:$A,0)),IF(FZ$1=INDEX('Valo FX'!$R:$R,MATCH($A14,'Valo FX'!$A:$A,0)),INDEX(Base!$V:$V,MATCH($A14,Base!$A:$A,0)),0)))</f>
        <v>6.850911</v>
      </c>
      <c r="GA14" s="21">
        <f>IF(GA$1&lt;INDEX('Valo FX'!$Q:$Q,MATCH($A14,'Valo FX'!$A:$A,0)),0,IF(GA$1&lt;INDEX('Valo FX'!$R:$R,MATCH($A14,'Valo FX'!$A:$A,0)),INDEX(Base!$U:$U,MATCH($A14,Base!$A:$A,0)),IF(GA$1=INDEX('Valo FX'!$R:$R,MATCH($A14,'Valo FX'!$A:$A,0)),INDEX(Base!$V:$V,MATCH($A14,Base!$A:$A,0)),0)))</f>
        <v>6.850911</v>
      </c>
      <c r="GB14" s="21">
        <f>IF(GB$1&lt;INDEX('Valo FX'!$Q:$Q,MATCH($A14,'Valo FX'!$A:$A,0)),0,IF(GB$1&lt;INDEX('Valo FX'!$R:$R,MATCH($A14,'Valo FX'!$A:$A,0)),INDEX(Base!$U:$U,MATCH($A14,Base!$A:$A,0)),IF(GB$1=INDEX('Valo FX'!$R:$R,MATCH($A14,'Valo FX'!$A:$A,0)),INDEX(Base!$V:$V,MATCH($A14,Base!$A:$A,0)),0)))</f>
        <v>6.850911</v>
      </c>
      <c r="GC14" s="21">
        <f>IF(GC$1&lt;INDEX('Valo FX'!$Q:$Q,MATCH($A14,'Valo FX'!$A:$A,0)),0,IF(GC$1&lt;INDEX('Valo FX'!$R:$R,MATCH($A14,'Valo FX'!$A:$A,0)),INDEX(Base!$U:$U,MATCH($A14,Base!$A:$A,0)),IF(GC$1=INDEX('Valo FX'!$R:$R,MATCH($A14,'Valo FX'!$A:$A,0)),INDEX(Base!$V:$V,MATCH($A14,Base!$A:$A,0)),0)))</f>
        <v>6.850911</v>
      </c>
      <c r="GD14" s="21">
        <f>IF(GD$1&lt;INDEX('Valo FX'!$Q:$Q,MATCH($A14,'Valo FX'!$A:$A,0)),0,IF(GD$1&lt;INDEX('Valo FX'!$R:$R,MATCH($A14,'Valo FX'!$A:$A,0)),INDEX(Base!$U:$U,MATCH($A14,Base!$A:$A,0)),IF(GD$1=INDEX('Valo FX'!$R:$R,MATCH($A14,'Valo FX'!$A:$A,0)),INDEX(Base!$V:$V,MATCH($A14,Base!$A:$A,0)),0)))</f>
        <v>6.850911</v>
      </c>
      <c r="GE14" s="21">
        <f>IF(GE$1&lt;INDEX('Valo FX'!$Q:$Q,MATCH($A14,'Valo FX'!$A:$A,0)),0,IF(GE$1&lt;INDEX('Valo FX'!$R:$R,MATCH($A14,'Valo FX'!$A:$A,0)),INDEX(Base!$U:$U,MATCH($A14,Base!$A:$A,0)),IF(GE$1=INDEX('Valo FX'!$R:$R,MATCH($A14,'Valo FX'!$A:$A,0)),INDEX(Base!$V:$V,MATCH($A14,Base!$A:$A,0)),0)))</f>
        <v>6.850911</v>
      </c>
      <c r="GF14" s="21">
        <f>IF(GF$1&lt;INDEX('Valo FX'!$Q:$Q,MATCH($A14,'Valo FX'!$A:$A,0)),0,IF(GF$1&lt;INDEX('Valo FX'!$R:$R,MATCH($A14,'Valo FX'!$A:$A,0)),INDEX(Base!$U:$U,MATCH($A14,Base!$A:$A,0)),IF(GF$1=INDEX('Valo FX'!$R:$R,MATCH($A14,'Valo FX'!$A:$A,0)),INDEX(Base!$V:$V,MATCH($A14,Base!$A:$A,0)),0)))</f>
        <v>6.850911</v>
      </c>
      <c r="GG14" s="21">
        <f>IF(GG$1&lt;INDEX('Valo FX'!$Q:$Q,MATCH($A14,'Valo FX'!$A:$A,0)),0,IF(GG$1&lt;INDEX('Valo FX'!$R:$R,MATCH($A14,'Valo FX'!$A:$A,0)),INDEX(Base!$U:$U,MATCH($A14,Base!$A:$A,0)),IF(GG$1=INDEX('Valo FX'!$R:$R,MATCH($A14,'Valo FX'!$A:$A,0)),INDEX(Base!$V:$V,MATCH($A14,Base!$A:$A,0)),0)))</f>
        <v>6.850911</v>
      </c>
      <c r="GH14" s="21">
        <f>IF(GH$1&lt;INDEX('Valo FX'!$Q:$Q,MATCH($A14,'Valo FX'!$A:$A,0)),0,IF(GH$1&lt;INDEX('Valo FX'!$R:$R,MATCH($A14,'Valo FX'!$A:$A,0)),INDEX(Base!$U:$U,MATCH($A14,Base!$A:$A,0)),IF(GH$1=INDEX('Valo FX'!$R:$R,MATCH($A14,'Valo FX'!$A:$A,0)),INDEX(Base!$V:$V,MATCH($A14,Base!$A:$A,0)),0)))</f>
        <v>6.850911</v>
      </c>
      <c r="GI14" s="21">
        <f>IF(GI$1&lt;INDEX('Valo FX'!$Q:$Q,MATCH($A14,'Valo FX'!$A:$A,0)),0,IF(GI$1&lt;INDEX('Valo FX'!$R:$R,MATCH($A14,'Valo FX'!$A:$A,0)),INDEX(Base!$U:$U,MATCH($A14,Base!$A:$A,0)),IF(GI$1=INDEX('Valo FX'!$R:$R,MATCH($A14,'Valo FX'!$A:$A,0)),INDEX(Base!$V:$V,MATCH($A14,Base!$A:$A,0)),0)))</f>
        <v>6.850911</v>
      </c>
      <c r="GJ14" s="21">
        <f>IF(GJ$1&lt;INDEX('Valo FX'!$Q:$Q,MATCH($A14,'Valo FX'!$A:$A,0)),0,IF(GJ$1&lt;INDEX('Valo FX'!$R:$R,MATCH($A14,'Valo FX'!$A:$A,0)),INDEX(Base!$U:$U,MATCH($A14,Base!$A:$A,0)),IF(GJ$1=INDEX('Valo FX'!$R:$R,MATCH($A14,'Valo FX'!$A:$A,0)),INDEX(Base!$V:$V,MATCH($A14,Base!$A:$A,0)),0)))</f>
        <v>6.850911</v>
      </c>
      <c r="GK14" s="21">
        <f>IF(GK$1&lt;INDEX('Valo FX'!$Q:$Q,MATCH($A14,'Valo FX'!$A:$A,0)),0,IF(GK$1&lt;INDEX('Valo FX'!$R:$R,MATCH($A14,'Valo FX'!$A:$A,0)),INDEX(Base!$U:$U,MATCH($A14,Base!$A:$A,0)),IF(GK$1=INDEX('Valo FX'!$R:$R,MATCH($A14,'Valo FX'!$A:$A,0)),INDEX(Base!$V:$V,MATCH($A14,Base!$A:$A,0)),0)))</f>
        <v>6.850911</v>
      </c>
      <c r="GL14" s="21">
        <f>IF(GL$1&lt;INDEX('Valo FX'!$Q:$Q,MATCH($A14,'Valo FX'!$A:$A,0)),0,IF(GL$1&lt;INDEX('Valo FX'!$R:$R,MATCH($A14,'Valo FX'!$A:$A,0)),INDEX(Base!$U:$U,MATCH($A14,Base!$A:$A,0)),IF(GL$1=INDEX('Valo FX'!$R:$R,MATCH($A14,'Valo FX'!$A:$A,0)),INDEX(Base!$V:$V,MATCH($A14,Base!$A:$A,0)),0)))</f>
        <v>6.850911</v>
      </c>
      <c r="GM14" s="21">
        <f>IF(GM$1&lt;INDEX('Valo FX'!$Q:$Q,MATCH($A14,'Valo FX'!$A:$A,0)),0,IF(GM$1&lt;INDEX('Valo FX'!$R:$R,MATCH($A14,'Valo FX'!$A:$A,0)),INDEX(Base!$U:$U,MATCH($A14,Base!$A:$A,0)),IF(GM$1=INDEX('Valo FX'!$R:$R,MATCH($A14,'Valo FX'!$A:$A,0)),INDEX(Base!$V:$V,MATCH($A14,Base!$A:$A,0)),0)))</f>
        <v>6.850911</v>
      </c>
      <c r="GN14" s="21">
        <f>IF(GN$1&lt;INDEX('Valo FX'!$Q:$Q,MATCH($A14,'Valo FX'!$A:$A,0)),0,IF(GN$1&lt;INDEX('Valo FX'!$R:$R,MATCH($A14,'Valo FX'!$A:$A,0)),INDEX(Base!$U:$U,MATCH($A14,Base!$A:$A,0)),IF(GN$1=INDEX('Valo FX'!$R:$R,MATCH($A14,'Valo FX'!$A:$A,0)),INDEX(Base!$V:$V,MATCH($A14,Base!$A:$A,0)),0)))</f>
        <v>6.850911</v>
      </c>
      <c r="GO14" s="21">
        <f>IF(GO$1&lt;INDEX('Valo FX'!$Q:$Q,MATCH($A14,'Valo FX'!$A:$A,0)),0,IF(GO$1&lt;INDEX('Valo FX'!$R:$R,MATCH($A14,'Valo FX'!$A:$A,0)),INDEX(Base!$U:$U,MATCH($A14,Base!$A:$A,0)),IF(GO$1=INDEX('Valo FX'!$R:$R,MATCH($A14,'Valo FX'!$A:$A,0)),INDEX(Base!$V:$V,MATCH($A14,Base!$A:$A,0)),0)))</f>
        <v>6.850911</v>
      </c>
      <c r="GP14" s="21">
        <f>IF(GP$1&lt;INDEX('Valo FX'!$Q:$Q,MATCH($A14,'Valo FX'!$A:$A,0)),0,IF(GP$1&lt;INDEX('Valo FX'!$R:$R,MATCH($A14,'Valo FX'!$A:$A,0)),INDEX(Base!$U:$U,MATCH($A14,Base!$A:$A,0)),IF(GP$1=INDEX('Valo FX'!$R:$R,MATCH($A14,'Valo FX'!$A:$A,0)),INDEX(Base!$V:$V,MATCH($A14,Base!$A:$A,0)),0)))</f>
        <v>6.850911</v>
      </c>
      <c r="GQ14" s="21">
        <f>IF(GQ$1&lt;INDEX('Valo FX'!$Q:$Q,MATCH($A14,'Valo FX'!$A:$A,0)),0,IF(GQ$1&lt;INDEX('Valo FX'!$R:$R,MATCH($A14,'Valo FX'!$A:$A,0)),INDEX(Base!$U:$U,MATCH($A14,Base!$A:$A,0)),IF(GQ$1=INDEX('Valo FX'!$R:$R,MATCH($A14,'Valo FX'!$A:$A,0)),INDEX(Base!$V:$V,MATCH($A14,Base!$A:$A,0)),0)))</f>
        <v>6.850911</v>
      </c>
      <c r="GR14" s="21">
        <f>IF(GR$1&lt;INDEX('Valo FX'!$Q:$Q,MATCH($A14,'Valo FX'!$A:$A,0)),0,IF(GR$1&lt;INDEX('Valo FX'!$R:$R,MATCH($A14,'Valo FX'!$A:$A,0)),INDEX(Base!$U:$U,MATCH($A14,Base!$A:$A,0)),IF(GR$1=INDEX('Valo FX'!$R:$R,MATCH($A14,'Valo FX'!$A:$A,0)),INDEX(Base!$V:$V,MATCH($A14,Base!$A:$A,0)),0)))</f>
        <v>6.850911</v>
      </c>
      <c r="GS14" s="21">
        <f>IF(GS$1&lt;INDEX('Valo FX'!$Q:$Q,MATCH($A14,'Valo FX'!$A:$A,0)),0,IF(GS$1&lt;INDEX('Valo FX'!$R:$R,MATCH($A14,'Valo FX'!$A:$A,0)),INDEX(Base!$U:$U,MATCH($A14,Base!$A:$A,0)),IF(GS$1=INDEX('Valo FX'!$R:$R,MATCH($A14,'Valo FX'!$A:$A,0)),INDEX(Base!$V:$V,MATCH($A14,Base!$A:$A,0)),0)))</f>
        <v>6.850911</v>
      </c>
      <c r="GT14" s="21">
        <f>IF(GT$1&lt;INDEX('Valo FX'!$Q:$Q,MATCH($A14,'Valo FX'!$A:$A,0)),0,IF(GT$1&lt;INDEX('Valo FX'!$R:$R,MATCH($A14,'Valo FX'!$A:$A,0)),INDEX(Base!$U:$U,MATCH($A14,Base!$A:$A,0)),IF(GT$1=INDEX('Valo FX'!$R:$R,MATCH($A14,'Valo FX'!$A:$A,0)),INDEX(Base!$V:$V,MATCH($A14,Base!$A:$A,0)),0)))</f>
        <v>6.850911</v>
      </c>
      <c r="GU14" s="21">
        <f>IF(GU$1&lt;INDEX('Valo FX'!$Q:$Q,MATCH($A14,'Valo FX'!$A:$A,0)),0,IF(GU$1&lt;INDEX('Valo FX'!$R:$R,MATCH($A14,'Valo FX'!$A:$A,0)),INDEX(Base!$U:$U,MATCH($A14,Base!$A:$A,0)),IF(GU$1=INDEX('Valo FX'!$R:$R,MATCH($A14,'Valo FX'!$A:$A,0)),INDEX(Base!$V:$V,MATCH($A14,Base!$A:$A,0)),0)))</f>
        <v>6.850911</v>
      </c>
      <c r="GV14" s="21">
        <f>IF(GV$1&lt;INDEX('Valo FX'!$Q:$Q,MATCH($A14,'Valo FX'!$A:$A,0)),0,IF(GV$1&lt;INDEX('Valo FX'!$R:$R,MATCH($A14,'Valo FX'!$A:$A,0)),INDEX(Base!$U:$U,MATCH($A14,Base!$A:$A,0)),IF(GV$1=INDEX('Valo FX'!$R:$R,MATCH($A14,'Valo FX'!$A:$A,0)),INDEX(Base!$V:$V,MATCH($A14,Base!$A:$A,0)),0)))</f>
        <v>6.850911</v>
      </c>
      <c r="GW14" s="21">
        <f>IF(GW$1&lt;INDEX('Valo FX'!$Q:$Q,MATCH($A14,'Valo FX'!$A:$A,0)),0,IF(GW$1&lt;INDEX('Valo FX'!$R:$R,MATCH($A14,'Valo FX'!$A:$A,0)),INDEX(Base!$U:$U,MATCH($A14,Base!$A:$A,0)),IF(GW$1=INDEX('Valo FX'!$R:$R,MATCH($A14,'Valo FX'!$A:$A,0)),INDEX(Base!$V:$V,MATCH($A14,Base!$A:$A,0)),0)))</f>
        <v>6.850911</v>
      </c>
      <c r="GX14" s="21">
        <f>IF(GX$1&lt;INDEX('Valo FX'!$Q:$Q,MATCH($A14,'Valo FX'!$A:$A,0)),0,IF(GX$1&lt;INDEX('Valo FX'!$R:$R,MATCH($A14,'Valo FX'!$A:$A,0)),INDEX(Base!$U:$U,MATCH($A14,Base!$A:$A,0)),IF(GX$1=INDEX('Valo FX'!$R:$R,MATCH($A14,'Valo FX'!$A:$A,0)),INDEX(Base!$V:$V,MATCH($A14,Base!$A:$A,0)),0)))</f>
        <v>6.850911</v>
      </c>
      <c r="GY14" s="21">
        <f>IF(GY$1&lt;INDEX('Valo FX'!$Q:$Q,MATCH($A14,'Valo FX'!$A:$A,0)),0,IF(GY$1&lt;INDEX('Valo FX'!$R:$R,MATCH($A14,'Valo FX'!$A:$A,0)),INDEX(Base!$U:$U,MATCH($A14,Base!$A:$A,0)),IF(GY$1=INDEX('Valo FX'!$R:$R,MATCH($A14,'Valo FX'!$A:$A,0)),INDEX(Base!$V:$V,MATCH($A14,Base!$A:$A,0)),0)))</f>
        <v>6.8938490000000003</v>
      </c>
      <c r="GZ14" s="21">
        <f>IF(GZ$1&lt;INDEX('Valo FX'!$Q:$Q,MATCH($A14,'Valo FX'!$A:$A,0)),0,IF(GZ$1&lt;INDEX('Valo FX'!$R:$R,MATCH($A14,'Valo FX'!$A:$A,0)),INDEX(Base!$U:$U,MATCH($A14,Base!$A:$A,0)),IF(GZ$1=INDEX('Valo FX'!$R:$R,MATCH($A14,'Valo FX'!$A:$A,0)),INDEX(Base!$V:$V,MATCH($A14,Base!$A:$A,0)),0)))</f>
        <v>0</v>
      </c>
      <c r="HA14" s="21">
        <f>IF(HA$1&lt;INDEX('Valo FX'!$Q:$Q,MATCH($A14,'Valo FX'!$A:$A,0)),0,IF(HA$1&lt;INDEX('Valo FX'!$R:$R,MATCH($A14,'Valo FX'!$A:$A,0)),INDEX(Base!$U:$U,MATCH($A14,Base!$A:$A,0)),IF(HA$1=INDEX('Valo FX'!$R:$R,MATCH($A14,'Valo FX'!$A:$A,0)),INDEX(Base!$V:$V,MATCH($A14,Base!$A:$A,0)),0)))</f>
        <v>0</v>
      </c>
      <c r="HB14" s="21">
        <f>IF(HB$1&lt;INDEX('Valo FX'!$Q:$Q,MATCH($A14,'Valo FX'!$A:$A,0)),0,IF(HB$1&lt;INDEX('Valo FX'!$R:$R,MATCH($A14,'Valo FX'!$A:$A,0)),INDEX(Base!$U:$U,MATCH($A14,Base!$A:$A,0)),IF(HB$1=INDEX('Valo FX'!$R:$R,MATCH($A14,'Valo FX'!$A:$A,0)),INDEX(Base!$V:$V,MATCH($A14,Base!$A:$A,0)),0)))</f>
        <v>0</v>
      </c>
      <c r="HC14" s="21">
        <f>IF(HC$1&lt;INDEX('Valo FX'!$Q:$Q,MATCH($A14,'Valo FX'!$A:$A,0)),0,IF(HC$1&lt;INDEX('Valo FX'!$R:$R,MATCH($A14,'Valo FX'!$A:$A,0)),INDEX(Base!$U:$U,MATCH($A14,Base!$A:$A,0)),IF(HC$1=INDEX('Valo FX'!$R:$R,MATCH($A14,'Valo FX'!$A:$A,0)),INDEX(Base!$V:$V,MATCH($A14,Base!$A:$A,0)),0)))</f>
        <v>0</v>
      </c>
      <c r="HD14" s="21">
        <f>IF(HD$1&lt;INDEX('Valo FX'!$Q:$Q,MATCH($A14,'Valo FX'!$A:$A,0)),0,IF(HD$1&lt;INDEX('Valo FX'!$R:$R,MATCH($A14,'Valo FX'!$A:$A,0)),INDEX(Base!$U:$U,MATCH($A14,Base!$A:$A,0)),IF(HD$1=INDEX('Valo FX'!$R:$R,MATCH($A14,'Valo FX'!$A:$A,0)),INDEX(Base!$V:$V,MATCH($A14,Base!$A:$A,0)),0)))</f>
        <v>0</v>
      </c>
      <c r="HE14" s="21">
        <f>IF(HE$1&lt;INDEX('Valo FX'!$Q:$Q,MATCH($A14,'Valo FX'!$A:$A,0)),0,IF(HE$1&lt;INDEX('Valo FX'!$R:$R,MATCH($A14,'Valo FX'!$A:$A,0)),INDEX(Base!$U:$U,MATCH($A14,Base!$A:$A,0)),IF(HE$1=INDEX('Valo FX'!$R:$R,MATCH($A14,'Valo FX'!$A:$A,0)),INDEX(Base!$V:$V,MATCH($A14,Base!$A:$A,0)),0)))</f>
        <v>0</v>
      </c>
      <c r="HF14" s="21">
        <f>IF(HF$1&lt;INDEX('Valo FX'!$Q:$Q,MATCH($A14,'Valo FX'!$A:$A,0)),0,IF(HF$1&lt;INDEX('Valo FX'!$R:$R,MATCH($A14,'Valo FX'!$A:$A,0)),INDEX(Base!$U:$U,MATCH($A14,Base!$A:$A,0)),IF(HF$1=INDEX('Valo FX'!$R:$R,MATCH($A14,'Valo FX'!$A:$A,0)),INDEX(Base!$V:$V,MATCH($A14,Base!$A:$A,0)),0)))</f>
        <v>0</v>
      </c>
      <c r="HG14" s="21">
        <f>IF(HG$1&lt;INDEX('Valo FX'!$Q:$Q,MATCH($A14,'Valo FX'!$A:$A,0)),0,IF(HG$1&lt;INDEX('Valo FX'!$R:$R,MATCH($A14,'Valo FX'!$A:$A,0)),INDEX(Base!$U:$U,MATCH($A14,Base!$A:$A,0)),IF(HG$1=INDEX('Valo FX'!$R:$R,MATCH($A14,'Valo FX'!$A:$A,0)),INDEX(Base!$V:$V,MATCH($A14,Base!$A:$A,0)),0)))</f>
        <v>0</v>
      </c>
      <c r="HH14" s="21">
        <f>IF(HH$1&lt;INDEX('Valo FX'!$Q:$Q,MATCH($A14,'Valo FX'!$A:$A,0)),0,IF(HH$1&lt;INDEX('Valo FX'!$R:$R,MATCH($A14,'Valo FX'!$A:$A,0)),INDEX(Base!$U:$U,MATCH($A14,Base!$A:$A,0)),IF(HH$1=INDEX('Valo FX'!$R:$R,MATCH($A14,'Valo FX'!$A:$A,0)),INDEX(Base!$V:$V,MATCH($A14,Base!$A:$A,0)),0)))</f>
        <v>0</v>
      </c>
      <c r="HI14" s="21">
        <f>IF(HI$1&lt;INDEX('Valo FX'!$Q:$Q,MATCH($A14,'Valo FX'!$A:$A,0)),0,IF(HI$1&lt;INDEX('Valo FX'!$R:$R,MATCH($A14,'Valo FX'!$A:$A,0)),INDEX(Base!$U:$U,MATCH($A14,Base!$A:$A,0)),IF(HI$1=INDEX('Valo FX'!$R:$R,MATCH($A14,'Valo FX'!$A:$A,0)),INDEX(Base!$V:$V,MATCH($A14,Base!$A:$A,0)),0)))</f>
        <v>0</v>
      </c>
      <c r="HJ14" s="21">
        <f>IF(HJ$1&lt;INDEX('Valo FX'!$Q:$Q,MATCH($A14,'Valo FX'!$A:$A,0)),0,IF(HJ$1&lt;INDEX('Valo FX'!$R:$R,MATCH($A14,'Valo FX'!$A:$A,0)),INDEX(Base!$U:$U,MATCH($A14,Base!$A:$A,0)),IF(HJ$1=INDEX('Valo FX'!$R:$R,MATCH($A14,'Valo FX'!$A:$A,0)),INDEX(Base!$V:$V,MATCH($A14,Base!$A:$A,0)),0)))</f>
        <v>0</v>
      </c>
      <c r="HK14" s="21">
        <f>IF(HK$1&lt;INDEX('Valo FX'!$Q:$Q,MATCH($A14,'Valo FX'!$A:$A,0)),0,IF(HK$1&lt;INDEX('Valo FX'!$R:$R,MATCH($A14,'Valo FX'!$A:$A,0)),INDEX(Base!$U:$U,MATCH($A14,Base!$A:$A,0)),IF(HK$1=INDEX('Valo FX'!$R:$R,MATCH($A14,'Valo FX'!$A:$A,0)),INDEX(Base!$V:$V,MATCH($A14,Base!$A:$A,0)),0)))</f>
        <v>0</v>
      </c>
      <c r="HL14" s="21">
        <f>IF(HL$1&lt;INDEX('Valo FX'!$Q:$Q,MATCH($A14,'Valo FX'!$A:$A,0)),0,IF(HL$1&lt;INDEX('Valo FX'!$R:$R,MATCH($A14,'Valo FX'!$A:$A,0)),INDEX(Base!$U:$U,MATCH($A14,Base!$A:$A,0)),IF(HL$1=INDEX('Valo FX'!$R:$R,MATCH($A14,'Valo FX'!$A:$A,0)),INDEX(Base!$V:$V,MATCH($A14,Base!$A:$A,0)),0)))</f>
        <v>0</v>
      </c>
      <c r="HM14" s="21">
        <f>IF(HM$1&lt;INDEX('Valo FX'!$Q:$Q,MATCH($A14,'Valo FX'!$A:$A,0)),0,IF(HM$1&lt;INDEX('Valo FX'!$R:$R,MATCH($A14,'Valo FX'!$A:$A,0)),INDEX(Base!$U:$U,MATCH($A14,Base!$A:$A,0)),IF(HM$1=INDEX('Valo FX'!$R:$R,MATCH($A14,'Valo FX'!$A:$A,0)),INDEX(Base!$V:$V,MATCH($A14,Base!$A:$A,0)),0)))</f>
        <v>0</v>
      </c>
      <c r="HN14" s="21">
        <f>IF(HN$1&lt;INDEX('Valo FX'!$Q:$Q,MATCH($A14,'Valo FX'!$A:$A,0)),0,IF(HN$1&lt;INDEX('Valo FX'!$R:$R,MATCH($A14,'Valo FX'!$A:$A,0)),INDEX(Base!$U:$U,MATCH($A14,Base!$A:$A,0)),IF(HN$1=INDEX('Valo FX'!$R:$R,MATCH($A14,'Valo FX'!$A:$A,0)),INDEX(Base!$V:$V,MATCH($A14,Base!$A:$A,0)),0)))</f>
        <v>0</v>
      </c>
      <c r="HO14" s="21">
        <f>IF(HO$1&lt;INDEX('Valo FX'!$Q:$Q,MATCH($A14,'Valo FX'!$A:$A,0)),0,IF(HO$1&lt;INDEX('Valo FX'!$R:$R,MATCH($A14,'Valo FX'!$A:$A,0)),INDEX(Base!$U:$U,MATCH($A14,Base!$A:$A,0)),IF(HO$1=INDEX('Valo FX'!$R:$R,MATCH($A14,'Valo FX'!$A:$A,0)),INDEX(Base!$V:$V,MATCH($A14,Base!$A:$A,0)),0)))</f>
        <v>0</v>
      </c>
      <c r="HP14" s="21">
        <f>IF(HP$1&lt;INDEX('Valo FX'!$Q:$Q,MATCH($A14,'Valo FX'!$A:$A,0)),0,IF(HP$1&lt;INDEX('Valo FX'!$R:$R,MATCH($A14,'Valo FX'!$A:$A,0)),INDEX(Base!$U:$U,MATCH($A14,Base!$A:$A,0)),IF(HP$1=INDEX('Valo FX'!$R:$R,MATCH($A14,'Valo FX'!$A:$A,0)),INDEX(Base!$V:$V,MATCH($A14,Base!$A:$A,0)),0)))</f>
        <v>0</v>
      </c>
      <c r="HQ14" s="21">
        <f>IF(HQ$1&lt;INDEX('Valo FX'!$Q:$Q,MATCH($A14,'Valo FX'!$A:$A,0)),0,IF(HQ$1&lt;INDEX('Valo FX'!$R:$R,MATCH($A14,'Valo FX'!$A:$A,0)),INDEX(Base!$U:$U,MATCH($A14,Base!$A:$A,0)),IF(HQ$1=INDEX('Valo FX'!$R:$R,MATCH($A14,'Valo FX'!$A:$A,0)),INDEX(Base!$V:$V,MATCH($A14,Base!$A:$A,0)),0)))</f>
        <v>0</v>
      </c>
      <c r="HR14" s="21">
        <f>IF(HR$1&lt;INDEX('Valo FX'!$Q:$Q,MATCH($A14,'Valo FX'!$A:$A,0)),0,IF(HR$1&lt;INDEX('Valo FX'!$R:$R,MATCH($A14,'Valo FX'!$A:$A,0)),INDEX(Base!$U:$U,MATCH($A14,Base!$A:$A,0)),IF(HR$1=INDEX('Valo FX'!$R:$R,MATCH($A14,'Valo FX'!$A:$A,0)),INDEX(Base!$V:$V,MATCH($A14,Base!$A:$A,0)),0)))</f>
        <v>0</v>
      </c>
      <c r="HS14" s="21">
        <f>IF(HS$1&lt;INDEX('Valo FX'!$Q:$Q,MATCH($A14,'Valo FX'!$A:$A,0)),0,IF(HS$1&lt;INDEX('Valo FX'!$R:$R,MATCH($A14,'Valo FX'!$A:$A,0)),INDEX(Base!$U:$U,MATCH($A14,Base!$A:$A,0)),IF(HS$1=INDEX('Valo FX'!$R:$R,MATCH($A14,'Valo FX'!$A:$A,0)),INDEX(Base!$V:$V,MATCH($A14,Base!$A:$A,0)),0)))</f>
        <v>0</v>
      </c>
      <c r="HT14" s="21">
        <f>IF(HT$1&lt;INDEX('Valo FX'!$Q:$Q,MATCH($A14,'Valo FX'!$A:$A,0)),0,IF(HT$1&lt;INDEX('Valo FX'!$R:$R,MATCH($A14,'Valo FX'!$A:$A,0)),INDEX(Base!$U:$U,MATCH($A14,Base!$A:$A,0)),IF(HT$1=INDEX('Valo FX'!$R:$R,MATCH($A14,'Valo FX'!$A:$A,0)),INDEX(Base!$V:$V,MATCH($A14,Base!$A:$A,0)),0)))</f>
        <v>0</v>
      </c>
      <c r="HU14" s="21">
        <f>IF(HU$1&lt;INDEX('Valo FX'!$Q:$Q,MATCH($A14,'Valo FX'!$A:$A,0)),0,IF(HU$1&lt;INDEX('Valo FX'!$R:$R,MATCH($A14,'Valo FX'!$A:$A,0)),INDEX(Base!$U:$U,MATCH($A14,Base!$A:$A,0)),IF(HU$1=INDEX('Valo FX'!$R:$R,MATCH($A14,'Valo FX'!$A:$A,0)),INDEX(Base!$V:$V,MATCH($A14,Base!$A:$A,0)),0)))</f>
        <v>0</v>
      </c>
      <c r="HV14" s="21">
        <f>IF(HV$1&lt;INDEX('Valo FX'!$Q:$Q,MATCH($A14,'Valo FX'!$A:$A,0)),0,IF(HV$1&lt;INDEX('Valo FX'!$R:$R,MATCH($A14,'Valo FX'!$A:$A,0)),INDEX(Base!$U:$U,MATCH($A14,Base!$A:$A,0)),IF(HV$1=INDEX('Valo FX'!$R:$R,MATCH($A14,'Valo FX'!$A:$A,0)),INDEX(Base!$V:$V,MATCH($A14,Base!$A:$A,0)),0)))</f>
        <v>0</v>
      </c>
      <c r="HW14" s="21">
        <f>IF(HW$1&lt;INDEX('Valo FX'!$Q:$Q,MATCH($A14,'Valo FX'!$A:$A,0)),0,IF(HW$1&lt;INDEX('Valo FX'!$R:$R,MATCH($A14,'Valo FX'!$A:$A,0)),INDEX(Base!$U:$U,MATCH($A14,Base!$A:$A,0)),IF(HW$1=INDEX('Valo FX'!$R:$R,MATCH($A14,'Valo FX'!$A:$A,0)),INDEX(Base!$V:$V,MATCH($A14,Base!$A:$A,0)),0)))</f>
        <v>0</v>
      </c>
      <c r="HX14" s="21">
        <f>IF(HX$1&lt;INDEX('Valo FX'!$Q:$Q,MATCH($A14,'Valo FX'!$A:$A,0)),0,IF(HX$1&lt;INDEX('Valo FX'!$R:$R,MATCH($A14,'Valo FX'!$A:$A,0)),INDEX(Base!$U:$U,MATCH($A14,Base!$A:$A,0)),IF(HX$1=INDEX('Valo FX'!$R:$R,MATCH($A14,'Valo FX'!$A:$A,0)),INDEX(Base!$V:$V,MATCH($A14,Base!$A:$A,0)),0)))</f>
        <v>0</v>
      </c>
      <c r="HY14" s="21">
        <f>IF(HY$1&lt;INDEX('Valo FX'!$Q:$Q,MATCH($A14,'Valo FX'!$A:$A,0)),0,IF(HY$1&lt;INDEX('Valo FX'!$R:$R,MATCH($A14,'Valo FX'!$A:$A,0)),INDEX(Base!$U:$U,MATCH($A14,Base!$A:$A,0)),IF(HY$1=INDEX('Valo FX'!$R:$R,MATCH($A14,'Valo FX'!$A:$A,0)),INDEX(Base!$V:$V,MATCH($A14,Base!$A:$A,0)),0)))</f>
        <v>0</v>
      </c>
      <c r="HZ14" s="21">
        <f>IF(HZ$1&lt;INDEX('Valo FX'!$Q:$Q,MATCH($A14,'Valo FX'!$A:$A,0)),0,IF(HZ$1&lt;INDEX('Valo FX'!$R:$R,MATCH($A14,'Valo FX'!$A:$A,0)),INDEX(Base!$U:$U,MATCH($A14,Base!$A:$A,0)),IF(HZ$1=INDEX('Valo FX'!$R:$R,MATCH($A14,'Valo FX'!$A:$A,0)),INDEX(Base!$V:$V,MATCH($A14,Base!$A:$A,0)),0)))</f>
        <v>0</v>
      </c>
      <c r="IA14" s="21">
        <f>IF(IA$1&lt;INDEX('Valo FX'!$Q:$Q,MATCH($A14,'Valo FX'!$A:$A,0)),0,IF(IA$1&lt;INDEX('Valo FX'!$R:$R,MATCH($A14,'Valo FX'!$A:$A,0)),INDEX(Base!$U:$U,MATCH($A14,Base!$A:$A,0)),IF(IA$1=INDEX('Valo FX'!$R:$R,MATCH($A14,'Valo FX'!$A:$A,0)),INDEX(Base!$V:$V,MATCH($A14,Base!$A:$A,0)),0)))</f>
        <v>0</v>
      </c>
      <c r="IB14" s="21">
        <f>IF(IB$1&lt;INDEX('Valo FX'!$Q:$Q,MATCH($A14,'Valo FX'!$A:$A,0)),0,IF(IB$1&lt;INDEX('Valo FX'!$R:$R,MATCH($A14,'Valo FX'!$A:$A,0)),INDEX(Base!$U:$U,MATCH($A14,Base!$A:$A,0)),IF(IB$1=INDEX('Valo FX'!$R:$R,MATCH($A14,'Valo FX'!$A:$A,0)),INDEX(Base!$V:$V,MATCH($A14,Base!$A:$A,0)),0)))</f>
        <v>0</v>
      </c>
      <c r="IC14" s="21">
        <f>IF(IC$1&lt;INDEX('Valo FX'!$Q:$Q,MATCH($A14,'Valo FX'!$A:$A,0)),0,IF(IC$1&lt;INDEX('Valo FX'!$R:$R,MATCH($A14,'Valo FX'!$A:$A,0)),INDEX(Base!$U:$U,MATCH($A14,Base!$A:$A,0)),IF(IC$1=INDEX('Valo FX'!$R:$R,MATCH($A14,'Valo FX'!$A:$A,0)),INDEX(Base!$V:$V,MATCH($A14,Base!$A:$A,0)),0)))</f>
        <v>0</v>
      </c>
      <c r="ID14" s="21">
        <f>IF(ID$1&lt;INDEX('Valo FX'!$Q:$Q,MATCH($A14,'Valo FX'!$A:$A,0)),0,IF(ID$1&lt;INDEX('Valo FX'!$R:$R,MATCH($A14,'Valo FX'!$A:$A,0)),INDEX(Base!$U:$U,MATCH($A14,Base!$A:$A,0)),IF(ID$1=INDEX('Valo FX'!$R:$R,MATCH($A14,'Valo FX'!$A:$A,0)),INDEX(Base!$V:$V,MATCH($A14,Base!$A:$A,0)),0)))</f>
        <v>0</v>
      </c>
      <c r="IE14" s="21">
        <f>IF(IE$1&lt;INDEX('Valo FX'!$Q:$Q,MATCH($A14,'Valo FX'!$A:$A,0)),0,IF(IE$1&lt;INDEX('Valo FX'!$R:$R,MATCH($A14,'Valo FX'!$A:$A,0)),INDEX(Base!$U:$U,MATCH($A14,Base!$A:$A,0)),IF(IE$1=INDEX('Valo FX'!$R:$R,MATCH($A14,'Valo FX'!$A:$A,0)),INDEX(Base!$V:$V,MATCH($A14,Base!$A:$A,0)),0)))</f>
        <v>0</v>
      </c>
      <c r="IF14" s="21">
        <f>IF(IF$1&lt;INDEX('Valo FX'!$Q:$Q,MATCH($A14,'Valo FX'!$A:$A,0)),0,IF(IF$1&lt;INDEX('Valo FX'!$R:$R,MATCH($A14,'Valo FX'!$A:$A,0)),INDEX(Base!$U:$U,MATCH($A14,Base!$A:$A,0)),IF(IF$1=INDEX('Valo FX'!$R:$R,MATCH($A14,'Valo FX'!$A:$A,0)),INDEX(Base!$V:$V,MATCH($A14,Base!$A:$A,0)),0)))</f>
        <v>0</v>
      </c>
      <c r="IG14" s="21">
        <f>IF(IG$1&lt;INDEX('Valo FX'!$Q:$Q,MATCH($A14,'Valo FX'!$A:$A,0)),0,IF(IG$1&lt;INDEX('Valo FX'!$R:$R,MATCH($A14,'Valo FX'!$A:$A,0)),INDEX(Base!$U:$U,MATCH($A14,Base!$A:$A,0)),IF(IG$1=INDEX('Valo FX'!$R:$R,MATCH($A14,'Valo FX'!$A:$A,0)),INDEX(Base!$V:$V,MATCH($A14,Base!$A:$A,0)),0)))</f>
        <v>0</v>
      </c>
      <c r="IH14" s="21">
        <f>IF(IH$1&lt;INDEX('Valo FX'!$Q:$Q,MATCH($A14,'Valo FX'!$A:$A,0)),0,IF(IH$1&lt;INDEX('Valo FX'!$R:$R,MATCH($A14,'Valo FX'!$A:$A,0)),INDEX(Base!$U:$U,MATCH($A14,Base!$A:$A,0)),IF(IH$1=INDEX('Valo FX'!$R:$R,MATCH($A14,'Valo FX'!$A:$A,0)),INDEX(Base!$V:$V,MATCH($A14,Base!$A:$A,0)),0)))</f>
        <v>0</v>
      </c>
      <c r="II14" s="21">
        <f>IF(II$1&lt;INDEX('Valo FX'!$Q:$Q,MATCH($A14,'Valo FX'!$A:$A,0)),0,IF(II$1&lt;INDEX('Valo FX'!$R:$R,MATCH($A14,'Valo FX'!$A:$A,0)),INDEX(Base!$U:$U,MATCH($A14,Base!$A:$A,0)),IF(II$1=INDEX('Valo FX'!$R:$R,MATCH($A14,'Valo FX'!$A:$A,0)),INDEX(Base!$V:$V,MATCH($A14,Base!$A:$A,0)),0)))</f>
        <v>0</v>
      </c>
      <c r="IJ14" s="21">
        <f>IF(IJ$1&lt;INDEX('Valo FX'!$Q:$Q,MATCH($A14,'Valo FX'!$A:$A,0)),0,IF(IJ$1&lt;INDEX('Valo FX'!$R:$R,MATCH($A14,'Valo FX'!$A:$A,0)),INDEX(Base!$U:$U,MATCH($A14,Base!$A:$A,0)),IF(IJ$1=INDEX('Valo FX'!$R:$R,MATCH($A14,'Valo FX'!$A:$A,0)),INDEX(Base!$V:$V,MATCH($A14,Base!$A:$A,0)),0)))</f>
        <v>0</v>
      </c>
      <c r="IK14" s="21">
        <f>IF(IK$1&lt;INDEX('Valo FX'!$Q:$Q,MATCH($A14,'Valo FX'!$A:$A,0)),0,IF(IK$1&lt;INDEX('Valo FX'!$R:$R,MATCH($A14,'Valo FX'!$A:$A,0)),INDEX(Base!$U:$U,MATCH($A14,Base!$A:$A,0)),IF(IK$1=INDEX('Valo FX'!$R:$R,MATCH($A14,'Valo FX'!$A:$A,0)),INDEX(Base!$V:$V,MATCH($A14,Base!$A:$A,0)),0)))</f>
        <v>0</v>
      </c>
      <c r="IL14" s="21">
        <f>IF(IL$1&lt;INDEX('Valo FX'!$Q:$Q,MATCH($A14,'Valo FX'!$A:$A,0)),0,IF(IL$1&lt;INDEX('Valo FX'!$R:$R,MATCH($A14,'Valo FX'!$A:$A,0)),INDEX(Base!$U:$U,MATCH($A14,Base!$A:$A,0)),IF(IL$1=INDEX('Valo FX'!$R:$R,MATCH($A14,'Valo FX'!$A:$A,0)),INDEX(Base!$V:$V,MATCH($A14,Base!$A:$A,0)),0)))</f>
        <v>0</v>
      </c>
      <c r="IM14" s="21">
        <f>IF(IM$1&lt;INDEX('Valo FX'!$Q:$Q,MATCH($A14,'Valo FX'!$A:$A,0)),0,IF(IM$1&lt;INDEX('Valo FX'!$R:$R,MATCH($A14,'Valo FX'!$A:$A,0)),INDEX(Base!$U:$U,MATCH($A14,Base!$A:$A,0)),IF(IM$1=INDEX('Valo FX'!$R:$R,MATCH($A14,'Valo FX'!$A:$A,0)),INDEX(Base!$V:$V,MATCH($A14,Base!$A:$A,0)),0)))</f>
        <v>0</v>
      </c>
      <c r="IN14" s="21">
        <f>IF(IN$1&lt;INDEX('Valo FX'!$Q:$Q,MATCH($A14,'Valo FX'!$A:$A,0)),0,IF(IN$1&lt;INDEX('Valo FX'!$R:$R,MATCH($A14,'Valo FX'!$A:$A,0)),INDEX(Base!$U:$U,MATCH($A14,Base!$A:$A,0)),IF(IN$1=INDEX('Valo FX'!$R:$R,MATCH($A14,'Valo FX'!$A:$A,0)),INDEX(Base!$V:$V,MATCH($A14,Base!$A:$A,0)),0)))</f>
        <v>0</v>
      </c>
      <c r="IO14" s="21">
        <f>IF(IO$1&lt;INDEX('Valo FX'!$Q:$Q,MATCH($A14,'Valo FX'!$A:$A,0)),0,IF(IO$1&lt;INDEX('Valo FX'!$R:$R,MATCH($A14,'Valo FX'!$A:$A,0)),INDEX(Base!$U:$U,MATCH($A14,Base!$A:$A,0)),IF(IO$1=INDEX('Valo FX'!$R:$R,MATCH($A14,'Valo FX'!$A:$A,0)),INDEX(Base!$V:$V,MATCH($A14,Base!$A:$A,0)),0)))</f>
        <v>0</v>
      </c>
      <c r="IP14" s="21">
        <f>IF(IP$1&lt;INDEX('Valo FX'!$Q:$Q,MATCH($A14,'Valo FX'!$A:$A,0)),0,IF(IP$1&lt;INDEX('Valo FX'!$R:$R,MATCH($A14,'Valo FX'!$A:$A,0)),INDEX(Base!$U:$U,MATCH($A14,Base!$A:$A,0)),IF(IP$1=INDEX('Valo FX'!$R:$R,MATCH($A14,'Valo FX'!$A:$A,0)),INDEX(Base!$V:$V,MATCH($A14,Base!$A:$A,0)),0)))</f>
        <v>0</v>
      </c>
      <c r="IQ14" s="21">
        <f>IF(IQ$1&lt;INDEX('Valo FX'!$Q:$Q,MATCH($A14,'Valo FX'!$A:$A,0)),0,IF(IQ$1&lt;INDEX('Valo FX'!$R:$R,MATCH($A14,'Valo FX'!$A:$A,0)),INDEX(Base!$U:$U,MATCH($A14,Base!$A:$A,0)),IF(IQ$1=INDEX('Valo FX'!$R:$R,MATCH($A14,'Valo FX'!$A:$A,0)),INDEX(Base!$V:$V,MATCH($A14,Base!$A:$A,0)),0)))</f>
        <v>0</v>
      </c>
      <c r="IR14" s="21">
        <f>IF(IR$1&lt;INDEX('Valo FX'!$Q:$Q,MATCH($A14,'Valo FX'!$A:$A,0)),0,IF(IR$1&lt;INDEX('Valo FX'!$R:$R,MATCH($A14,'Valo FX'!$A:$A,0)),INDEX(Base!$U:$U,MATCH($A14,Base!$A:$A,0)),IF(IR$1=INDEX('Valo FX'!$R:$R,MATCH($A14,'Valo FX'!$A:$A,0)),INDEX(Base!$V:$V,MATCH($A14,Base!$A:$A,0)),0)))</f>
        <v>0</v>
      </c>
      <c r="IS14" s="21">
        <f>IF(IS$1&lt;INDEX('Valo FX'!$Q:$Q,MATCH($A14,'Valo FX'!$A:$A,0)),0,IF(IS$1&lt;INDEX('Valo FX'!$R:$R,MATCH($A14,'Valo FX'!$A:$A,0)),INDEX(Base!$U:$U,MATCH($A14,Base!$A:$A,0)),IF(IS$1=INDEX('Valo FX'!$R:$R,MATCH($A14,'Valo FX'!$A:$A,0)),INDEX(Base!$V:$V,MATCH($A14,Base!$A:$A,0)),0)))</f>
        <v>0</v>
      </c>
      <c r="IT14" s="21">
        <f>IF(IT$1&lt;INDEX('Valo FX'!$Q:$Q,MATCH($A14,'Valo FX'!$A:$A,0)),0,IF(IT$1&lt;INDEX('Valo FX'!$R:$R,MATCH($A14,'Valo FX'!$A:$A,0)),INDEX(Base!$U:$U,MATCH($A14,Base!$A:$A,0)),IF(IT$1=INDEX('Valo FX'!$R:$R,MATCH($A14,'Valo FX'!$A:$A,0)),INDEX(Base!$V:$V,MATCH($A14,Base!$A:$A,0)),0)))</f>
        <v>0</v>
      </c>
      <c r="IU14" s="21">
        <f>IF(IU$1&lt;INDEX('Valo FX'!$Q:$Q,MATCH($A14,'Valo FX'!$A:$A,0)),0,IF(IU$1&lt;INDEX('Valo FX'!$R:$R,MATCH($A14,'Valo FX'!$A:$A,0)),INDEX(Base!$U:$U,MATCH($A14,Base!$A:$A,0)),IF(IU$1=INDEX('Valo FX'!$R:$R,MATCH($A14,'Valo FX'!$A:$A,0)),INDEX(Base!$V:$V,MATCH($A14,Base!$A:$A,0)),0)))</f>
        <v>0</v>
      </c>
      <c r="IV14" s="21">
        <f>IF(IV$1&lt;INDEX('Valo FX'!$Q:$Q,MATCH($A14,'Valo FX'!$A:$A,0)),0,IF(IV$1&lt;INDEX('Valo FX'!$R:$R,MATCH($A14,'Valo FX'!$A:$A,0)),INDEX(Base!$U:$U,MATCH($A14,Base!$A:$A,0)),IF(IV$1=INDEX('Valo FX'!$R:$R,MATCH($A14,'Valo FX'!$A:$A,0)),INDEX(Base!$V:$V,MATCH($A14,Base!$A:$A,0)),0)))</f>
        <v>0</v>
      </c>
      <c r="IW14" s="21">
        <f>IF(IW$1&lt;INDEX('Valo FX'!$Q:$Q,MATCH($A14,'Valo FX'!$A:$A,0)),0,IF(IW$1&lt;INDEX('Valo FX'!$R:$R,MATCH($A14,'Valo FX'!$A:$A,0)),INDEX(Base!$U:$U,MATCH($A14,Base!$A:$A,0)),IF(IW$1=INDEX('Valo FX'!$R:$R,MATCH($A14,'Valo FX'!$A:$A,0)),INDEX(Base!$V:$V,MATCH($A14,Base!$A:$A,0)),0)))</f>
        <v>0</v>
      </c>
      <c r="IX14" s="21">
        <f>IF(IX$1&lt;INDEX('Valo FX'!$Q:$Q,MATCH($A14,'Valo FX'!$A:$A,0)),0,IF(IX$1&lt;INDEX('Valo FX'!$R:$R,MATCH($A14,'Valo FX'!$A:$A,0)),INDEX(Base!$U:$U,MATCH($A14,Base!$A:$A,0)),IF(IX$1=INDEX('Valo FX'!$R:$R,MATCH($A14,'Valo FX'!$A:$A,0)),INDEX(Base!$V:$V,MATCH($A14,Base!$A:$A,0)),0)))</f>
        <v>0</v>
      </c>
      <c r="IY14" s="21">
        <f>IF(IY$1&lt;INDEX('Valo FX'!$Q:$Q,MATCH($A14,'Valo FX'!$A:$A,0)),0,IF(IY$1&lt;INDEX('Valo FX'!$R:$R,MATCH($A14,'Valo FX'!$A:$A,0)),INDEX(Base!$U:$U,MATCH($A14,Base!$A:$A,0)),IF(IY$1=INDEX('Valo FX'!$R:$R,MATCH($A14,'Valo FX'!$A:$A,0)),INDEX(Base!$V:$V,MATCH($A14,Base!$A:$A,0)),0)))</f>
        <v>0</v>
      </c>
      <c r="IZ14" s="21">
        <f>IF(IZ$1&lt;INDEX('Valo FX'!$Q:$Q,MATCH($A14,'Valo FX'!$A:$A,0)),0,IF(IZ$1&lt;INDEX('Valo FX'!$R:$R,MATCH($A14,'Valo FX'!$A:$A,0)),INDEX(Base!$U:$U,MATCH($A14,Base!$A:$A,0)),IF(IZ$1=INDEX('Valo FX'!$R:$R,MATCH($A14,'Valo FX'!$A:$A,0)),INDEX(Base!$V:$V,MATCH($A14,Base!$A:$A,0)),0)))</f>
        <v>0</v>
      </c>
      <c r="JA14" s="21">
        <f>IF(JA$1&lt;INDEX('Valo FX'!$Q:$Q,MATCH($A14,'Valo FX'!$A:$A,0)),0,IF(JA$1&lt;INDEX('Valo FX'!$R:$R,MATCH($A14,'Valo FX'!$A:$A,0)),INDEX(Base!$U:$U,MATCH($A14,Base!$A:$A,0)),IF(JA$1=INDEX('Valo FX'!$R:$R,MATCH($A14,'Valo FX'!$A:$A,0)),INDEX(Base!$V:$V,MATCH($A14,Base!$A:$A,0)),0)))</f>
        <v>0</v>
      </c>
      <c r="JB14" s="21">
        <f>IF(JB$1&lt;INDEX('Valo FX'!$Q:$Q,MATCH($A14,'Valo FX'!$A:$A,0)),0,IF(JB$1&lt;INDEX('Valo FX'!$R:$R,MATCH($A14,'Valo FX'!$A:$A,0)),INDEX(Base!$U:$U,MATCH($A14,Base!$A:$A,0)),IF(JB$1=INDEX('Valo FX'!$R:$R,MATCH($A14,'Valo FX'!$A:$A,0)),INDEX(Base!$V:$V,MATCH($A14,Base!$A:$A,0)),0)))</f>
        <v>0</v>
      </c>
      <c r="JC14" s="21">
        <f>IF(JC$1&lt;INDEX('Valo FX'!$Q:$Q,MATCH($A14,'Valo FX'!$A:$A,0)),0,IF(JC$1&lt;INDEX('Valo FX'!$R:$R,MATCH($A14,'Valo FX'!$A:$A,0)),INDEX(Base!$U:$U,MATCH($A14,Base!$A:$A,0)),IF(JC$1=INDEX('Valo FX'!$R:$R,MATCH($A14,'Valo FX'!$A:$A,0)),INDEX(Base!$V:$V,MATCH($A14,Base!$A:$A,0)),0)))</f>
        <v>0</v>
      </c>
      <c r="JD14" s="21">
        <f>IF(JD$1&lt;INDEX('Valo FX'!$Q:$Q,MATCH($A14,'Valo FX'!$A:$A,0)),0,IF(JD$1&lt;INDEX('Valo FX'!$R:$R,MATCH($A14,'Valo FX'!$A:$A,0)),INDEX(Base!$U:$U,MATCH($A14,Base!$A:$A,0)),IF(JD$1=INDEX('Valo FX'!$R:$R,MATCH($A14,'Valo FX'!$A:$A,0)),INDEX(Base!$V:$V,MATCH($A14,Base!$A:$A,0)),0)))</f>
        <v>0</v>
      </c>
      <c r="JE14" s="21">
        <f>IF(JE$1&lt;INDEX('Valo FX'!$Q:$Q,MATCH($A14,'Valo FX'!$A:$A,0)),0,IF(JE$1&lt;INDEX('Valo FX'!$R:$R,MATCH($A14,'Valo FX'!$A:$A,0)),INDEX(Base!$U:$U,MATCH($A14,Base!$A:$A,0)),IF(JE$1=INDEX('Valo FX'!$R:$R,MATCH($A14,'Valo FX'!$A:$A,0)),INDEX(Base!$V:$V,MATCH($A14,Base!$A:$A,0)),0)))</f>
        <v>0</v>
      </c>
      <c r="JF14" s="21">
        <f>IF(JF$1&lt;INDEX('Valo FX'!$Q:$Q,MATCH($A14,'Valo FX'!$A:$A,0)),0,IF(JF$1&lt;INDEX('Valo FX'!$R:$R,MATCH($A14,'Valo FX'!$A:$A,0)),INDEX(Base!$U:$U,MATCH($A14,Base!$A:$A,0)),IF(JF$1=INDEX('Valo FX'!$R:$R,MATCH($A14,'Valo FX'!$A:$A,0)),INDEX(Base!$V:$V,MATCH($A14,Base!$A:$A,0)),0)))</f>
        <v>0</v>
      </c>
      <c r="JG14" s="21">
        <f>IF(JG$1&lt;INDEX('Valo FX'!$Q:$Q,MATCH($A14,'Valo FX'!$A:$A,0)),0,IF(JG$1&lt;INDEX('Valo FX'!$R:$R,MATCH($A14,'Valo FX'!$A:$A,0)),INDEX(Base!$U:$U,MATCH($A14,Base!$A:$A,0)),IF(JG$1=INDEX('Valo FX'!$R:$R,MATCH($A14,'Valo FX'!$A:$A,0)),INDEX(Base!$V:$V,MATCH($A14,Base!$A:$A,0)),0)))</f>
        <v>0</v>
      </c>
      <c r="JH14" s="21">
        <f>IF(JH$1&lt;INDEX('Valo FX'!$Q:$Q,MATCH($A14,'Valo FX'!$A:$A,0)),0,IF(JH$1&lt;INDEX('Valo FX'!$R:$R,MATCH($A14,'Valo FX'!$A:$A,0)),INDEX(Base!$U:$U,MATCH($A14,Base!$A:$A,0)),IF(JH$1=INDEX('Valo FX'!$R:$R,MATCH($A14,'Valo FX'!$A:$A,0)),INDEX(Base!$V:$V,MATCH($A14,Base!$A:$A,0)),0)))</f>
        <v>0</v>
      </c>
      <c r="JI14" s="21">
        <f>IF(JI$1&lt;INDEX('Valo FX'!$Q:$Q,MATCH($A14,'Valo FX'!$A:$A,0)),0,IF(JI$1&lt;INDEX('Valo FX'!$R:$R,MATCH($A14,'Valo FX'!$A:$A,0)),INDEX(Base!$U:$U,MATCH($A14,Base!$A:$A,0)),IF(JI$1=INDEX('Valo FX'!$R:$R,MATCH($A14,'Valo FX'!$A:$A,0)),INDEX(Base!$V:$V,MATCH($A14,Base!$A:$A,0)),0)))</f>
        <v>0</v>
      </c>
      <c r="JJ14" s="21">
        <f>IF(JJ$1&lt;INDEX('Valo FX'!$Q:$Q,MATCH($A14,'Valo FX'!$A:$A,0)),0,IF(JJ$1&lt;INDEX('Valo FX'!$R:$R,MATCH($A14,'Valo FX'!$A:$A,0)),INDEX(Base!$U:$U,MATCH($A14,Base!$A:$A,0)),IF(JJ$1=INDEX('Valo FX'!$R:$R,MATCH($A14,'Valo FX'!$A:$A,0)),INDEX(Base!$V:$V,MATCH($A14,Base!$A:$A,0)),0)))</f>
        <v>0</v>
      </c>
      <c r="JK14" s="21">
        <f>IF(JK$1&lt;INDEX('Valo FX'!$Q:$Q,MATCH($A14,'Valo FX'!$A:$A,0)),0,IF(JK$1&lt;INDEX('Valo FX'!$R:$R,MATCH($A14,'Valo FX'!$A:$A,0)),INDEX(Base!$U:$U,MATCH($A14,Base!$A:$A,0)),IF(JK$1=INDEX('Valo FX'!$R:$R,MATCH($A14,'Valo FX'!$A:$A,0)),INDEX(Base!$V:$V,MATCH($A14,Base!$A:$A,0)),0)))</f>
        <v>0</v>
      </c>
      <c r="JL14" s="21">
        <f>IF(JL$1&lt;INDEX('Valo FX'!$Q:$Q,MATCH($A14,'Valo FX'!$A:$A,0)),0,IF(JL$1&lt;INDEX('Valo FX'!$R:$R,MATCH($A14,'Valo FX'!$A:$A,0)),INDEX(Base!$U:$U,MATCH($A14,Base!$A:$A,0)),IF(JL$1=INDEX('Valo FX'!$R:$R,MATCH($A14,'Valo FX'!$A:$A,0)),INDEX(Base!$V:$V,MATCH($A14,Base!$A:$A,0)),0)))</f>
        <v>0</v>
      </c>
      <c r="JM14" s="21">
        <f>IF(JM$1&lt;INDEX('Valo FX'!$Q:$Q,MATCH($A14,'Valo FX'!$A:$A,0)),0,IF(JM$1&lt;INDEX('Valo FX'!$R:$R,MATCH($A14,'Valo FX'!$A:$A,0)),INDEX(Base!$U:$U,MATCH($A14,Base!$A:$A,0)),IF(JM$1=INDEX('Valo FX'!$R:$R,MATCH($A14,'Valo FX'!$A:$A,0)),INDEX(Base!$V:$V,MATCH($A14,Base!$A:$A,0)),0)))</f>
        <v>0</v>
      </c>
      <c r="JN14" s="21">
        <f>IF(JN$1&lt;INDEX('Valo FX'!$Q:$Q,MATCH($A14,'Valo FX'!$A:$A,0)),0,IF(JN$1&lt;INDEX('Valo FX'!$R:$R,MATCH($A14,'Valo FX'!$A:$A,0)),INDEX(Base!$U:$U,MATCH($A14,Base!$A:$A,0)),IF(JN$1=INDEX('Valo FX'!$R:$R,MATCH($A14,'Valo FX'!$A:$A,0)),INDEX(Base!$V:$V,MATCH($A14,Base!$A:$A,0)),0)))</f>
        <v>0</v>
      </c>
      <c r="JO14" s="21">
        <f>IF(JO$1&lt;INDEX('Valo FX'!$Q:$Q,MATCH($A14,'Valo FX'!$A:$A,0)),0,IF(JO$1&lt;INDEX('Valo FX'!$R:$R,MATCH($A14,'Valo FX'!$A:$A,0)),INDEX(Base!$U:$U,MATCH($A14,Base!$A:$A,0)),IF(JO$1=INDEX('Valo FX'!$R:$R,MATCH($A14,'Valo FX'!$A:$A,0)),INDEX(Base!$V:$V,MATCH($A14,Base!$A:$A,0)),0)))</f>
        <v>0</v>
      </c>
      <c r="JP14" s="21">
        <f>IF(JP$1&lt;INDEX('Valo FX'!$Q:$Q,MATCH($A14,'Valo FX'!$A:$A,0)),0,IF(JP$1&lt;INDEX('Valo FX'!$R:$R,MATCH($A14,'Valo FX'!$A:$A,0)),INDEX(Base!$U:$U,MATCH($A14,Base!$A:$A,0)),IF(JP$1=INDEX('Valo FX'!$R:$R,MATCH($A14,'Valo FX'!$A:$A,0)),INDEX(Base!$V:$V,MATCH($A14,Base!$A:$A,0)),0)))</f>
        <v>0</v>
      </c>
      <c r="JQ14" s="21">
        <f>IF(JQ$1&lt;INDEX('Valo FX'!$Q:$Q,MATCH($A14,'Valo FX'!$A:$A,0)),0,IF(JQ$1&lt;INDEX('Valo FX'!$R:$R,MATCH($A14,'Valo FX'!$A:$A,0)),INDEX(Base!$U:$U,MATCH($A14,Base!$A:$A,0)),IF(JQ$1=INDEX('Valo FX'!$R:$R,MATCH($A14,'Valo FX'!$A:$A,0)),INDEX(Base!$V:$V,MATCH($A14,Base!$A:$A,0)),0)))</f>
        <v>0</v>
      </c>
      <c r="JR14" s="21">
        <f>IF(JR$1&lt;INDEX('Valo FX'!$Q:$Q,MATCH($A14,'Valo FX'!$A:$A,0)),0,IF(JR$1&lt;INDEX('Valo FX'!$R:$R,MATCH($A14,'Valo FX'!$A:$A,0)),INDEX(Base!$U:$U,MATCH($A14,Base!$A:$A,0)),IF(JR$1=INDEX('Valo FX'!$R:$R,MATCH($A14,'Valo FX'!$A:$A,0)),INDEX(Base!$V:$V,MATCH($A14,Base!$A:$A,0)),0)))</f>
        <v>0</v>
      </c>
      <c r="JS14" s="21">
        <f>IF(JS$1&lt;INDEX('Valo FX'!$Q:$Q,MATCH($A14,'Valo FX'!$A:$A,0)),0,IF(JS$1&lt;INDEX('Valo FX'!$R:$R,MATCH($A14,'Valo FX'!$A:$A,0)),INDEX(Base!$U:$U,MATCH($A14,Base!$A:$A,0)),IF(JS$1=INDEX('Valo FX'!$R:$R,MATCH($A14,'Valo FX'!$A:$A,0)),INDEX(Base!$V:$V,MATCH($A14,Base!$A:$A,0)),0)))</f>
        <v>0</v>
      </c>
      <c r="JT14" s="21">
        <f>IF(JT$1&lt;INDEX('Valo FX'!$Q:$Q,MATCH($A14,'Valo FX'!$A:$A,0)),0,IF(JT$1&lt;INDEX('Valo FX'!$R:$R,MATCH($A14,'Valo FX'!$A:$A,0)),INDEX(Base!$U:$U,MATCH($A14,Base!$A:$A,0)),IF(JT$1=INDEX('Valo FX'!$R:$R,MATCH($A14,'Valo FX'!$A:$A,0)),INDEX(Base!$V:$V,MATCH($A14,Base!$A:$A,0)),0)))</f>
        <v>0</v>
      </c>
      <c r="JU14" s="21">
        <f>IF(JU$1&lt;INDEX('Valo FX'!$Q:$Q,MATCH($A14,'Valo FX'!$A:$A,0)),0,IF(JU$1&lt;INDEX('Valo FX'!$R:$R,MATCH($A14,'Valo FX'!$A:$A,0)),INDEX(Base!$U:$U,MATCH($A14,Base!$A:$A,0)),IF(JU$1=INDEX('Valo FX'!$R:$R,MATCH($A14,'Valo FX'!$A:$A,0)),INDEX(Base!$V:$V,MATCH($A14,Base!$A:$A,0)),0)))</f>
        <v>0</v>
      </c>
      <c r="JV14" s="21">
        <f>IF(JV$1&lt;INDEX('Valo FX'!$Q:$Q,MATCH($A14,'Valo FX'!$A:$A,0)),0,IF(JV$1&lt;INDEX('Valo FX'!$R:$R,MATCH($A14,'Valo FX'!$A:$A,0)),INDEX(Base!$U:$U,MATCH($A14,Base!$A:$A,0)),IF(JV$1=INDEX('Valo FX'!$R:$R,MATCH($A14,'Valo FX'!$A:$A,0)),INDEX(Base!$V:$V,MATCH($A14,Base!$A:$A,0)),0)))</f>
        <v>0</v>
      </c>
      <c r="JW14" s="21">
        <f>IF(JW$1&lt;INDEX('Valo FX'!$Q:$Q,MATCH($A14,'Valo FX'!$A:$A,0)),0,IF(JW$1&lt;INDEX('Valo FX'!$R:$R,MATCH($A14,'Valo FX'!$A:$A,0)),INDEX(Base!$U:$U,MATCH($A14,Base!$A:$A,0)),IF(JW$1=INDEX('Valo FX'!$R:$R,MATCH($A14,'Valo FX'!$A:$A,0)),INDEX(Base!$V:$V,MATCH($A14,Base!$A:$A,0)),0)))</f>
        <v>0</v>
      </c>
      <c r="JX14" s="21">
        <f>IF(JX$1&lt;INDEX('Valo FX'!$Q:$Q,MATCH($A14,'Valo FX'!$A:$A,0)),0,IF(JX$1&lt;INDEX('Valo FX'!$R:$R,MATCH($A14,'Valo FX'!$A:$A,0)),INDEX(Base!$U:$U,MATCH($A14,Base!$A:$A,0)),IF(JX$1=INDEX('Valo FX'!$R:$R,MATCH($A14,'Valo FX'!$A:$A,0)),INDEX(Base!$V:$V,MATCH($A14,Base!$A:$A,0)),0)))</f>
        <v>0</v>
      </c>
      <c r="JY14" s="21">
        <f>IF(JY$1&lt;INDEX('Valo FX'!$Q:$Q,MATCH($A14,'Valo FX'!$A:$A,0)),0,IF(JY$1&lt;INDEX('Valo FX'!$R:$R,MATCH($A14,'Valo FX'!$A:$A,0)),INDEX(Base!$U:$U,MATCH($A14,Base!$A:$A,0)),IF(JY$1=INDEX('Valo FX'!$R:$R,MATCH($A14,'Valo FX'!$A:$A,0)),INDEX(Base!$V:$V,MATCH($A14,Base!$A:$A,0)),0)))</f>
        <v>0</v>
      </c>
      <c r="JZ14" s="21">
        <f>IF(JZ$1&lt;INDEX('Valo FX'!$Q:$Q,MATCH($A14,'Valo FX'!$A:$A,0)),0,IF(JZ$1&lt;INDEX('Valo FX'!$R:$R,MATCH($A14,'Valo FX'!$A:$A,0)),INDEX(Base!$U:$U,MATCH($A14,Base!$A:$A,0)),IF(JZ$1=INDEX('Valo FX'!$R:$R,MATCH($A14,'Valo FX'!$A:$A,0)),INDEX(Base!$V:$V,MATCH($A14,Base!$A:$A,0)),0)))</f>
        <v>0</v>
      </c>
      <c r="KA14" s="21">
        <f>IF(KA$1&lt;INDEX('Valo FX'!$Q:$Q,MATCH($A14,'Valo FX'!$A:$A,0)),0,IF(KA$1&lt;INDEX('Valo FX'!$R:$R,MATCH($A14,'Valo FX'!$A:$A,0)),INDEX(Base!$U:$U,MATCH($A14,Base!$A:$A,0)),IF(KA$1=INDEX('Valo FX'!$R:$R,MATCH($A14,'Valo FX'!$A:$A,0)),INDEX(Base!$V:$V,MATCH($A14,Base!$A:$A,0)),0)))</f>
        <v>0</v>
      </c>
      <c r="KB14" s="21">
        <f>IF(KB$1&lt;INDEX('Valo FX'!$Q:$Q,MATCH($A14,'Valo FX'!$A:$A,0)),0,IF(KB$1&lt;INDEX('Valo FX'!$R:$R,MATCH($A14,'Valo FX'!$A:$A,0)),INDEX(Base!$U:$U,MATCH($A14,Base!$A:$A,0)),IF(KB$1=INDEX('Valo FX'!$R:$R,MATCH($A14,'Valo FX'!$A:$A,0)),INDEX(Base!$V:$V,MATCH($A14,Base!$A:$A,0)),0)))</f>
        <v>0</v>
      </c>
      <c r="KC14" s="21">
        <f>IF(KC$1&lt;INDEX('Valo FX'!$Q:$Q,MATCH($A14,'Valo FX'!$A:$A,0)),0,IF(KC$1&lt;INDEX('Valo FX'!$R:$R,MATCH($A14,'Valo FX'!$A:$A,0)),INDEX(Base!$U:$U,MATCH($A14,Base!$A:$A,0)),IF(KC$1=INDEX('Valo FX'!$R:$R,MATCH($A14,'Valo FX'!$A:$A,0)),INDEX(Base!$V:$V,MATCH($A14,Base!$A:$A,0)),0)))</f>
        <v>0</v>
      </c>
      <c r="KD14" s="21">
        <f>IF(KD$1&lt;INDEX('Valo FX'!$Q:$Q,MATCH($A14,'Valo FX'!$A:$A,0)),0,IF(KD$1&lt;INDEX('Valo FX'!$R:$R,MATCH($A14,'Valo FX'!$A:$A,0)),INDEX(Base!$U:$U,MATCH($A14,Base!$A:$A,0)),IF(KD$1=INDEX('Valo FX'!$R:$R,MATCH($A14,'Valo FX'!$A:$A,0)),INDEX(Base!$V:$V,MATCH($A14,Base!$A:$A,0)),0)))</f>
        <v>0</v>
      </c>
      <c r="KE14" s="21">
        <f>IF(KE$1&lt;INDEX('Valo FX'!$Q:$Q,MATCH($A14,'Valo FX'!$A:$A,0)),0,IF(KE$1&lt;INDEX('Valo FX'!$R:$R,MATCH($A14,'Valo FX'!$A:$A,0)),INDEX(Base!$U:$U,MATCH($A14,Base!$A:$A,0)),IF(KE$1=INDEX('Valo FX'!$R:$R,MATCH($A14,'Valo FX'!$A:$A,0)),INDEX(Base!$V:$V,MATCH($A14,Base!$A:$A,0)),0)))</f>
        <v>0</v>
      </c>
      <c r="KF14" s="21">
        <f>IF(KF$1&lt;INDEX('Valo FX'!$Q:$Q,MATCH($A14,'Valo FX'!$A:$A,0)),0,IF(KF$1&lt;INDEX('Valo FX'!$R:$R,MATCH($A14,'Valo FX'!$A:$A,0)),INDEX(Base!$U:$U,MATCH($A14,Base!$A:$A,0)),IF(KF$1=INDEX('Valo FX'!$R:$R,MATCH($A14,'Valo FX'!$A:$A,0)),INDEX(Base!$V:$V,MATCH($A14,Base!$A:$A,0)),0)))</f>
        <v>0</v>
      </c>
      <c r="KG14" s="21">
        <f>IF(KG$1&lt;INDEX('Valo FX'!$Q:$Q,MATCH($A14,'Valo FX'!$A:$A,0)),0,IF(KG$1&lt;INDEX('Valo FX'!$R:$R,MATCH($A14,'Valo FX'!$A:$A,0)),INDEX(Base!$U:$U,MATCH($A14,Base!$A:$A,0)),IF(KG$1=INDEX('Valo FX'!$R:$R,MATCH($A14,'Valo FX'!$A:$A,0)),INDEX(Base!$V:$V,MATCH($A14,Base!$A:$A,0)),0)))</f>
        <v>0</v>
      </c>
      <c r="KH14" s="21">
        <f>IF(KH$1&lt;INDEX('Valo FX'!$Q:$Q,MATCH($A14,'Valo FX'!$A:$A,0)),0,IF(KH$1&lt;INDEX('Valo FX'!$R:$R,MATCH($A14,'Valo FX'!$A:$A,0)),INDEX(Base!$U:$U,MATCH($A14,Base!$A:$A,0)),IF(KH$1=INDEX('Valo FX'!$R:$R,MATCH($A14,'Valo FX'!$A:$A,0)),INDEX(Base!$V:$V,MATCH($A14,Base!$A:$A,0)),0)))</f>
        <v>0</v>
      </c>
      <c r="KI14" s="21">
        <f>IF(KI$1&lt;INDEX('Valo FX'!$Q:$Q,MATCH($A14,'Valo FX'!$A:$A,0)),0,IF(KI$1&lt;INDEX('Valo FX'!$R:$R,MATCH($A14,'Valo FX'!$A:$A,0)),INDEX(Base!$U:$U,MATCH($A14,Base!$A:$A,0)),IF(KI$1=INDEX('Valo FX'!$R:$R,MATCH($A14,'Valo FX'!$A:$A,0)),INDEX(Base!$V:$V,MATCH($A14,Base!$A:$A,0)),0)))</f>
        <v>0</v>
      </c>
      <c r="KJ14" s="21">
        <f>IF(KJ$1&lt;INDEX('Valo FX'!$Q:$Q,MATCH($A14,'Valo FX'!$A:$A,0)),0,IF(KJ$1&lt;INDEX('Valo FX'!$R:$R,MATCH($A14,'Valo FX'!$A:$A,0)),INDEX(Base!$U:$U,MATCH($A14,Base!$A:$A,0)),IF(KJ$1=INDEX('Valo FX'!$R:$R,MATCH($A14,'Valo FX'!$A:$A,0)),INDEX(Base!$V:$V,MATCH($A14,Base!$A:$A,0)),0)))</f>
        <v>0</v>
      </c>
      <c r="KK14" s="21">
        <f>IF(KK$1&lt;INDEX('Valo FX'!$Q:$Q,MATCH($A14,'Valo FX'!$A:$A,0)),0,IF(KK$1&lt;INDEX('Valo FX'!$R:$R,MATCH($A14,'Valo FX'!$A:$A,0)),INDEX(Base!$U:$U,MATCH($A14,Base!$A:$A,0)),IF(KK$1=INDEX('Valo FX'!$R:$R,MATCH($A14,'Valo FX'!$A:$A,0)),INDEX(Base!$V:$V,MATCH($A14,Base!$A:$A,0)),0)))</f>
        <v>0</v>
      </c>
      <c r="KL14" s="21">
        <f>IF(KL$1&lt;INDEX('Valo FX'!$Q:$Q,MATCH($A14,'Valo FX'!$A:$A,0)),0,IF(KL$1&lt;INDEX('Valo FX'!$R:$R,MATCH($A14,'Valo FX'!$A:$A,0)),INDEX(Base!$U:$U,MATCH($A14,Base!$A:$A,0)),IF(KL$1=INDEX('Valo FX'!$R:$R,MATCH($A14,'Valo FX'!$A:$A,0)),INDEX(Base!$V:$V,MATCH($A14,Base!$A:$A,0)),0)))</f>
        <v>0</v>
      </c>
      <c r="KM14" s="21">
        <f>IF(KM$1&lt;INDEX('Valo FX'!$Q:$Q,MATCH($A14,'Valo FX'!$A:$A,0)),0,IF(KM$1&lt;INDEX('Valo FX'!$R:$R,MATCH($A14,'Valo FX'!$A:$A,0)),INDEX(Base!$U:$U,MATCH($A14,Base!$A:$A,0)),IF(KM$1=INDEX('Valo FX'!$R:$R,MATCH($A14,'Valo FX'!$A:$A,0)),INDEX(Base!$V:$V,MATCH($A14,Base!$A:$A,0)),0)))</f>
        <v>0</v>
      </c>
      <c r="KN14" s="21">
        <f>IF(KN$1&lt;INDEX('Valo FX'!$Q:$Q,MATCH($A14,'Valo FX'!$A:$A,0)),0,IF(KN$1&lt;INDEX('Valo FX'!$R:$R,MATCH($A14,'Valo FX'!$A:$A,0)),INDEX(Base!$U:$U,MATCH($A14,Base!$A:$A,0)),IF(KN$1=INDEX('Valo FX'!$R:$R,MATCH($A14,'Valo FX'!$A:$A,0)),INDEX(Base!$V:$V,MATCH($A14,Base!$A:$A,0)),0)))</f>
        <v>0</v>
      </c>
      <c r="KO14" s="21">
        <f>IF(KO$1&lt;INDEX('Valo FX'!$Q:$Q,MATCH($A14,'Valo FX'!$A:$A,0)),0,IF(KO$1&lt;INDEX('Valo FX'!$R:$R,MATCH($A14,'Valo FX'!$A:$A,0)),INDEX(Base!$U:$U,MATCH($A14,Base!$A:$A,0)),IF(KO$1=INDEX('Valo FX'!$R:$R,MATCH($A14,'Valo FX'!$A:$A,0)),INDEX(Base!$V:$V,MATCH($A14,Base!$A:$A,0)),0)))</f>
        <v>0</v>
      </c>
      <c r="KP14" s="21">
        <f>IF(KP$1&lt;INDEX('Valo FX'!$Q:$Q,MATCH($A14,'Valo FX'!$A:$A,0)),0,IF(KP$1&lt;INDEX('Valo FX'!$R:$R,MATCH($A14,'Valo FX'!$A:$A,0)),INDEX(Base!$U:$U,MATCH($A14,Base!$A:$A,0)),IF(KP$1=INDEX('Valo FX'!$R:$R,MATCH($A14,'Valo FX'!$A:$A,0)),INDEX(Base!$V:$V,MATCH($A14,Base!$A:$A,0)),0)))</f>
        <v>0</v>
      </c>
      <c r="KQ14" s="21">
        <f>IF(KQ$1&lt;INDEX('Valo FX'!$Q:$Q,MATCH($A14,'Valo FX'!$A:$A,0)),0,IF(KQ$1&lt;INDEX('Valo FX'!$R:$R,MATCH($A14,'Valo FX'!$A:$A,0)),INDEX(Base!$U:$U,MATCH($A14,Base!$A:$A,0)),IF(KQ$1=INDEX('Valo FX'!$R:$R,MATCH($A14,'Valo FX'!$A:$A,0)),INDEX(Base!$V:$V,MATCH($A14,Base!$A:$A,0)),0)))</f>
        <v>0</v>
      </c>
      <c r="KR14" s="21">
        <f>IF(KR$1&lt;INDEX('Valo FX'!$Q:$Q,MATCH($A14,'Valo FX'!$A:$A,0)),0,IF(KR$1&lt;INDEX('Valo FX'!$R:$R,MATCH($A14,'Valo FX'!$A:$A,0)),INDEX(Base!$U:$U,MATCH($A14,Base!$A:$A,0)),IF(KR$1=INDEX('Valo FX'!$R:$R,MATCH($A14,'Valo FX'!$A:$A,0)),INDEX(Base!$V:$V,MATCH($A14,Base!$A:$A,0)),0)))</f>
        <v>0</v>
      </c>
      <c r="KS14" s="21">
        <f>IF(KS$1&lt;INDEX('Valo FX'!$Q:$Q,MATCH($A14,'Valo FX'!$A:$A,0)),0,IF(KS$1&lt;INDEX('Valo FX'!$R:$R,MATCH($A14,'Valo FX'!$A:$A,0)),INDEX(Base!$U:$U,MATCH($A14,Base!$A:$A,0)),IF(KS$1=INDEX('Valo FX'!$R:$R,MATCH($A14,'Valo FX'!$A:$A,0)),INDEX(Base!$V:$V,MATCH($A14,Base!$A:$A,0)),0)))</f>
        <v>0</v>
      </c>
      <c r="KT14" s="21">
        <f>IF(KT$1&lt;INDEX('Valo FX'!$Q:$Q,MATCH($A14,'Valo FX'!$A:$A,0)),0,IF(KT$1&lt;INDEX('Valo FX'!$R:$R,MATCH($A14,'Valo FX'!$A:$A,0)),INDEX(Base!$U:$U,MATCH($A14,Base!$A:$A,0)),IF(KT$1=INDEX('Valo FX'!$R:$R,MATCH($A14,'Valo FX'!$A:$A,0)),INDEX(Base!$V:$V,MATCH($A14,Base!$A:$A,0)),0)))</f>
        <v>0</v>
      </c>
      <c r="KU14" s="21">
        <f>IF(KU$1&lt;INDEX('Valo FX'!$Q:$Q,MATCH($A14,'Valo FX'!$A:$A,0)),0,IF(KU$1&lt;INDEX('Valo FX'!$R:$R,MATCH($A14,'Valo FX'!$A:$A,0)),INDEX(Base!$U:$U,MATCH($A14,Base!$A:$A,0)),IF(KU$1=INDEX('Valo FX'!$R:$R,MATCH($A14,'Valo FX'!$A:$A,0)),INDEX(Base!$V:$V,MATCH($A14,Base!$A:$A,0)),0)))</f>
        <v>0</v>
      </c>
      <c r="KV14" s="21">
        <f>IF(KV$1&lt;INDEX('Valo FX'!$Q:$Q,MATCH($A14,'Valo FX'!$A:$A,0)),0,IF(KV$1&lt;INDEX('Valo FX'!$R:$R,MATCH($A14,'Valo FX'!$A:$A,0)),INDEX(Base!$U:$U,MATCH($A14,Base!$A:$A,0)),IF(KV$1=INDEX('Valo FX'!$R:$R,MATCH($A14,'Valo FX'!$A:$A,0)),INDEX(Base!$V:$V,MATCH($A14,Base!$A:$A,0)),0)))</f>
        <v>0</v>
      </c>
      <c r="KW14" s="21">
        <f>IF(KW$1&lt;INDEX('Valo FX'!$Q:$Q,MATCH($A14,'Valo FX'!$A:$A,0)),0,IF(KW$1&lt;INDEX('Valo FX'!$R:$R,MATCH($A14,'Valo FX'!$A:$A,0)),INDEX(Base!$U:$U,MATCH($A14,Base!$A:$A,0)),IF(KW$1=INDEX('Valo FX'!$R:$R,MATCH($A14,'Valo FX'!$A:$A,0)),INDEX(Base!$V:$V,MATCH($A14,Base!$A:$A,0)),0)))</f>
        <v>0</v>
      </c>
      <c r="KX14" s="21">
        <f>IF(KX$1&lt;INDEX('Valo FX'!$Q:$Q,MATCH($A14,'Valo FX'!$A:$A,0)),0,IF(KX$1&lt;INDEX('Valo FX'!$R:$R,MATCH($A14,'Valo FX'!$A:$A,0)),INDEX(Base!$U:$U,MATCH($A14,Base!$A:$A,0)),IF(KX$1=INDEX('Valo FX'!$R:$R,MATCH($A14,'Valo FX'!$A:$A,0)),INDEX(Base!$V:$V,MATCH($A14,Base!$A:$A,0)),0)))</f>
        <v>0</v>
      </c>
      <c r="KY14" s="21">
        <f>IF(KY$1&lt;INDEX('Valo FX'!$Q:$Q,MATCH($A14,'Valo FX'!$A:$A,0)),0,IF(KY$1&lt;INDEX('Valo FX'!$R:$R,MATCH($A14,'Valo FX'!$A:$A,0)),INDEX(Base!$U:$U,MATCH($A14,Base!$A:$A,0)),IF(KY$1=INDEX('Valo FX'!$R:$R,MATCH($A14,'Valo FX'!$A:$A,0)),INDEX(Base!$V:$V,MATCH($A14,Base!$A:$A,0)),0)))</f>
        <v>0</v>
      </c>
      <c r="KZ14" s="21">
        <f>IF(KZ$1&lt;INDEX('Valo FX'!$Q:$Q,MATCH($A14,'Valo FX'!$A:$A,0)),0,IF(KZ$1&lt;INDEX('Valo FX'!$R:$R,MATCH($A14,'Valo FX'!$A:$A,0)),INDEX(Base!$U:$U,MATCH($A14,Base!$A:$A,0)),IF(KZ$1=INDEX('Valo FX'!$R:$R,MATCH($A14,'Valo FX'!$A:$A,0)),INDEX(Base!$V:$V,MATCH($A14,Base!$A:$A,0)),0)))</f>
        <v>0</v>
      </c>
      <c r="LA14" s="21">
        <f>IF(LA$1&lt;INDEX('Valo FX'!$Q:$Q,MATCH($A14,'Valo FX'!$A:$A,0)),0,IF(LA$1&lt;INDEX('Valo FX'!$R:$R,MATCH($A14,'Valo FX'!$A:$A,0)),INDEX(Base!$U:$U,MATCH($A14,Base!$A:$A,0)),IF(LA$1=INDEX('Valo FX'!$R:$R,MATCH($A14,'Valo FX'!$A:$A,0)),INDEX(Base!$V:$V,MATCH($A14,Base!$A:$A,0)),0)))</f>
        <v>0</v>
      </c>
      <c r="LB14" s="21">
        <f>IF(LB$1&lt;INDEX('Valo FX'!$Q:$Q,MATCH($A14,'Valo FX'!$A:$A,0)),0,IF(LB$1&lt;INDEX('Valo FX'!$R:$R,MATCH($A14,'Valo FX'!$A:$A,0)),INDEX(Base!$U:$U,MATCH($A14,Base!$A:$A,0)),IF(LB$1=INDEX('Valo FX'!$R:$R,MATCH($A14,'Valo FX'!$A:$A,0)),INDEX(Base!$V:$V,MATCH($A14,Base!$A:$A,0)),0)))</f>
        <v>0</v>
      </c>
      <c r="LC14" s="21">
        <f>IF(LC$1&lt;INDEX('Valo FX'!$Q:$Q,MATCH($A14,'Valo FX'!$A:$A,0)),0,IF(LC$1&lt;INDEX('Valo FX'!$R:$R,MATCH($A14,'Valo FX'!$A:$A,0)),INDEX(Base!$U:$U,MATCH($A14,Base!$A:$A,0)),IF(LC$1=INDEX('Valo FX'!$R:$R,MATCH($A14,'Valo FX'!$A:$A,0)),INDEX(Base!$V:$V,MATCH($A14,Base!$A:$A,0)),0)))</f>
        <v>0</v>
      </c>
      <c r="LD14" s="21">
        <f>IF(LD$1&lt;INDEX('Valo FX'!$Q:$Q,MATCH($A14,'Valo FX'!$A:$A,0)),0,IF(LD$1&lt;INDEX('Valo FX'!$R:$R,MATCH($A14,'Valo FX'!$A:$A,0)),INDEX(Base!$U:$U,MATCH($A14,Base!$A:$A,0)),IF(LD$1=INDEX('Valo FX'!$R:$R,MATCH($A14,'Valo FX'!$A:$A,0)),INDEX(Base!$V:$V,MATCH($A14,Base!$A:$A,0)),0)))</f>
        <v>0</v>
      </c>
      <c r="LE14" s="21">
        <f>IF(LE$1&lt;INDEX('Valo FX'!$Q:$Q,MATCH($A14,'Valo FX'!$A:$A,0)),0,IF(LE$1&lt;INDEX('Valo FX'!$R:$R,MATCH($A14,'Valo FX'!$A:$A,0)),INDEX(Base!$U:$U,MATCH($A14,Base!$A:$A,0)),IF(LE$1=INDEX('Valo FX'!$R:$R,MATCH($A14,'Valo FX'!$A:$A,0)),INDEX(Base!$V:$V,MATCH($A14,Base!$A:$A,0)),0)))</f>
        <v>0</v>
      </c>
      <c r="LF14" s="21">
        <f>IF(LF$1&lt;INDEX('Valo FX'!$Q:$Q,MATCH($A14,'Valo FX'!$A:$A,0)),0,IF(LF$1&lt;INDEX('Valo FX'!$R:$R,MATCH($A14,'Valo FX'!$A:$A,0)),INDEX(Base!$U:$U,MATCH($A14,Base!$A:$A,0)),IF(LF$1=INDEX('Valo FX'!$R:$R,MATCH($A14,'Valo FX'!$A:$A,0)),INDEX(Base!$V:$V,MATCH($A14,Base!$A:$A,0)),0)))</f>
        <v>0</v>
      </c>
      <c r="LG14" s="21">
        <f>IF(LG$1&lt;INDEX('Valo FX'!$Q:$Q,MATCH($A14,'Valo FX'!$A:$A,0)),0,IF(LG$1&lt;INDEX('Valo FX'!$R:$R,MATCH($A14,'Valo FX'!$A:$A,0)),INDEX(Base!$U:$U,MATCH($A14,Base!$A:$A,0)),IF(LG$1=INDEX('Valo FX'!$R:$R,MATCH($A14,'Valo FX'!$A:$A,0)),INDEX(Base!$V:$V,MATCH($A14,Base!$A:$A,0)),0)))</f>
        <v>0</v>
      </c>
      <c r="LH14" s="21">
        <f>IF(LH$1&lt;INDEX('Valo FX'!$Q:$Q,MATCH($A14,'Valo FX'!$A:$A,0)),0,IF(LH$1&lt;INDEX('Valo FX'!$R:$R,MATCH($A14,'Valo FX'!$A:$A,0)),INDEX(Base!$U:$U,MATCH($A14,Base!$A:$A,0)),IF(LH$1=INDEX('Valo FX'!$R:$R,MATCH($A14,'Valo FX'!$A:$A,0)),INDEX(Base!$V:$V,MATCH($A14,Base!$A:$A,0)),0)))</f>
        <v>0</v>
      </c>
      <c r="LI14" s="21">
        <f>IF(LI$1&lt;INDEX('Valo FX'!$Q:$Q,MATCH($A14,'Valo FX'!$A:$A,0)),0,IF(LI$1&lt;INDEX('Valo FX'!$R:$R,MATCH($A14,'Valo FX'!$A:$A,0)),INDEX(Base!$U:$U,MATCH($A14,Base!$A:$A,0)),IF(LI$1=INDEX('Valo FX'!$R:$R,MATCH($A14,'Valo FX'!$A:$A,0)),INDEX(Base!$V:$V,MATCH($A14,Base!$A:$A,0)),0)))</f>
        <v>0</v>
      </c>
      <c r="LJ14" s="21">
        <f>IF(LJ$1&lt;INDEX('Valo FX'!$Q:$Q,MATCH($A14,'Valo FX'!$A:$A,0)),0,IF(LJ$1&lt;INDEX('Valo FX'!$R:$R,MATCH($A14,'Valo FX'!$A:$A,0)),INDEX(Base!$U:$U,MATCH($A14,Base!$A:$A,0)),IF(LJ$1=INDEX('Valo FX'!$R:$R,MATCH($A14,'Valo FX'!$A:$A,0)),INDEX(Base!$V:$V,MATCH($A14,Base!$A:$A,0)),0)))</f>
        <v>0</v>
      </c>
      <c r="LK14" s="21">
        <f>IF(LK$1&lt;INDEX('Valo FX'!$Q:$Q,MATCH($A14,'Valo FX'!$A:$A,0)),0,IF(LK$1&lt;INDEX('Valo FX'!$R:$R,MATCH($A14,'Valo FX'!$A:$A,0)),INDEX(Base!$U:$U,MATCH($A14,Base!$A:$A,0)),IF(LK$1=INDEX('Valo FX'!$R:$R,MATCH($A14,'Valo FX'!$A:$A,0)),INDEX(Base!$V:$V,MATCH($A14,Base!$A:$A,0)),0)))</f>
        <v>0</v>
      </c>
      <c r="LL14" s="21">
        <f>IF(LL$1&lt;INDEX('Valo FX'!$Q:$Q,MATCH($A14,'Valo FX'!$A:$A,0)),0,IF(LL$1&lt;INDEX('Valo FX'!$R:$R,MATCH($A14,'Valo FX'!$A:$A,0)),INDEX(Base!$U:$U,MATCH($A14,Base!$A:$A,0)),IF(LL$1=INDEX('Valo FX'!$R:$R,MATCH($A14,'Valo FX'!$A:$A,0)),INDEX(Base!$V:$V,MATCH($A14,Base!$A:$A,0)),0)))</f>
        <v>0</v>
      </c>
      <c r="LM14" s="21">
        <f>IF(LM$1&lt;INDEX('Valo FX'!$Q:$Q,MATCH($A14,'Valo FX'!$A:$A,0)),0,IF(LM$1&lt;INDEX('Valo FX'!$R:$R,MATCH($A14,'Valo FX'!$A:$A,0)),INDEX(Base!$U:$U,MATCH($A14,Base!$A:$A,0)),IF(LM$1=INDEX('Valo FX'!$R:$R,MATCH($A14,'Valo FX'!$A:$A,0)),INDEX(Base!$V:$V,MATCH($A14,Base!$A:$A,0)),0)))</f>
        <v>0</v>
      </c>
      <c r="LN14" s="21">
        <f>IF(LN$1&lt;INDEX('Valo FX'!$Q:$Q,MATCH($A14,'Valo FX'!$A:$A,0)),0,IF(LN$1&lt;INDEX('Valo FX'!$R:$R,MATCH($A14,'Valo FX'!$A:$A,0)),INDEX(Base!$U:$U,MATCH($A14,Base!$A:$A,0)),IF(LN$1=INDEX('Valo FX'!$R:$R,MATCH($A14,'Valo FX'!$A:$A,0)),INDEX(Base!$V:$V,MATCH($A14,Base!$A:$A,0)),0)))</f>
        <v>0</v>
      </c>
      <c r="LO14" s="21">
        <f>IF(LO$1&lt;INDEX('Valo FX'!$Q:$Q,MATCH($A14,'Valo FX'!$A:$A,0)),0,IF(LO$1&lt;INDEX('Valo FX'!$R:$R,MATCH($A14,'Valo FX'!$A:$A,0)),INDEX(Base!$U:$U,MATCH($A14,Base!$A:$A,0)),IF(LO$1=INDEX('Valo FX'!$R:$R,MATCH($A14,'Valo FX'!$A:$A,0)),INDEX(Base!$V:$V,MATCH($A14,Base!$A:$A,0)),0)))</f>
        <v>0</v>
      </c>
      <c r="LP14" s="21">
        <f>IF(LP$1&lt;INDEX('Valo FX'!$Q:$Q,MATCH($A14,'Valo FX'!$A:$A,0)),0,IF(LP$1&lt;INDEX('Valo FX'!$R:$R,MATCH($A14,'Valo FX'!$A:$A,0)),INDEX(Base!$U:$U,MATCH($A14,Base!$A:$A,0)),IF(LP$1=INDEX('Valo FX'!$R:$R,MATCH($A14,'Valo FX'!$A:$A,0)),INDEX(Base!$V:$V,MATCH($A14,Base!$A:$A,0)),0)))</f>
        <v>0</v>
      </c>
      <c r="LQ14" s="21">
        <f>IF(LQ$1&lt;INDEX('Valo FX'!$Q:$Q,MATCH($A14,'Valo FX'!$A:$A,0)),0,IF(LQ$1&lt;INDEX('Valo FX'!$R:$R,MATCH($A14,'Valo FX'!$A:$A,0)),INDEX(Base!$U:$U,MATCH($A14,Base!$A:$A,0)),IF(LQ$1=INDEX('Valo FX'!$R:$R,MATCH($A14,'Valo FX'!$A:$A,0)),INDEX(Base!$V:$V,MATCH($A14,Base!$A:$A,0)),0)))</f>
        <v>0</v>
      </c>
      <c r="LR14" s="21">
        <f>IF(LR$1&lt;INDEX('Valo FX'!$Q:$Q,MATCH($A14,'Valo FX'!$A:$A,0)),0,IF(LR$1&lt;INDEX('Valo FX'!$R:$R,MATCH($A14,'Valo FX'!$A:$A,0)),INDEX(Base!$U:$U,MATCH($A14,Base!$A:$A,0)),IF(LR$1=INDEX('Valo FX'!$R:$R,MATCH($A14,'Valo FX'!$A:$A,0)),INDEX(Base!$V:$V,MATCH($A14,Base!$A:$A,0)),0)))</f>
        <v>0</v>
      </c>
      <c r="LS14" s="21">
        <f>IF(LS$1&lt;INDEX('Valo FX'!$Q:$Q,MATCH($A14,'Valo FX'!$A:$A,0)),0,IF(LS$1&lt;INDEX('Valo FX'!$R:$R,MATCH($A14,'Valo FX'!$A:$A,0)),INDEX(Base!$U:$U,MATCH($A14,Base!$A:$A,0)),IF(LS$1=INDEX('Valo FX'!$R:$R,MATCH($A14,'Valo FX'!$A:$A,0)),INDEX(Base!$V:$V,MATCH($A14,Base!$A:$A,0)),0)))</f>
        <v>0</v>
      </c>
      <c r="LT14" s="21">
        <f>IF(LT$1&lt;INDEX('Valo FX'!$Q:$Q,MATCH($A14,'Valo FX'!$A:$A,0)),0,IF(LT$1&lt;INDEX('Valo FX'!$R:$R,MATCH($A14,'Valo FX'!$A:$A,0)),INDEX(Base!$U:$U,MATCH($A14,Base!$A:$A,0)),IF(LT$1=INDEX('Valo FX'!$R:$R,MATCH($A14,'Valo FX'!$A:$A,0)),INDEX(Base!$V:$V,MATCH($A14,Base!$A:$A,0)),0)))</f>
        <v>0</v>
      </c>
      <c r="LU14" s="21">
        <f>IF(LU$1&lt;INDEX('Valo FX'!$Q:$Q,MATCH($A14,'Valo FX'!$A:$A,0)),0,IF(LU$1&lt;INDEX('Valo FX'!$R:$R,MATCH($A14,'Valo FX'!$A:$A,0)),INDEX(Base!$U:$U,MATCH($A14,Base!$A:$A,0)),IF(LU$1=INDEX('Valo FX'!$R:$R,MATCH($A14,'Valo FX'!$A:$A,0)),INDEX(Base!$V:$V,MATCH($A14,Base!$A:$A,0)),0)))</f>
        <v>0</v>
      </c>
      <c r="LV14" s="21">
        <f>IF(LV$1&lt;INDEX('Valo FX'!$Q:$Q,MATCH($A14,'Valo FX'!$A:$A,0)),0,IF(LV$1&lt;INDEX('Valo FX'!$R:$R,MATCH($A14,'Valo FX'!$A:$A,0)),INDEX(Base!$U:$U,MATCH($A14,Base!$A:$A,0)),IF(LV$1=INDEX('Valo FX'!$R:$R,MATCH($A14,'Valo FX'!$A:$A,0)),INDEX(Base!$V:$V,MATCH($A14,Base!$A:$A,0)),0)))</f>
        <v>0</v>
      </c>
      <c r="LW14" s="21">
        <f>IF(LW$1&lt;INDEX('Valo FX'!$Q:$Q,MATCH($A14,'Valo FX'!$A:$A,0)),0,IF(LW$1&lt;INDEX('Valo FX'!$R:$R,MATCH($A14,'Valo FX'!$A:$A,0)),INDEX(Base!$U:$U,MATCH($A14,Base!$A:$A,0)),IF(LW$1=INDEX('Valo FX'!$R:$R,MATCH($A14,'Valo FX'!$A:$A,0)),INDEX(Base!$V:$V,MATCH($A14,Base!$A:$A,0)),0)))</f>
        <v>0</v>
      </c>
      <c r="LX14" s="21">
        <f>IF(LX$1&lt;INDEX('Valo FX'!$Q:$Q,MATCH($A14,'Valo FX'!$A:$A,0)),0,IF(LX$1&lt;INDEX('Valo FX'!$R:$R,MATCH($A14,'Valo FX'!$A:$A,0)),INDEX(Base!$U:$U,MATCH($A14,Base!$A:$A,0)),IF(LX$1=INDEX('Valo FX'!$R:$R,MATCH($A14,'Valo FX'!$A:$A,0)),INDEX(Base!$V:$V,MATCH($A14,Base!$A:$A,0)),0)))</f>
        <v>0</v>
      </c>
      <c r="LY14" s="21">
        <f>IF(LY$1&lt;INDEX('Valo FX'!$Q:$Q,MATCH($A14,'Valo FX'!$A:$A,0)),0,IF(LY$1&lt;INDEX('Valo FX'!$R:$R,MATCH($A14,'Valo FX'!$A:$A,0)),INDEX(Base!$U:$U,MATCH($A14,Base!$A:$A,0)),IF(LY$1=INDEX('Valo FX'!$R:$R,MATCH($A14,'Valo FX'!$A:$A,0)),INDEX(Base!$V:$V,MATCH($A14,Base!$A:$A,0)),0)))</f>
        <v>0</v>
      </c>
      <c r="LZ14" s="21">
        <f>IF(LZ$1&lt;INDEX('Valo FX'!$Q:$Q,MATCH($A14,'Valo FX'!$A:$A,0)),0,IF(LZ$1&lt;INDEX('Valo FX'!$R:$R,MATCH($A14,'Valo FX'!$A:$A,0)),INDEX(Base!$U:$U,MATCH($A14,Base!$A:$A,0)),IF(LZ$1=INDEX('Valo FX'!$R:$R,MATCH($A14,'Valo FX'!$A:$A,0)),INDEX(Base!$V:$V,MATCH($A14,Base!$A:$A,0)),0)))</f>
        <v>0</v>
      </c>
      <c r="MA14" s="21">
        <f>IF(MA$1&lt;INDEX('Valo FX'!$Q:$Q,MATCH($A14,'Valo FX'!$A:$A,0)),0,IF(MA$1&lt;INDEX('Valo FX'!$R:$R,MATCH($A14,'Valo FX'!$A:$A,0)),INDEX(Base!$U:$U,MATCH($A14,Base!$A:$A,0)),IF(MA$1=INDEX('Valo FX'!$R:$R,MATCH($A14,'Valo FX'!$A:$A,0)),INDEX(Base!$V:$V,MATCH($A14,Base!$A:$A,0)),0)))</f>
        <v>0</v>
      </c>
      <c r="MB14" s="21">
        <f>IF(MB$1&lt;INDEX('Valo FX'!$Q:$Q,MATCH($A14,'Valo FX'!$A:$A,0)),0,IF(MB$1&lt;INDEX('Valo FX'!$R:$R,MATCH($A14,'Valo FX'!$A:$A,0)),INDEX(Base!$U:$U,MATCH($A14,Base!$A:$A,0)),IF(MB$1=INDEX('Valo FX'!$R:$R,MATCH($A14,'Valo FX'!$A:$A,0)),INDEX(Base!$V:$V,MATCH($A14,Base!$A:$A,0)),0)))</f>
        <v>0</v>
      </c>
      <c r="MC14" s="21">
        <f>IF(MC$1&lt;INDEX('Valo FX'!$Q:$Q,MATCH($A14,'Valo FX'!$A:$A,0)),0,IF(MC$1&lt;INDEX('Valo FX'!$R:$R,MATCH($A14,'Valo FX'!$A:$A,0)),INDEX(Base!$U:$U,MATCH($A14,Base!$A:$A,0)),IF(MC$1=INDEX('Valo FX'!$R:$R,MATCH($A14,'Valo FX'!$A:$A,0)),INDEX(Base!$V:$V,MATCH($A14,Base!$A:$A,0)),0)))</f>
        <v>0</v>
      </c>
      <c r="MD14" s="21">
        <f>IF(MD$1&lt;INDEX('Valo FX'!$Q:$Q,MATCH($A14,'Valo FX'!$A:$A,0)),0,IF(MD$1&lt;INDEX('Valo FX'!$R:$R,MATCH($A14,'Valo FX'!$A:$A,0)),INDEX(Base!$U:$U,MATCH($A14,Base!$A:$A,0)),IF(MD$1=INDEX('Valo FX'!$R:$R,MATCH($A14,'Valo FX'!$A:$A,0)),INDEX(Base!$V:$V,MATCH($A14,Base!$A:$A,0)),0)))</f>
        <v>0</v>
      </c>
      <c r="ME14" s="21">
        <f>IF(ME$1&lt;INDEX('Valo FX'!$Q:$Q,MATCH($A14,'Valo FX'!$A:$A,0)),0,IF(ME$1&lt;INDEX('Valo FX'!$R:$R,MATCH($A14,'Valo FX'!$A:$A,0)),INDEX(Base!$U:$U,MATCH($A14,Base!$A:$A,0)),IF(ME$1=INDEX('Valo FX'!$R:$R,MATCH($A14,'Valo FX'!$A:$A,0)),INDEX(Base!$V:$V,MATCH($A14,Base!$A:$A,0)),0)))</f>
        <v>0</v>
      </c>
      <c r="MF14" s="21">
        <f>IF(MF$1&lt;INDEX('Valo FX'!$Q:$Q,MATCH($A14,'Valo FX'!$A:$A,0)),0,IF(MF$1&lt;INDEX('Valo FX'!$R:$R,MATCH($A14,'Valo FX'!$A:$A,0)),INDEX(Base!$U:$U,MATCH($A14,Base!$A:$A,0)),IF(MF$1=INDEX('Valo FX'!$R:$R,MATCH($A14,'Valo FX'!$A:$A,0)),INDEX(Base!$V:$V,MATCH($A14,Base!$A:$A,0)),0)))</f>
        <v>0</v>
      </c>
      <c r="MG14" s="21">
        <f>IF(MG$1&lt;INDEX('Valo FX'!$Q:$Q,MATCH($A14,'Valo FX'!$A:$A,0)),0,IF(MG$1&lt;INDEX('Valo FX'!$R:$R,MATCH($A14,'Valo FX'!$A:$A,0)),INDEX(Base!$U:$U,MATCH($A14,Base!$A:$A,0)),IF(MG$1=INDEX('Valo FX'!$R:$R,MATCH($A14,'Valo FX'!$A:$A,0)),INDEX(Base!$V:$V,MATCH($A14,Base!$A:$A,0)),0)))</f>
        <v>0</v>
      </c>
      <c r="MH14" s="21">
        <f>IF(MH$1&lt;INDEX('Valo FX'!$Q:$Q,MATCH($A14,'Valo FX'!$A:$A,0)),0,IF(MH$1&lt;INDEX('Valo FX'!$R:$R,MATCH($A14,'Valo FX'!$A:$A,0)),INDEX(Base!$U:$U,MATCH($A14,Base!$A:$A,0)),IF(MH$1=INDEX('Valo FX'!$R:$R,MATCH($A14,'Valo FX'!$A:$A,0)),INDEX(Base!$V:$V,MATCH($A14,Base!$A:$A,0)),0)))</f>
        <v>0</v>
      </c>
      <c r="MI14" s="21">
        <f>IF(MI$1&lt;INDEX('Valo FX'!$Q:$Q,MATCH($A14,'Valo FX'!$A:$A,0)),0,IF(MI$1&lt;INDEX('Valo FX'!$R:$R,MATCH($A14,'Valo FX'!$A:$A,0)),INDEX(Base!$U:$U,MATCH($A14,Base!$A:$A,0)),IF(MI$1=INDEX('Valo FX'!$R:$R,MATCH($A14,'Valo FX'!$A:$A,0)),INDEX(Base!$V:$V,MATCH($A14,Base!$A:$A,0)),0)))</f>
        <v>0</v>
      </c>
      <c r="MJ14" s="21">
        <f>IF(MJ$1&lt;INDEX('Valo FX'!$Q:$Q,MATCH($A14,'Valo FX'!$A:$A,0)),0,IF(MJ$1&lt;INDEX('Valo FX'!$R:$R,MATCH($A14,'Valo FX'!$A:$A,0)),INDEX(Base!$U:$U,MATCH($A14,Base!$A:$A,0)),IF(MJ$1=INDEX('Valo FX'!$R:$R,MATCH($A14,'Valo FX'!$A:$A,0)),INDEX(Base!$V:$V,MATCH($A14,Base!$A:$A,0)),0)))</f>
        <v>0</v>
      </c>
      <c r="MK14" s="21">
        <f>IF(MK$1&lt;INDEX('Valo FX'!$Q:$Q,MATCH($A14,'Valo FX'!$A:$A,0)),0,IF(MK$1&lt;INDEX('Valo FX'!$R:$R,MATCH($A14,'Valo FX'!$A:$A,0)),INDEX(Base!$U:$U,MATCH($A14,Base!$A:$A,0)),IF(MK$1=INDEX('Valo FX'!$R:$R,MATCH($A14,'Valo FX'!$A:$A,0)),INDEX(Base!$V:$V,MATCH($A14,Base!$A:$A,0)),0)))</f>
        <v>0</v>
      </c>
      <c r="ML14" s="21">
        <f>IF(ML$1&lt;INDEX('Valo FX'!$Q:$Q,MATCH($A14,'Valo FX'!$A:$A,0)),0,IF(ML$1&lt;INDEX('Valo FX'!$R:$R,MATCH($A14,'Valo FX'!$A:$A,0)),INDEX(Base!$U:$U,MATCH($A14,Base!$A:$A,0)),IF(ML$1=INDEX('Valo FX'!$R:$R,MATCH($A14,'Valo FX'!$A:$A,0)),INDEX(Base!$V:$V,MATCH($A14,Base!$A:$A,0)),0)))</f>
        <v>0</v>
      </c>
      <c r="MM14" s="21">
        <f>IF(MM$1&lt;INDEX('Valo FX'!$Q:$Q,MATCH($A14,'Valo FX'!$A:$A,0)),0,IF(MM$1&lt;INDEX('Valo FX'!$R:$R,MATCH($A14,'Valo FX'!$A:$A,0)),INDEX(Base!$U:$U,MATCH($A14,Base!$A:$A,0)),IF(MM$1=INDEX('Valo FX'!$R:$R,MATCH($A14,'Valo FX'!$A:$A,0)),INDEX(Base!$V:$V,MATCH($A14,Base!$A:$A,0)),0)))</f>
        <v>0</v>
      </c>
      <c r="MN14" s="21">
        <f>IF(MN$1&lt;INDEX('Valo FX'!$Q:$Q,MATCH($A14,'Valo FX'!$A:$A,0)),0,IF(MN$1&lt;INDEX('Valo FX'!$R:$R,MATCH($A14,'Valo FX'!$A:$A,0)),INDEX(Base!$U:$U,MATCH($A14,Base!$A:$A,0)),IF(MN$1=INDEX('Valo FX'!$R:$R,MATCH($A14,'Valo FX'!$A:$A,0)),INDEX(Base!$V:$V,MATCH($A14,Base!$A:$A,0)),0)))</f>
        <v>0</v>
      </c>
      <c r="MO14" s="21">
        <f>IF(MO$1&lt;INDEX('Valo FX'!$Q:$Q,MATCH($A14,'Valo FX'!$A:$A,0)),0,IF(MO$1&lt;INDEX('Valo FX'!$R:$R,MATCH($A14,'Valo FX'!$A:$A,0)),INDEX(Base!$U:$U,MATCH($A14,Base!$A:$A,0)),IF(MO$1=INDEX('Valo FX'!$R:$R,MATCH($A14,'Valo FX'!$A:$A,0)),INDEX(Base!$V:$V,MATCH($A14,Base!$A:$A,0)),0)))</f>
        <v>0</v>
      </c>
      <c r="MP14" s="21">
        <f>IF(MP$1&lt;INDEX('Valo FX'!$Q:$Q,MATCH($A14,'Valo FX'!$A:$A,0)),0,IF(MP$1&lt;INDEX('Valo FX'!$R:$R,MATCH($A14,'Valo FX'!$A:$A,0)),INDEX(Base!$U:$U,MATCH($A14,Base!$A:$A,0)),IF(MP$1=INDEX('Valo FX'!$R:$R,MATCH($A14,'Valo FX'!$A:$A,0)),INDEX(Base!$V:$V,MATCH($A14,Base!$A:$A,0)),0)))</f>
        <v>0</v>
      </c>
      <c r="MQ14" s="21">
        <f>IF(MQ$1&lt;INDEX('Valo FX'!$Q:$Q,MATCH($A14,'Valo FX'!$A:$A,0)),0,IF(MQ$1&lt;INDEX('Valo FX'!$R:$R,MATCH($A14,'Valo FX'!$A:$A,0)),INDEX(Base!$U:$U,MATCH($A14,Base!$A:$A,0)),IF(MQ$1=INDEX('Valo FX'!$R:$R,MATCH($A14,'Valo FX'!$A:$A,0)),INDEX(Base!$V:$V,MATCH($A14,Base!$A:$A,0)),0)))</f>
        <v>0</v>
      </c>
      <c r="MR14" s="21">
        <f>IF(MR$1&lt;INDEX('Valo FX'!$Q:$Q,MATCH($A14,'Valo FX'!$A:$A,0)),0,IF(MR$1&lt;INDEX('Valo FX'!$R:$R,MATCH($A14,'Valo FX'!$A:$A,0)),INDEX(Base!$U:$U,MATCH($A14,Base!$A:$A,0)),IF(MR$1=INDEX('Valo FX'!$R:$R,MATCH($A14,'Valo FX'!$A:$A,0)),INDEX(Base!$V:$V,MATCH($A14,Base!$A:$A,0)),0)))</f>
        <v>0</v>
      </c>
      <c r="MS14" s="21">
        <f>IF(MS$1&lt;INDEX('Valo FX'!$Q:$Q,MATCH($A14,'Valo FX'!$A:$A,0)),0,IF(MS$1&lt;INDEX('Valo FX'!$R:$R,MATCH($A14,'Valo FX'!$A:$A,0)),INDEX(Base!$U:$U,MATCH($A14,Base!$A:$A,0)),IF(MS$1=INDEX('Valo FX'!$R:$R,MATCH($A14,'Valo FX'!$A:$A,0)),INDEX(Base!$V:$V,MATCH($A14,Base!$A:$A,0)),0)))</f>
        <v>0</v>
      </c>
      <c r="MT14" s="21">
        <f>IF(MT$1&lt;INDEX('Valo FX'!$Q:$Q,MATCH($A14,'Valo FX'!$A:$A,0)),0,IF(MT$1&lt;INDEX('Valo FX'!$R:$R,MATCH($A14,'Valo FX'!$A:$A,0)),INDEX(Base!$U:$U,MATCH($A14,Base!$A:$A,0)),IF(MT$1=INDEX('Valo FX'!$R:$R,MATCH($A14,'Valo FX'!$A:$A,0)),INDEX(Base!$V:$V,MATCH($A14,Base!$A:$A,0)),0)))</f>
        <v>0</v>
      </c>
      <c r="MU14" s="21">
        <f>IF(MU$1&lt;INDEX('Valo FX'!$Q:$Q,MATCH($A14,'Valo FX'!$A:$A,0)),0,IF(MU$1&lt;INDEX('Valo FX'!$R:$R,MATCH($A14,'Valo FX'!$A:$A,0)),INDEX(Base!$U:$U,MATCH($A14,Base!$A:$A,0)),IF(MU$1=INDEX('Valo FX'!$R:$R,MATCH($A14,'Valo FX'!$A:$A,0)),INDEX(Base!$V:$V,MATCH($A14,Base!$A:$A,0)),0)))</f>
        <v>0</v>
      </c>
      <c r="MV14" s="21">
        <f>IF(MV$1&lt;INDEX('Valo FX'!$Q:$Q,MATCH($A14,'Valo FX'!$A:$A,0)),0,IF(MV$1&lt;INDEX('Valo FX'!$R:$R,MATCH($A14,'Valo FX'!$A:$A,0)),INDEX(Base!$U:$U,MATCH($A14,Base!$A:$A,0)),IF(MV$1=INDEX('Valo FX'!$R:$R,MATCH($A14,'Valo FX'!$A:$A,0)),INDEX(Base!$V:$V,MATCH($A14,Base!$A:$A,0)),0)))</f>
        <v>0</v>
      </c>
      <c r="MW14" s="21">
        <f>IF(MW$1&lt;INDEX('Valo FX'!$Q:$Q,MATCH($A14,'Valo FX'!$A:$A,0)),0,IF(MW$1&lt;INDEX('Valo FX'!$R:$R,MATCH($A14,'Valo FX'!$A:$A,0)),INDEX(Base!$U:$U,MATCH($A14,Base!$A:$A,0)),IF(MW$1=INDEX('Valo FX'!$R:$R,MATCH($A14,'Valo FX'!$A:$A,0)),INDEX(Base!$V:$V,MATCH($A14,Base!$A:$A,0)),0)))</f>
        <v>0</v>
      </c>
      <c r="MX14" s="21">
        <f>IF(MX$1&lt;INDEX('Valo FX'!$Q:$Q,MATCH($A14,'Valo FX'!$A:$A,0)),0,IF(MX$1&lt;INDEX('Valo FX'!$R:$R,MATCH($A14,'Valo FX'!$A:$A,0)),INDEX(Base!$U:$U,MATCH($A14,Base!$A:$A,0)),IF(MX$1=INDEX('Valo FX'!$R:$R,MATCH($A14,'Valo FX'!$A:$A,0)),INDEX(Base!$V:$V,MATCH($A14,Base!$A:$A,0)),0)))</f>
        <v>0</v>
      </c>
      <c r="MY14" s="21">
        <f>IF(MY$1&lt;INDEX('Valo FX'!$Q:$Q,MATCH($A14,'Valo FX'!$A:$A,0)),0,IF(MY$1&lt;INDEX('Valo FX'!$R:$R,MATCH($A14,'Valo FX'!$A:$A,0)),INDEX(Base!$U:$U,MATCH($A14,Base!$A:$A,0)),IF(MY$1=INDEX('Valo FX'!$R:$R,MATCH($A14,'Valo FX'!$A:$A,0)),INDEX(Base!$V:$V,MATCH($A14,Base!$A:$A,0)),0)))</f>
        <v>0</v>
      </c>
    </row>
    <row r="15" spans="1:363" x14ac:dyDescent="0.2">
      <c r="A15" s="7">
        <f>+'Valo FX'!A16</f>
        <v>13</v>
      </c>
      <c r="B15" s="58">
        <f>-'Valo FX'!T16</f>
        <v>-739.82660843910162</v>
      </c>
      <c r="C15" s="21">
        <f>IF(C$1&lt;INDEX('Valo FX'!$Q:$Q,MATCH($A15,'Valo FX'!$A:$A,0)),0,IF(C$1&lt;INDEX('Valo FX'!$R:$R,MATCH($A15,'Valo FX'!$A:$A,0)),INDEX(Base!$U:$U,MATCH($A15,Base!$A:$A,0)),IF(C$1=INDEX('Valo FX'!$R:$R,MATCH($A15,'Valo FX'!$A:$A,0)),INDEX(Base!$V:$V,MATCH($A15,Base!$A:$A,0)),0)))</f>
        <v>0</v>
      </c>
      <c r="D15" s="21">
        <f>IF(D$1&lt;INDEX('Valo FX'!$Q:$Q,MATCH($A15,'Valo FX'!$A:$A,0)),0,IF(D$1&lt;INDEX('Valo FX'!$R:$R,MATCH($A15,'Valo FX'!$A:$A,0)),INDEX(Base!$U:$U,MATCH($A15,Base!$A:$A,0)),IF(D$1=INDEX('Valo FX'!$R:$R,MATCH($A15,'Valo FX'!$A:$A,0)),INDEX(Base!$V:$V,MATCH($A15,Base!$A:$A,0)),0)))</f>
        <v>0</v>
      </c>
      <c r="E15" s="21">
        <f>IF(E$1&lt;INDEX('Valo FX'!$Q:$Q,MATCH($A15,'Valo FX'!$A:$A,0)),0,IF(E$1&lt;INDEX('Valo FX'!$R:$R,MATCH($A15,'Valo FX'!$A:$A,0)),INDEX(Base!$U:$U,MATCH($A15,Base!$A:$A,0)),IF(E$1=INDEX('Valo FX'!$R:$R,MATCH($A15,'Valo FX'!$A:$A,0)),INDEX(Base!$V:$V,MATCH($A15,Base!$A:$A,0)),0)))</f>
        <v>0</v>
      </c>
      <c r="F15" s="21">
        <f>IF(F$1&lt;INDEX('Valo FX'!$Q:$Q,MATCH($A15,'Valo FX'!$A:$A,0)),0,IF(F$1&lt;INDEX('Valo FX'!$R:$R,MATCH($A15,'Valo FX'!$A:$A,0)),INDEX(Base!$U:$U,MATCH($A15,Base!$A:$A,0)),IF(F$1=INDEX('Valo FX'!$R:$R,MATCH($A15,'Valo FX'!$A:$A,0)),INDEX(Base!$V:$V,MATCH($A15,Base!$A:$A,0)),0)))</f>
        <v>0</v>
      </c>
      <c r="G15" s="21">
        <f>IF(G$1&lt;INDEX('Valo FX'!$Q:$Q,MATCH($A15,'Valo FX'!$A:$A,0)),0,IF(G$1&lt;INDEX('Valo FX'!$R:$R,MATCH($A15,'Valo FX'!$A:$A,0)),INDEX(Base!$U:$U,MATCH($A15,Base!$A:$A,0)),IF(G$1=INDEX('Valo FX'!$R:$R,MATCH($A15,'Valo FX'!$A:$A,0)),INDEX(Base!$V:$V,MATCH($A15,Base!$A:$A,0)),0)))</f>
        <v>0</v>
      </c>
      <c r="H15" s="21">
        <f>IF(H$1&lt;INDEX('Valo FX'!$Q:$Q,MATCH($A15,'Valo FX'!$A:$A,0)),0,IF(H$1&lt;INDEX('Valo FX'!$R:$R,MATCH($A15,'Valo FX'!$A:$A,0)),INDEX(Base!$U:$U,MATCH($A15,Base!$A:$A,0)),IF(H$1=INDEX('Valo FX'!$R:$R,MATCH($A15,'Valo FX'!$A:$A,0)),INDEX(Base!$V:$V,MATCH($A15,Base!$A:$A,0)),0)))</f>
        <v>0</v>
      </c>
      <c r="I15" s="21">
        <f>IF(I$1&lt;INDEX('Valo FX'!$Q:$Q,MATCH($A15,'Valo FX'!$A:$A,0)),0,IF(I$1&lt;INDEX('Valo FX'!$R:$R,MATCH($A15,'Valo FX'!$A:$A,0)),INDEX(Base!$U:$U,MATCH($A15,Base!$A:$A,0)),IF(I$1=INDEX('Valo FX'!$R:$R,MATCH($A15,'Valo FX'!$A:$A,0)),INDEX(Base!$V:$V,MATCH($A15,Base!$A:$A,0)),0)))</f>
        <v>5.9188619999999998</v>
      </c>
      <c r="J15" s="21">
        <f>IF(J$1&lt;INDEX('Valo FX'!$Q:$Q,MATCH($A15,'Valo FX'!$A:$A,0)),0,IF(J$1&lt;INDEX('Valo FX'!$R:$R,MATCH($A15,'Valo FX'!$A:$A,0)),INDEX(Base!$U:$U,MATCH($A15,Base!$A:$A,0)),IF(J$1=INDEX('Valo FX'!$R:$R,MATCH($A15,'Valo FX'!$A:$A,0)),INDEX(Base!$V:$V,MATCH($A15,Base!$A:$A,0)),0)))</f>
        <v>5.9188619999999998</v>
      </c>
      <c r="K15" s="21">
        <f>IF(K$1&lt;INDEX('Valo FX'!$Q:$Q,MATCH($A15,'Valo FX'!$A:$A,0)),0,IF(K$1&lt;INDEX('Valo FX'!$R:$R,MATCH($A15,'Valo FX'!$A:$A,0)),INDEX(Base!$U:$U,MATCH($A15,Base!$A:$A,0)),IF(K$1=INDEX('Valo FX'!$R:$R,MATCH($A15,'Valo FX'!$A:$A,0)),INDEX(Base!$V:$V,MATCH($A15,Base!$A:$A,0)),0)))</f>
        <v>5.9188619999999998</v>
      </c>
      <c r="L15" s="21">
        <f>IF(L$1&lt;INDEX('Valo FX'!$Q:$Q,MATCH($A15,'Valo FX'!$A:$A,0)),0,IF(L$1&lt;INDEX('Valo FX'!$R:$R,MATCH($A15,'Valo FX'!$A:$A,0)),INDEX(Base!$U:$U,MATCH($A15,Base!$A:$A,0)),IF(L$1=INDEX('Valo FX'!$R:$R,MATCH($A15,'Valo FX'!$A:$A,0)),INDEX(Base!$V:$V,MATCH($A15,Base!$A:$A,0)),0)))</f>
        <v>5.9188619999999998</v>
      </c>
      <c r="M15" s="21">
        <f>IF(M$1&lt;INDEX('Valo FX'!$Q:$Q,MATCH($A15,'Valo FX'!$A:$A,0)),0,IF(M$1&lt;INDEX('Valo FX'!$R:$R,MATCH($A15,'Valo FX'!$A:$A,0)),INDEX(Base!$U:$U,MATCH($A15,Base!$A:$A,0)),IF(M$1=INDEX('Valo FX'!$R:$R,MATCH($A15,'Valo FX'!$A:$A,0)),INDEX(Base!$V:$V,MATCH($A15,Base!$A:$A,0)),0)))</f>
        <v>5.9188619999999998</v>
      </c>
      <c r="N15" s="21">
        <f>IF(N$1&lt;INDEX('Valo FX'!$Q:$Q,MATCH($A15,'Valo FX'!$A:$A,0)),0,IF(N$1&lt;INDEX('Valo FX'!$R:$R,MATCH($A15,'Valo FX'!$A:$A,0)),INDEX(Base!$U:$U,MATCH($A15,Base!$A:$A,0)),IF(N$1=INDEX('Valo FX'!$R:$R,MATCH($A15,'Valo FX'!$A:$A,0)),INDEX(Base!$V:$V,MATCH($A15,Base!$A:$A,0)),0)))</f>
        <v>5.9188619999999998</v>
      </c>
      <c r="O15" s="21">
        <f>IF(O$1&lt;INDEX('Valo FX'!$Q:$Q,MATCH($A15,'Valo FX'!$A:$A,0)),0,IF(O$1&lt;INDEX('Valo FX'!$R:$R,MATCH($A15,'Valo FX'!$A:$A,0)),INDEX(Base!$U:$U,MATCH($A15,Base!$A:$A,0)),IF(O$1=INDEX('Valo FX'!$R:$R,MATCH($A15,'Valo FX'!$A:$A,0)),INDEX(Base!$V:$V,MATCH($A15,Base!$A:$A,0)),0)))</f>
        <v>5.9188619999999998</v>
      </c>
      <c r="P15" s="21">
        <f>IF(P$1&lt;INDEX('Valo FX'!$Q:$Q,MATCH($A15,'Valo FX'!$A:$A,0)),0,IF(P$1&lt;INDEX('Valo FX'!$R:$R,MATCH($A15,'Valo FX'!$A:$A,0)),INDEX(Base!$U:$U,MATCH($A15,Base!$A:$A,0)),IF(P$1=INDEX('Valo FX'!$R:$R,MATCH($A15,'Valo FX'!$A:$A,0)),INDEX(Base!$V:$V,MATCH($A15,Base!$A:$A,0)),0)))</f>
        <v>5.9188619999999998</v>
      </c>
      <c r="Q15" s="21">
        <f>IF(Q$1&lt;INDEX('Valo FX'!$Q:$Q,MATCH($A15,'Valo FX'!$A:$A,0)),0,IF(Q$1&lt;INDEX('Valo FX'!$R:$R,MATCH($A15,'Valo FX'!$A:$A,0)),INDEX(Base!$U:$U,MATCH($A15,Base!$A:$A,0)),IF(Q$1=INDEX('Valo FX'!$R:$R,MATCH($A15,'Valo FX'!$A:$A,0)),INDEX(Base!$V:$V,MATCH($A15,Base!$A:$A,0)),0)))</f>
        <v>5.9188619999999998</v>
      </c>
      <c r="R15" s="21">
        <f>IF(R$1&lt;INDEX('Valo FX'!$Q:$Q,MATCH($A15,'Valo FX'!$A:$A,0)),0,IF(R$1&lt;INDEX('Valo FX'!$R:$R,MATCH($A15,'Valo FX'!$A:$A,0)),INDEX(Base!$U:$U,MATCH($A15,Base!$A:$A,0)),IF(R$1=INDEX('Valo FX'!$R:$R,MATCH($A15,'Valo FX'!$A:$A,0)),INDEX(Base!$V:$V,MATCH($A15,Base!$A:$A,0)),0)))</f>
        <v>5.9188619999999998</v>
      </c>
      <c r="S15" s="21">
        <f>IF(S$1&lt;INDEX('Valo FX'!$Q:$Q,MATCH($A15,'Valo FX'!$A:$A,0)),0,IF(S$1&lt;INDEX('Valo FX'!$R:$R,MATCH($A15,'Valo FX'!$A:$A,0)),INDEX(Base!$U:$U,MATCH($A15,Base!$A:$A,0)),IF(S$1=INDEX('Valo FX'!$R:$R,MATCH($A15,'Valo FX'!$A:$A,0)),INDEX(Base!$V:$V,MATCH($A15,Base!$A:$A,0)),0)))</f>
        <v>5.9188619999999998</v>
      </c>
      <c r="T15" s="21">
        <f>IF(T$1&lt;INDEX('Valo FX'!$Q:$Q,MATCH($A15,'Valo FX'!$A:$A,0)),0,IF(T$1&lt;INDEX('Valo FX'!$R:$R,MATCH($A15,'Valo FX'!$A:$A,0)),INDEX(Base!$U:$U,MATCH($A15,Base!$A:$A,0)),IF(T$1=INDEX('Valo FX'!$R:$R,MATCH($A15,'Valo FX'!$A:$A,0)),INDEX(Base!$V:$V,MATCH($A15,Base!$A:$A,0)),0)))</f>
        <v>5.9188619999999998</v>
      </c>
      <c r="U15" s="21">
        <f>IF(U$1&lt;INDEX('Valo FX'!$Q:$Q,MATCH($A15,'Valo FX'!$A:$A,0)),0,IF(U$1&lt;INDEX('Valo FX'!$R:$R,MATCH($A15,'Valo FX'!$A:$A,0)),INDEX(Base!$U:$U,MATCH($A15,Base!$A:$A,0)),IF(U$1=INDEX('Valo FX'!$R:$R,MATCH($A15,'Valo FX'!$A:$A,0)),INDEX(Base!$V:$V,MATCH($A15,Base!$A:$A,0)),0)))</f>
        <v>5.9188619999999998</v>
      </c>
      <c r="V15" s="21">
        <f>IF(V$1&lt;INDEX('Valo FX'!$Q:$Q,MATCH($A15,'Valo FX'!$A:$A,0)),0,IF(V$1&lt;INDEX('Valo FX'!$R:$R,MATCH($A15,'Valo FX'!$A:$A,0)),INDEX(Base!$U:$U,MATCH($A15,Base!$A:$A,0)),IF(V$1=INDEX('Valo FX'!$R:$R,MATCH($A15,'Valo FX'!$A:$A,0)),INDEX(Base!$V:$V,MATCH($A15,Base!$A:$A,0)),0)))</f>
        <v>5.9188619999999998</v>
      </c>
      <c r="W15" s="21">
        <f>IF(W$1&lt;INDEX('Valo FX'!$Q:$Q,MATCH($A15,'Valo FX'!$A:$A,0)),0,IF(W$1&lt;INDEX('Valo FX'!$R:$R,MATCH($A15,'Valo FX'!$A:$A,0)),INDEX(Base!$U:$U,MATCH($A15,Base!$A:$A,0)),IF(W$1=INDEX('Valo FX'!$R:$R,MATCH($A15,'Valo FX'!$A:$A,0)),INDEX(Base!$V:$V,MATCH($A15,Base!$A:$A,0)),0)))</f>
        <v>5.9188619999999998</v>
      </c>
      <c r="X15" s="21">
        <f>IF(X$1&lt;INDEX('Valo FX'!$Q:$Q,MATCH($A15,'Valo FX'!$A:$A,0)),0,IF(X$1&lt;INDEX('Valo FX'!$R:$R,MATCH($A15,'Valo FX'!$A:$A,0)),INDEX(Base!$U:$U,MATCH($A15,Base!$A:$A,0)),IF(X$1=INDEX('Valo FX'!$R:$R,MATCH($A15,'Valo FX'!$A:$A,0)),INDEX(Base!$V:$V,MATCH($A15,Base!$A:$A,0)),0)))</f>
        <v>5.9188619999999998</v>
      </c>
      <c r="Y15" s="21">
        <f>IF(Y$1&lt;INDEX('Valo FX'!$Q:$Q,MATCH($A15,'Valo FX'!$A:$A,0)),0,IF(Y$1&lt;INDEX('Valo FX'!$R:$R,MATCH($A15,'Valo FX'!$A:$A,0)),INDEX(Base!$U:$U,MATCH($A15,Base!$A:$A,0)),IF(Y$1=INDEX('Valo FX'!$R:$R,MATCH($A15,'Valo FX'!$A:$A,0)),INDEX(Base!$V:$V,MATCH($A15,Base!$A:$A,0)),0)))</f>
        <v>5.9188619999999998</v>
      </c>
      <c r="Z15" s="21">
        <f>IF(Z$1&lt;INDEX('Valo FX'!$Q:$Q,MATCH($A15,'Valo FX'!$A:$A,0)),0,IF(Z$1&lt;INDEX('Valo FX'!$R:$R,MATCH($A15,'Valo FX'!$A:$A,0)),INDEX(Base!$U:$U,MATCH($A15,Base!$A:$A,0)),IF(Z$1=INDEX('Valo FX'!$R:$R,MATCH($A15,'Valo FX'!$A:$A,0)),INDEX(Base!$V:$V,MATCH($A15,Base!$A:$A,0)),0)))</f>
        <v>5.9188619999999998</v>
      </c>
      <c r="AA15" s="21">
        <f>IF(AA$1&lt;INDEX('Valo FX'!$Q:$Q,MATCH($A15,'Valo FX'!$A:$A,0)),0,IF(AA$1&lt;INDEX('Valo FX'!$R:$R,MATCH($A15,'Valo FX'!$A:$A,0)),INDEX(Base!$U:$U,MATCH($A15,Base!$A:$A,0)),IF(AA$1=INDEX('Valo FX'!$R:$R,MATCH($A15,'Valo FX'!$A:$A,0)),INDEX(Base!$V:$V,MATCH($A15,Base!$A:$A,0)),0)))</f>
        <v>5.9188619999999998</v>
      </c>
      <c r="AB15" s="21">
        <f>IF(AB$1&lt;INDEX('Valo FX'!$Q:$Q,MATCH($A15,'Valo FX'!$A:$A,0)),0,IF(AB$1&lt;INDEX('Valo FX'!$R:$R,MATCH($A15,'Valo FX'!$A:$A,0)),INDEX(Base!$U:$U,MATCH($A15,Base!$A:$A,0)),IF(AB$1=INDEX('Valo FX'!$R:$R,MATCH($A15,'Valo FX'!$A:$A,0)),INDEX(Base!$V:$V,MATCH($A15,Base!$A:$A,0)),0)))</f>
        <v>5.9188619999999998</v>
      </c>
      <c r="AC15" s="21">
        <f>IF(AC$1&lt;INDEX('Valo FX'!$Q:$Q,MATCH($A15,'Valo FX'!$A:$A,0)),0,IF(AC$1&lt;INDEX('Valo FX'!$R:$R,MATCH($A15,'Valo FX'!$A:$A,0)),INDEX(Base!$U:$U,MATCH($A15,Base!$A:$A,0)),IF(AC$1=INDEX('Valo FX'!$R:$R,MATCH($A15,'Valo FX'!$A:$A,0)),INDEX(Base!$V:$V,MATCH($A15,Base!$A:$A,0)),0)))</f>
        <v>5.9188619999999998</v>
      </c>
      <c r="AD15" s="21">
        <f>IF(AD$1&lt;INDEX('Valo FX'!$Q:$Q,MATCH($A15,'Valo FX'!$A:$A,0)),0,IF(AD$1&lt;INDEX('Valo FX'!$R:$R,MATCH($A15,'Valo FX'!$A:$A,0)),INDEX(Base!$U:$U,MATCH($A15,Base!$A:$A,0)),IF(AD$1=INDEX('Valo FX'!$R:$R,MATCH($A15,'Valo FX'!$A:$A,0)),INDEX(Base!$V:$V,MATCH($A15,Base!$A:$A,0)),0)))</f>
        <v>5.9188619999999998</v>
      </c>
      <c r="AE15" s="21">
        <f>IF(AE$1&lt;INDEX('Valo FX'!$Q:$Q,MATCH($A15,'Valo FX'!$A:$A,0)),0,IF(AE$1&lt;INDEX('Valo FX'!$R:$R,MATCH($A15,'Valo FX'!$A:$A,0)),INDEX(Base!$U:$U,MATCH($A15,Base!$A:$A,0)),IF(AE$1=INDEX('Valo FX'!$R:$R,MATCH($A15,'Valo FX'!$A:$A,0)),INDEX(Base!$V:$V,MATCH($A15,Base!$A:$A,0)),0)))</f>
        <v>5.9188619999999998</v>
      </c>
      <c r="AF15" s="21">
        <f>IF(AF$1&lt;INDEX('Valo FX'!$Q:$Q,MATCH($A15,'Valo FX'!$A:$A,0)),0,IF(AF$1&lt;INDEX('Valo FX'!$R:$R,MATCH($A15,'Valo FX'!$A:$A,0)),INDEX(Base!$U:$U,MATCH($A15,Base!$A:$A,0)),IF(AF$1=INDEX('Valo FX'!$R:$R,MATCH($A15,'Valo FX'!$A:$A,0)),INDEX(Base!$V:$V,MATCH($A15,Base!$A:$A,0)),0)))</f>
        <v>5.9188619999999998</v>
      </c>
      <c r="AG15" s="21">
        <f>IF(AG$1&lt;INDEX('Valo FX'!$Q:$Q,MATCH($A15,'Valo FX'!$A:$A,0)),0,IF(AG$1&lt;INDEX('Valo FX'!$R:$R,MATCH($A15,'Valo FX'!$A:$A,0)),INDEX(Base!$U:$U,MATCH($A15,Base!$A:$A,0)),IF(AG$1=INDEX('Valo FX'!$R:$R,MATCH($A15,'Valo FX'!$A:$A,0)),INDEX(Base!$V:$V,MATCH($A15,Base!$A:$A,0)),0)))</f>
        <v>5.9188619999999998</v>
      </c>
      <c r="AH15" s="21">
        <f>IF(AH$1&lt;INDEX('Valo FX'!$Q:$Q,MATCH($A15,'Valo FX'!$A:$A,0)),0,IF(AH$1&lt;INDEX('Valo FX'!$R:$R,MATCH($A15,'Valo FX'!$A:$A,0)),INDEX(Base!$U:$U,MATCH($A15,Base!$A:$A,0)),IF(AH$1=INDEX('Valo FX'!$R:$R,MATCH($A15,'Valo FX'!$A:$A,0)),INDEX(Base!$V:$V,MATCH($A15,Base!$A:$A,0)),0)))</f>
        <v>5.9188619999999998</v>
      </c>
      <c r="AI15" s="21">
        <f>IF(AI$1&lt;INDEX('Valo FX'!$Q:$Q,MATCH($A15,'Valo FX'!$A:$A,0)),0,IF(AI$1&lt;INDEX('Valo FX'!$R:$R,MATCH($A15,'Valo FX'!$A:$A,0)),INDEX(Base!$U:$U,MATCH($A15,Base!$A:$A,0)),IF(AI$1=INDEX('Valo FX'!$R:$R,MATCH($A15,'Valo FX'!$A:$A,0)),INDEX(Base!$V:$V,MATCH($A15,Base!$A:$A,0)),0)))</f>
        <v>5.9188619999999998</v>
      </c>
      <c r="AJ15" s="21">
        <f>IF(AJ$1&lt;INDEX('Valo FX'!$Q:$Q,MATCH($A15,'Valo FX'!$A:$A,0)),0,IF(AJ$1&lt;INDEX('Valo FX'!$R:$R,MATCH($A15,'Valo FX'!$A:$A,0)),INDEX(Base!$U:$U,MATCH($A15,Base!$A:$A,0)),IF(AJ$1=INDEX('Valo FX'!$R:$R,MATCH($A15,'Valo FX'!$A:$A,0)),INDEX(Base!$V:$V,MATCH($A15,Base!$A:$A,0)),0)))</f>
        <v>5.9188619999999998</v>
      </c>
      <c r="AK15" s="21">
        <f>IF(AK$1&lt;INDEX('Valo FX'!$Q:$Q,MATCH($A15,'Valo FX'!$A:$A,0)),0,IF(AK$1&lt;INDEX('Valo FX'!$R:$R,MATCH($A15,'Valo FX'!$A:$A,0)),INDEX(Base!$U:$U,MATCH($A15,Base!$A:$A,0)),IF(AK$1=INDEX('Valo FX'!$R:$R,MATCH($A15,'Valo FX'!$A:$A,0)),INDEX(Base!$V:$V,MATCH($A15,Base!$A:$A,0)),0)))</f>
        <v>5.9188619999999998</v>
      </c>
      <c r="AL15" s="21">
        <f>IF(AL$1&lt;INDEX('Valo FX'!$Q:$Q,MATCH($A15,'Valo FX'!$A:$A,0)),0,IF(AL$1&lt;INDEX('Valo FX'!$R:$R,MATCH($A15,'Valo FX'!$A:$A,0)),INDEX(Base!$U:$U,MATCH($A15,Base!$A:$A,0)),IF(AL$1=INDEX('Valo FX'!$R:$R,MATCH($A15,'Valo FX'!$A:$A,0)),INDEX(Base!$V:$V,MATCH($A15,Base!$A:$A,0)),0)))</f>
        <v>5.9188619999999998</v>
      </c>
      <c r="AM15" s="21">
        <f>IF(AM$1&lt;INDEX('Valo FX'!$Q:$Q,MATCH($A15,'Valo FX'!$A:$A,0)),0,IF(AM$1&lt;INDEX('Valo FX'!$R:$R,MATCH($A15,'Valo FX'!$A:$A,0)),INDEX(Base!$U:$U,MATCH($A15,Base!$A:$A,0)),IF(AM$1=INDEX('Valo FX'!$R:$R,MATCH($A15,'Valo FX'!$A:$A,0)),INDEX(Base!$V:$V,MATCH($A15,Base!$A:$A,0)),0)))</f>
        <v>5.9188619999999998</v>
      </c>
      <c r="AN15" s="21">
        <f>IF(AN$1&lt;INDEX('Valo FX'!$Q:$Q,MATCH($A15,'Valo FX'!$A:$A,0)),0,IF(AN$1&lt;INDEX('Valo FX'!$R:$R,MATCH($A15,'Valo FX'!$A:$A,0)),INDEX(Base!$U:$U,MATCH($A15,Base!$A:$A,0)),IF(AN$1=INDEX('Valo FX'!$R:$R,MATCH($A15,'Valo FX'!$A:$A,0)),INDEX(Base!$V:$V,MATCH($A15,Base!$A:$A,0)),0)))</f>
        <v>5.9188619999999998</v>
      </c>
      <c r="AO15" s="21">
        <f>IF(AO$1&lt;INDEX('Valo FX'!$Q:$Q,MATCH($A15,'Valo FX'!$A:$A,0)),0,IF(AO$1&lt;INDEX('Valo FX'!$R:$R,MATCH($A15,'Valo FX'!$A:$A,0)),INDEX(Base!$U:$U,MATCH($A15,Base!$A:$A,0)),IF(AO$1=INDEX('Valo FX'!$R:$R,MATCH($A15,'Valo FX'!$A:$A,0)),INDEX(Base!$V:$V,MATCH($A15,Base!$A:$A,0)),0)))</f>
        <v>5.9188619999999998</v>
      </c>
      <c r="AP15" s="21">
        <f>IF(AP$1&lt;INDEX('Valo FX'!$Q:$Q,MATCH($A15,'Valo FX'!$A:$A,0)),0,IF(AP$1&lt;INDEX('Valo FX'!$R:$R,MATCH($A15,'Valo FX'!$A:$A,0)),INDEX(Base!$U:$U,MATCH($A15,Base!$A:$A,0)),IF(AP$1=INDEX('Valo FX'!$R:$R,MATCH($A15,'Valo FX'!$A:$A,0)),INDEX(Base!$V:$V,MATCH($A15,Base!$A:$A,0)),0)))</f>
        <v>5.9188619999999998</v>
      </c>
      <c r="AQ15" s="21">
        <f>IF(AQ$1&lt;INDEX('Valo FX'!$Q:$Q,MATCH($A15,'Valo FX'!$A:$A,0)),0,IF(AQ$1&lt;INDEX('Valo FX'!$R:$R,MATCH($A15,'Valo FX'!$A:$A,0)),INDEX(Base!$U:$U,MATCH($A15,Base!$A:$A,0)),IF(AQ$1=INDEX('Valo FX'!$R:$R,MATCH($A15,'Valo FX'!$A:$A,0)),INDEX(Base!$V:$V,MATCH($A15,Base!$A:$A,0)),0)))</f>
        <v>5.9188619999999998</v>
      </c>
      <c r="AR15" s="21">
        <f>IF(AR$1&lt;INDEX('Valo FX'!$Q:$Q,MATCH($A15,'Valo FX'!$A:$A,0)),0,IF(AR$1&lt;INDEX('Valo FX'!$R:$R,MATCH($A15,'Valo FX'!$A:$A,0)),INDEX(Base!$U:$U,MATCH($A15,Base!$A:$A,0)),IF(AR$1=INDEX('Valo FX'!$R:$R,MATCH($A15,'Valo FX'!$A:$A,0)),INDEX(Base!$V:$V,MATCH($A15,Base!$A:$A,0)),0)))</f>
        <v>5.9188619999999998</v>
      </c>
      <c r="AS15" s="21">
        <f>IF(AS$1&lt;INDEX('Valo FX'!$Q:$Q,MATCH($A15,'Valo FX'!$A:$A,0)),0,IF(AS$1&lt;INDEX('Valo FX'!$R:$R,MATCH($A15,'Valo FX'!$A:$A,0)),INDEX(Base!$U:$U,MATCH($A15,Base!$A:$A,0)),IF(AS$1=INDEX('Valo FX'!$R:$R,MATCH($A15,'Valo FX'!$A:$A,0)),INDEX(Base!$V:$V,MATCH($A15,Base!$A:$A,0)),0)))</f>
        <v>5.9188619999999998</v>
      </c>
      <c r="AT15" s="21">
        <f>IF(AT$1&lt;INDEX('Valo FX'!$Q:$Q,MATCH($A15,'Valo FX'!$A:$A,0)),0,IF(AT$1&lt;INDEX('Valo FX'!$R:$R,MATCH($A15,'Valo FX'!$A:$A,0)),INDEX(Base!$U:$U,MATCH($A15,Base!$A:$A,0)),IF(AT$1=INDEX('Valo FX'!$R:$R,MATCH($A15,'Valo FX'!$A:$A,0)),INDEX(Base!$V:$V,MATCH($A15,Base!$A:$A,0)),0)))</f>
        <v>5.9188619999999998</v>
      </c>
      <c r="AU15" s="21">
        <f>IF(AU$1&lt;INDEX('Valo FX'!$Q:$Q,MATCH($A15,'Valo FX'!$A:$A,0)),0,IF(AU$1&lt;INDEX('Valo FX'!$R:$R,MATCH($A15,'Valo FX'!$A:$A,0)),INDEX(Base!$U:$U,MATCH($A15,Base!$A:$A,0)),IF(AU$1=INDEX('Valo FX'!$R:$R,MATCH($A15,'Valo FX'!$A:$A,0)),INDEX(Base!$V:$V,MATCH($A15,Base!$A:$A,0)),0)))</f>
        <v>5.9188619999999998</v>
      </c>
      <c r="AV15" s="21">
        <f>IF(AV$1&lt;INDEX('Valo FX'!$Q:$Q,MATCH($A15,'Valo FX'!$A:$A,0)),0,IF(AV$1&lt;INDEX('Valo FX'!$R:$R,MATCH($A15,'Valo FX'!$A:$A,0)),INDEX(Base!$U:$U,MATCH($A15,Base!$A:$A,0)),IF(AV$1=INDEX('Valo FX'!$R:$R,MATCH($A15,'Valo FX'!$A:$A,0)),INDEX(Base!$V:$V,MATCH($A15,Base!$A:$A,0)),0)))</f>
        <v>5.9188619999999998</v>
      </c>
      <c r="AW15" s="21">
        <f>IF(AW$1&lt;INDEX('Valo FX'!$Q:$Q,MATCH($A15,'Valo FX'!$A:$A,0)),0,IF(AW$1&lt;INDEX('Valo FX'!$R:$R,MATCH($A15,'Valo FX'!$A:$A,0)),INDEX(Base!$U:$U,MATCH($A15,Base!$A:$A,0)),IF(AW$1=INDEX('Valo FX'!$R:$R,MATCH($A15,'Valo FX'!$A:$A,0)),INDEX(Base!$V:$V,MATCH($A15,Base!$A:$A,0)),0)))</f>
        <v>5.9188619999999998</v>
      </c>
      <c r="AX15" s="21">
        <f>IF(AX$1&lt;INDEX('Valo FX'!$Q:$Q,MATCH($A15,'Valo FX'!$A:$A,0)),0,IF(AX$1&lt;INDEX('Valo FX'!$R:$R,MATCH($A15,'Valo FX'!$A:$A,0)),INDEX(Base!$U:$U,MATCH($A15,Base!$A:$A,0)),IF(AX$1=INDEX('Valo FX'!$R:$R,MATCH($A15,'Valo FX'!$A:$A,0)),INDEX(Base!$V:$V,MATCH($A15,Base!$A:$A,0)),0)))</f>
        <v>5.9188619999999998</v>
      </c>
      <c r="AY15" s="21">
        <f>IF(AY$1&lt;INDEX('Valo FX'!$Q:$Q,MATCH($A15,'Valo FX'!$A:$A,0)),0,IF(AY$1&lt;INDEX('Valo FX'!$R:$R,MATCH($A15,'Valo FX'!$A:$A,0)),INDEX(Base!$U:$U,MATCH($A15,Base!$A:$A,0)),IF(AY$1=INDEX('Valo FX'!$R:$R,MATCH($A15,'Valo FX'!$A:$A,0)),INDEX(Base!$V:$V,MATCH($A15,Base!$A:$A,0)),0)))</f>
        <v>5.9188619999999998</v>
      </c>
      <c r="AZ15" s="21">
        <f>IF(AZ$1&lt;INDEX('Valo FX'!$Q:$Q,MATCH($A15,'Valo FX'!$A:$A,0)),0,IF(AZ$1&lt;INDEX('Valo FX'!$R:$R,MATCH($A15,'Valo FX'!$A:$A,0)),INDEX(Base!$U:$U,MATCH($A15,Base!$A:$A,0)),IF(AZ$1=INDEX('Valo FX'!$R:$R,MATCH($A15,'Valo FX'!$A:$A,0)),INDEX(Base!$V:$V,MATCH($A15,Base!$A:$A,0)),0)))</f>
        <v>5.9188619999999998</v>
      </c>
      <c r="BA15" s="21">
        <f>IF(BA$1&lt;INDEX('Valo FX'!$Q:$Q,MATCH($A15,'Valo FX'!$A:$A,0)),0,IF(BA$1&lt;INDEX('Valo FX'!$R:$R,MATCH($A15,'Valo FX'!$A:$A,0)),INDEX(Base!$U:$U,MATCH($A15,Base!$A:$A,0)),IF(BA$1=INDEX('Valo FX'!$R:$R,MATCH($A15,'Valo FX'!$A:$A,0)),INDEX(Base!$V:$V,MATCH($A15,Base!$A:$A,0)),0)))</f>
        <v>5.9188619999999998</v>
      </c>
      <c r="BB15" s="21">
        <f>IF(BB$1&lt;INDEX('Valo FX'!$Q:$Q,MATCH($A15,'Valo FX'!$A:$A,0)),0,IF(BB$1&lt;INDEX('Valo FX'!$R:$R,MATCH($A15,'Valo FX'!$A:$A,0)),INDEX(Base!$U:$U,MATCH($A15,Base!$A:$A,0)),IF(BB$1=INDEX('Valo FX'!$R:$R,MATCH($A15,'Valo FX'!$A:$A,0)),INDEX(Base!$V:$V,MATCH($A15,Base!$A:$A,0)),0)))</f>
        <v>5.9188619999999998</v>
      </c>
      <c r="BC15" s="21">
        <f>IF(BC$1&lt;INDEX('Valo FX'!$Q:$Q,MATCH($A15,'Valo FX'!$A:$A,0)),0,IF(BC$1&lt;INDEX('Valo FX'!$R:$R,MATCH($A15,'Valo FX'!$A:$A,0)),INDEX(Base!$U:$U,MATCH($A15,Base!$A:$A,0)),IF(BC$1=INDEX('Valo FX'!$R:$R,MATCH($A15,'Valo FX'!$A:$A,0)),INDEX(Base!$V:$V,MATCH($A15,Base!$A:$A,0)),0)))</f>
        <v>5.9188619999999998</v>
      </c>
      <c r="BD15" s="21">
        <f>IF(BD$1&lt;INDEX('Valo FX'!$Q:$Q,MATCH($A15,'Valo FX'!$A:$A,0)),0,IF(BD$1&lt;INDEX('Valo FX'!$R:$R,MATCH($A15,'Valo FX'!$A:$A,0)),INDEX(Base!$U:$U,MATCH($A15,Base!$A:$A,0)),IF(BD$1=INDEX('Valo FX'!$R:$R,MATCH($A15,'Valo FX'!$A:$A,0)),INDEX(Base!$V:$V,MATCH($A15,Base!$A:$A,0)),0)))</f>
        <v>5.9188619999999998</v>
      </c>
      <c r="BE15" s="21">
        <f>IF(BE$1&lt;INDEX('Valo FX'!$Q:$Q,MATCH($A15,'Valo FX'!$A:$A,0)),0,IF(BE$1&lt;INDEX('Valo FX'!$R:$R,MATCH($A15,'Valo FX'!$A:$A,0)),INDEX(Base!$U:$U,MATCH($A15,Base!$A:$A,0)),IF(BE$1=INDEX('Valo FX'!$R:$R,MATCH($A15,'Valo FX'!$A:$A,0)),INDEX(Base!$V:$V,MATCH($A15,Base!$A:$A,0)),0)))</f>
        <v>5.9188619999999998</v>
      </c>
      <c r="BF15" s="21">
        <f>IF(BF$1&lt;INDEX('Valo FX'!$Q:$Q,MATCH($A15,'Valo FX'!$A:$A,0)),0,IF(BF$1&lt;INDEX('Valo FX'!$R:$R,MATCH($A15,'Valo FX'!$A:$A,0)),INDEX(Base!$U:$U,MATCH($A15,Base!$A:$A,0)),IF(BF$1=INDEX('Valo FX'!$R:$R,MATCH($A15,'Valo FX'!$A:$A,0)),INDEX(Base!$V:$V,MATCH($A15,Base!$A:$A,0)),0)))</f>
        <v>5.9188619999999998</v>
      </c>
      <c r="BG15" s="21">
        <f>IF(BG$1&lt;INDEX('Valo FX'!$Q:$Q,MATCH($A15,'Valo FX'!$A:$A,0)),0,IF(BG$1&lt;INDEX('Valo FX'!$R:$R,MATCH($A15,'Valo FX'!$A:$A,0)),INDEX(Base!$U:$U,MATCH($A15,Base!$A:$A,0)),IF(BG$1=INDEX('Valo FX'!$R:$R,MATCH($A15,'Valo FX'!$A:$A,0)),INDEX(Base!$V:$V,MATCH($A15,Base!$A:$A,0)),0)))</f>
        <v>5.9188619999999998</v>
      </c>
      <c r="BH15" s="21">
        <f>IF(BH$1&lt;INDEX('Valo FX'!$Q:$Q,MATCH($A15,'Valo FX'!$A:$A,0)),0,IF(BH$1&lt;INDEX('Valo FX'!$R:$R,MATCH($A15,'Valo FX'!$A:$A,0)),INDEX(Base!$U:$U,MATCH($A15,Base!$A:$A,0)),IF(BH$1=INDEX('Valo FX'!$R:$R,MATCH($A15,'Valo FX'!$A:$A,0)),INDEX(Base!$V:$V,MATCH($A15,Base!$A:$A,0)),0)))</f>
        <v>5.9188619999999998</v>
      </c>
      <c r="BI15" s="21">
        <f>IF(BI$1&lt;INDEX('Valo FX'!$Q:$Q,MATCH($A15,'Valo FX'!$A:$A,0)),0,IF(BI$1&lt;INDEX('Valo FX'!$R:$R,MATCH($A15,'Valo FX'!$A:$A,0)),INDEX(Base!$U:$U,MATCH($A15,Base!$A:$A,0)),IF(BI$1=INDEX('Valo FX'!$R:$R,MATCH($A15,'Valo FX'!$A:$A,0)),INDEX(Base!$V:$V,MATCH($A15,Base!$A:$A,0)),0)))</f>
        <v>5.9188619999999998</v>
      </c>
      <c r="BJ15" s="21">
        <f>IF(BJ$1&lt;INDEX('Valo FX'!$Q:$Q,MATCH($A15,'Valo FX'!$A:$A,0)),0,IF(BJ$1&lt;INDEX('Valo FX'!$R:$R,MATCH($A15,'Valo FX'!$A:$A,0)),INDEX(Base!$U:$U,MATCH($A15,Base!$A:$A,0)),IF(BJ$1=INDEX('Valo FX'!$R:$R,MATCH($A15,'Valo FX'!$A:$A,0)),INDEX(Base!$V:$V,MATCH($A15,Base!$A:$A,0)),0)))</f>
        <v>5.9188619999999998</v>
      </c>
      <c r="BK15" s="21">
        <f>IF(BK$1&lt;INDEX('Valo FX'!$Q:$Q,MATCH($A15,'Valo FX'!$A:$A,0)),0,IF(BK$1&lt;INDEX('Valo FX'!$R:$R,MATCH($A15,'Valo FX'!$A:$A,0)),INDEX(Base!$U:$U,MATCH($A15,Base!$A:$A,0)),IF(BK$1=INDEX('Valo FX'!$R:$R,MATCH($A15,'Valo FX'!$A:$A,0)),INDEX(Base!$V:$V,MATCH($A15,Base!$A:$A,0)),0)))</f>
        <v>5.9188619999999998</v>
      </c>
      <c r="BL15" s="21">
        <f>IF(BL$1&lt;INDEX('Valo FX'!$Q:$Q,MATCH($A15,'Valo FX'!$A:$A,0)),0,IF(BL$1&lt;INDEX('Valo FX'!$R:$R,MATCH($A15,'Valo FX'!$A:$A,0)),INDEX(Base!$U:$U,MATCH($A15,Base!$A:$A,0)),IF(BL$1=INDEX('Valo FX'!$R:$R,MATCH($A15,'Valo FX'!$A:$A,0)),INDEX(Base!$V:$V,MATCH($A15,Base!$A:$A,0)),0)))</f>
        <v>5.9188619999999998</v>
      </c>
      <c r="BM15" s="21">
        <f>IF(BM$1&lt;INDEX('Valo FX'!$Q:$Q,MATCH($A15,'Valo FX'!$A:$A,0)),0,IF(BM$1&lt;INDEX('Valo FX'!$R:$R,MATCH($A15,'Valo FX'!$A:$A,0)),INDEX(Base!$U:$U,MATCH($A15,Base!$A:$A,0)),IF(BM$1=INDEX('Valo FX'!$R:$R,MATCH($A15,'Valo FX'!$A:$A,0)),INDEX(Base!$V:$V,MATCH($A15,Base!$A:$A,0)),0)))</f>
        <v>5.9188619999999998</v>
      </c>
      <c r="BN15" s="21">
        <f>IF(BN$1&lt;INDEX('Valo FX'!$Q:$Q,MATCH($A15,'Valo FX'!$A:$A,0)),0,IF(BN$1&lt;INDEX('Valo FX'!$R:$R,MATCH($A15,'Valo FX'!$A:$A,0)),INDEX(Base!$U:$U,MATCH($A15,Base!$A:$A,0)),IF(BN$1=INDEX('Valo FX'!$R:$R,MATCH($A15,'Valo FX'!$A:$A,0)),INDEX(Base!$V:$V,MATCH($A15,Base!$A:$A,0)),0)))</f>
        <v>5.9188619999999998</v>
      </c>
      <c r="BO15" s="21">
        <f>IF(BO$1&lt;INDEX('Valo FX'!$Q:$Q,MATCH($A15,'Valo FX'!$A:$A,0)),0,IF(BO$1&lt;INDEX('Valo FX'!$R:$R,MATCH($A15,'Valo FX'!$A:$A,0)),INDEX(Base!$U:$U,MATCH($A15,Base!$A:$A,0)),IF(BO$1=INDEX('Valo FX'!$R:$R,MATCH($A15,'Valo FX'!$A:$A,0)),INDEX(Base!$V:$V,MATCH($A15,Base!$A:$A,0)),0)))</f>
        <v>5.9188619999999998</v>
      </c>
      <c r="BP15" s="21">
        <f>IF(BP$1&lt;INDEX('Valo FX'!$Q:$Q,MATCH($A15,'Valo FX'!$A:$A,0)),0,IF(BP$1&lt;INDEX('Valo FX'!$R:$R,MATCH($A15,'Valo FX'!$A:$A,0)),INDEX(Base!$U:$U,MATCH($A15,Base!$A:$A,0)),IF(BP$1=INDEX('Valo FX'!$R:$R,MATCH($A15,'Valo FX'!$A:$A,0)),INDEX(Base!$V:$V,MATCH($A15,Base!$A:$A,0)),0)))</f>
        <v>5.9188619999999998</v>
      </c>
      <c r="BQ15" s="21">
        <f>IF(BQ$1&lt;INDEX('Valo FX'!$Q:$Q,MATCH($A15,'Valo FX'!$A:$A,0)),0,IF(BQ$1&lt;INDEX('Valo FX'!$R:$R,MATCH($A15,'Valo FX'!$A:$A,0)),INDEX(Base!$U:$U,MATCH($A15,Base!$A:$A,0)),IF(BQ$1=INDEX('Valo FX'!$R:$R,MATCH($A15,'Valo FX'!$A:$A,0)),INDEX(Base!$V:$V,MATCH($A15,Base!$A:$A,0)),0)))</f>
        <v>5.9188619999999998</v>
      </c>
      <c r="BR15" s="21">
        <f>IF(BR$1&lt;INDEX('Valo FX'!$Q:$Q,MATCH($A15,'Valo FX'!$A:$A,0)),0,IF(BR$1&lt;INDEX('Valo FX'!$R:$R,MATCH($A15,'Valo FX'!$A:$A,0)),INDEX(Base!$U:$U,MATCH($A15,Base!$A:$A,0)),IF(BR$1=INDEX('Valo FX'!$R:$R,MATCH($A15,'Valo FX'!$A:$A,0)),INDEX(Base!$V:$V,MATCH($A15,Base!$A:$A,0)),0)))</f>
        <v>5.9188619999999998</v>
      </c>
      <c r="BS15" s="21">
        <f>IF(BS$1&lt;INDEX('Valo FX'!$Q:$Q,MATCH($A15,'Valo FX'!$A:$A,0)),0,IF(BS$1&lt;INDEX('Valo FX'!$R:$R,MATCH($A15,'Valo FX'!$A:$A,0)),INDEX(Base!$U:$U,MATCH($A15,Base!$A:$A,0)),IF(BS$1=INDEX('Valo FX'!$R:$R,MATCH($A15,'Valo FX'!$A:$A,0)),INDEX(Base!$V:$V,MATCH($A15,Base!$A:$A,0)),0)))</f>
        <v>5.9188619999999998</v>
      </c>
      <c r="BT15" s="21">
        <f>IF(BT$1&lt;INDEX('Valo FX'!$Q:$Q,MATCH($A15,'Valo FX'!$A:$A,0)),0,IF(BT$1&lt;INDEX('Valo FX'!$R:$R,MATCH($A15,'Valo FX'!$A:$A,0)),INDEX(Base!$U:$U,MATCH($A15,Base!$A:$A,0)),IF(BT$1=INDEX('Valo FX'!$R:$R,MATCH($A15,'Valo FX'!$A:$A,0)),INDEX(Base!$V:$V,MATCH($A15,Base!$A:$A,0)),0)))</f>
        <v>5.9188619999999998</v>
      </c>
      <c r="BU15" s="21">
        <f>IF(BU$1&lt;INDEX('Valo FX'!$Q:$Q,MATCH($A15,'Valo FX'!$A:$A,0)),0,IF(BU$1&lt;INDEX('Valo FX'!$R:$R,MATCH($A15,'Valo FX'!$A:$A,0)),INDEX(Base!$U:$U,MATCH($A15,Base!$A:$A,0)),IF(BU$1=INDEX('Valo FX'!$R:$R,MATCH($A15,'Valo FX'!$A:$A,0)),INDEX(Base!$V:$V,MATCH($A15,Base!$A:$A,0)),0)))</f>
        <v>5.9188619999999998</v>
      </c>
      <c r="BV15" s="21">
        <f>IF(BV$1&lt;INDEX('Valo FX'!$Q:$Q,MATCH($A15,'Valo FX'!$A:$A,0)),0,IF(BV$1&lt;INDEX('Valo FX'!$R:$R,MATCH($A15,'Valo FX'!$A:$A,0)),INDEX(Base!$U:$U,MATCH($A15,Base!$A:$A,0)),IF(BV$1=INDEX('Valo FX'!$R:$R,MATCH($A15,'Valo FX'!$A:$A,0)),INDEX(Base!$V:$V,MATCH($A15,Base!$A:$A,0)),0)))</f>
        <v>5.9188619999999998</v>
      </c>
      <c r="BW15" s="21">
        <f>IF(BW$1&lt;INDEX('Valo FX'!$Q:$Q,MATCH($A15,'Valo FX'!$A:$A,0)),0,IF(BW$1&lt;INDEX('Valo FX'!$R:$R,MATCH($A15,'Valo FX'!$A:$A,0)),INDEX(Base!$U:$U,MATCH($A15,Base!$A:$A,0)),IF(BW$1=INDEX('Valo FX'!$R:$R,MATCH($A15,'Valo FX'!$A:$A,0)),INDEX(Base!$V:$V,MATCH($A15,Base!$A:$A,0)),0)))</f>
        <v>5.9188619999999998</v>
      </c>
      <c r="BX15" s="21">
        <f>IF(BX$1&lt;INDEX('Valo FX'!$Q:$Q,MATCH($A15,'Valo FX'!$A:$A,0)),0,IF(BX$1&lt;INDEX('Valo FX'!$R:$R,MATCH($A15,'Valo FX'!$A:$A,0)),INDEX(Base!$U:$U,MATCH($A15,Base!$A:$A,0)),IF(BX$1=INDEX('Valo FX'!$R:$R,MATCH($A15,'Valo FX'!$A:$A,0)),INDEX(Base!$V:$V,MATCH($A15,Base!$A:$A,0)),0)))</f>
        <v>5.9188619999999998</v>
      </c>
      <c r="BY15" s="21">
        <f>IF(BY$1&lt;INDEX('Valo FX'!$Q:$Q,MATCH($A15,'Valo FX'!$A:$A,0)),0,IF(BY$1&lt;INDEX('Valo FX'!$R:$R,MATCH($A15,'Valo FX'!$A:$A,0)),INDEX(Base!$U:$U,MATCH($A15,Base!$A:$A,0)),IF(BY$1=INDEX('Valo FX'!$R:$R,MATCH($A15,'Valo FX'!$A:$A,0)),INDEX(Base!$V:$V,MATCH($A15,Base!$A:$A,0)),0)))</f>
        <v>5.9188619999999998</v>
      </c>
      <c r="BZ15" s="21">
        <f>IF(BZ$1&lt;INDEX('Valo FX'!$Q:$Q,MATCH($A15,'Valo FX'!$A:$A,0)),0,IF(BZ$1&lt;INDEX('Valo FX'!$R:$R,MATCH($A15,'Valo FX'!$A:$A,0)),INDEX(Base!$U:$U,MATCH($A15,Base!$A:$A,0)),IF(BZ$1=INDEX('Valo FX'!$R:$R,MATCH($A15,'Valo FX'!$A:$A,0)),INDEX(Base!$V:$V,MATCH($A15,Base!$A:$A,0)),0)))</f>
        <v>5.9188619999999998</v>
      </c>
      <c r="CA15" s="21">
        <f>IF(CA$1&lt;INDEX('Valo FX'!$Q:$Q,MATCH($A15,'Valo FX'!$A:$A,0)),0,IF(CA$1&lt;INDEX('Valo FX'!$R:$R,MATCH($A15,'Valo FX'!$A:$A,0)),INDEX(Base!$U:$U,MATCH($A15,Base!$A:$A,0)),IF(CA$1=INDEX('Valo FX'!$R:$R,MATCH($A15,'Valo FX'!$A:$A,0)),INDEX(Base!$V:$V,MATCH($A15,Base!$A:$A,0)),0)))</f>
        <v>5.9188619999999998</v>
      </c>
      <c r="CB15" s="21">
        <f>IF(CB$1&lt;INDEX('Valo FX'!$Q:$Q,MATCH($A15,'Valo FX'!$A:$A,0)),0,IF(CB$1&lt;INDEX('Valo FX'!$R:$R,MATCH($A15,'Valo FX'!$A:$A,0)),INDEX(Base!$U:$U,MATCH($A15,Base!$A:$A,0)),IF(CB$1=INDEX('Valo FX'!$R:$R,MATCH($A15,'Valo FX'!$A:$A,0)),INDEX(Base!$V:$V,MATCH($A15,Base!$A:$A,0)),0)))</f>
        <v>5.9188619999999998</v>
      </c>
      <c r="CC15" s="21">
        <f>IF(CC$1&lt;INDEX('Valo FX'!$Q:$Q,MATCH($A15,'Valo FX'!$A:$A,0)),0,IF(CC$1&lt;INDEX('Valo FX'!$R:$R,MATCH($A15,'Valo FX'!$A:$A,0)),INDEX(Base!$U:$U,MATCH($A15,Base!$A:$A,0)),IF(CC$1=INDEX('Valo FX'!$R:$R,MATCH($A15,'Valo FX'!$A:$A,0)),INDEX(Base!$V:$V,MATCH($A15,Base!$A:$A,0)),0)))</f>
        <v>5.9188619999999998</v>
      </c>
      <c r="CD15" s="21">
        <f>IF(CD$1&lt;INDEX('Valo FX'!$Q:$Q,MATCH($A15,'Valo FX'!$A:$A,0)),0,IF(CD$1&lt;INDEX('Valo FX'!$R:$R,MATCH($A15,'Valo FX'!$A:$A,0)),INDEX(Base!$U:$U,MATCH($A15,Base!$A:$A,0)),IF(CD$1=INDEX('Valo FX'!$R:$R,MATCH($A15,'Valo FX'!$A:$A,0)),INDEX(Base!$V:$V,MATCH($A15,Base!$A:$A,0)),0)))</f>
        <v>5.9188619999999998</v>
      </c>
      <c r="CE15" s="21">
        <f>IF(CE$1&lt;INDEX('Valo FX'!$Q:$Q,MATCH($A15,'Valo FX'!$A:$A,0)),0,IF(CE$1&lt;INDEX('Valo FX'!$R:$R,MATCH($A15,'Valo FX'!$A:$A,0)),INDEX(Base!$U:$U,MATCH($A15,Base!$A:$A,0)),IF(CE$1=INDEX('Valo FX'!$R:$R,MATCH($A15,'Valo FX'!$A:$A,0)),INDEX(Base!$V:$V,MATCH($A15,Base!$A:$A,0)),0)))</f>
        <v>5.9188619999999998</v>
      </c>
      <c r="CF15" s="21">
        <f>IF(CF$1&lt;INDEX('Valo FX'!$Q:$Q,MATCH($A15,'Valo FX'!$A:$A,0)),0,IF(CF$1&lt;INDEX('Valo FX'!$R:$R,MATCH($A15,'Valo FX'!$A:$A,0)),INDEX(Base!$U:$U,MATCH($A15,Base!$A:$A,0)),IF(CF$1=INDEX('Valo FX'!$R:$R,MATCH($A15,'Valo FX'!$A:$A,0)),INDEX(Base!$V:$V,MATCH($A15,Base!$A:$A,0)),0)))</f>
        <v>5.9188619999999998</v>
      </c>
      <c r="CG15" s="21">
        <f>IF(CG$1&lt;INDEX('Valo FX'!$Q:$Q,MATCH($A15,'Valo FX'!$A:$A,0)),0,IF(CG$1&lt;INDEX('Valo FX'!$R:$R,MATCH($A15,'Valo FX'!$A:$A,0)),INDEX(Base!$U:$U,MATCH($A15,Base!$A:$A,0)),IF(CG$1=INDEX('Valo FX'!$R:$R,MATCH($A15,'Valo FX'!$A:$A,0)),INDEX(Base!$V:$V,MATCH($A15,Base!$A:$A,0)),0)))</f>
        <v>5.9188619999999998</v>
      </c>
      <c r="CH15" s="21">
        <f>IF(CH$1&lt;INDEX('Valo FX'!$Q:$Q,MATCH($A15,'Valo FX'!$A:$A,0)),0,IF(CH$1&lt;INDEX('Valo FX'!$R:$R,MATCH($A15,'Valo FX'!$A:$A,0)),INDEX(Base!$U:$U,MATCH($A15,Base!$A:$A,0)),IF(CH$1=INDEX('Valo FX'!$R:$R,MATCH($A15,'Valo FX'!$A:$A,0)),INDEX(Base!$V:$V,MATCH($A15,Base!$A:$A,0)),0)))</f>
        <v>5.9188619999999998</v>
      </c>
      <c r="CI15" s="21">
        <f>IF(CI$1&lt;INDEX('Valo FX'!$Q:$Q,MATCH($A15,'Valo FX'!$A:$A,0)),0,IF(CI$1&lt;INDEX('Valo FX'!$R:$R,MATCH($A15,'Valo FX'!$A:$A,0)),INDEX(Base!$U:$U,MATCH($A15,Base!$A:$A,0)),IF(CI$1=INDEX('Valo FX'!$R:$R,MATCH($A15,'Valo FX'!$A:$A,0)),INDEX(Base!$V:$V,MATCH($A15,Base!$A:$A,0)),0)))</f>
        <v>5.9188619999999998</v>
      </c>
      <c r="CJ15" s="21">
        <f>IF(CJ$1&lt;INDEX('Valo FX'!$Q:$Q,MATCH($A15,'Valo FX'!$A:$A,0)),0,IF(CJ$1&lt;INDEX('Valo FX'!$R:$R,MATCH($A15,'Valo FX'!$A:$A,0)),INDEX(Base!$U:$U,MATCH($A15,Base!$A:$A,0)),IF(CJ$1=INDEX('Valo FX'!$R:$R,MATCH($A15,'Valo FX'!$A:$A,0)),INDEX(Base!$V:$V,MATCH($A15,Base!$A:$A,0)),0)))</f>
        <v>5.9188619999999998</v>
      </c>
      <c r="CK15" s="21">
        <f>IF(CK$1&lt;INDEX('Valo FX'!$Q:$Q,MATCH($A15,'Valo FX'!$A:$A,0)),0,IF(CK$1&lt;INDEX('Valo FX'!$R:$R,MATCH($A15,'Valo FX'!$A:$A,0)),INDEX(Base!$U:$U,MATCH($A15,Base!$A:$A,0)),IF(CK$1=INDEX('Valo FX'!$R:$R,MATCH($A15,'Valo FX'!$A:$A,0)),INDEX(Base!$V:$V,MATCH($A15,Base!$A:$A,0)),0)))</f>
        <v>5.9188619999999998</v>
      </c>
      <c r="CL15" s="21">
        <f>IF(CL$1&lt;INDEX('Valo FX'!$Q:$Q,MATCH($A15,'Valo FX'!$A:$A,0)),0,IF(CL$1&lt;INDEX('Valo FX'!$R:$R,MATCH($A15,'Valo FX'!$A:$A,0)),INDEX(Base!$U:$U,MATCH($A15,Base!$A:$A,0)),IF(CL$1=INDEX('Valo FX'!$R:$R,MATCH($A15,'Valo FX'!$A:$A,0)),INDEX(Base!$V:$V,MATCH($A15,Base!$A:$A,0)),0)))</f>
        <v>5.9188619999999998</v>
      </c>
      <c r="CM15" s="21">
        <f>IF(CM$1&lt;INDEX('Valo FX'!$Q:$Q,MATCH($A15,'Valo FX'!$A:$A,0)),0,IF(CM$1&lt;INDEX('Valo FX'!$R:$R,MATCH($A15,'Valo FX'!$A:$A,0)),INDEX(Base!$U:$U,MATCH($A15,Base!$A:$A,0)),IF(CM$1=INDEX('Valo FX'!$R:$R,MATCH($A15,'Valo FX'!$A:$A,0)),INDEX(Base!$V:$V,MATCH($A15,Base!$A:$A,0)),0)))</f>
        <v>5.9188619999999998</v>
      </c>
      <c r="CN15" s="21">
        <f>IF(CN$1&lt;INDEX('Valo FX'!$Q:$Q,MATCH($A15,'Valo FX'!$A:$A,0)),0,IF(CN$1&lt;INDEX('Valo FX'!$R:$R,MATCH($A15,'Valo FX'!$A:$A,0)),INDEX(Base!$U:$U,MATCH($A15,Base!$A:$A,0)),IF(CN$1=INDEX('Valo FX'!$R:$R,MATCH($A15,'Valo FX'!$A:$A,0)),INDEX(Base!$V:$V,MATCH($A15,Base!$A:$A,0)),0)))</f>
        <v>5.9188619999999998</v>
      </c>
      <c r="CO15" s="21">
        <f>IF(CO$1&lt;INDEX('Valo FX'!$Q:$Q,MATCH($A15,'Valo FX'!$A:$A,0)),0,IF(CO$1&lt;INDEX('Valo FX'!$R:$R,MATCH($A15,'Valo FX'!$A:$A,0)),INDEX(Base!$U:$U,MATCH($A15,Base!$A:$A,0)),IF(CO$1=INDEX('Valo FX'!$R:$R,MATCH($A15,'Valo FX'!$A:$A,0)),INDEX(Base!$V:$V,MATCH($A15,Base!$A:$A,0)),0)))</f>
        <v>5.9188619999999998</v>
      </c>
      <c r="CP15" s="21">
        <f>IF(CP$1&lt;INDEX('Valo FX'!$Q:$Q,MATCH($A15,'Valo FX'!$A:$A,0)),0,IF(CP$1&lt;INDEX('Valo FX'!$R:$R,MATCH($A15,'Valo FX'!$A:$A,0)),INDEX(Base!$U:$U,MATCH($A15,Base!$A:$A,0)),IF(CP$1=INDEX('Valo FX'!$R:$R,MATCH($A15,'Valo FX'!$A:$A,0)),INDEX(Base!$V:$V,MATCH($A15,Base!$A:$A,0)),0)))</f>
        <v>5.9188619999999998</v>
      </c>
      <c r="CQ15" s="21">
        <f>IF(CQ$1&lt;INDEX('Valo FX'!$Q:$Q,MATCH($A15,'Valo FX'!$A:$A,0)),0,IF(CQ$1&lt;INDEX('Valo FX'!$R:$R,MATCH($A15,'Valo FX'!$A:$A,0)),INDEX(Base!$U:$U,MATCH($A15,Base!$A:$A,0)),IF(CQ$1=INDEX('Valo FX'!$R:$R,MATCH($A15,'Valo FX'!$A:$A,0)),INDEX(Base!$V:$V,MATCH($A15,Base!$A:$A,0)),0)))</f>
        <v>5.9188619999999998</v>
      </c>
      <c r="CR15" s="21">
        <f>IF(CR$1&lt;INDEX('Valo FX'!$Q:$Q,MATCH($A15,'Valo FX'!$A:$A,0)),0,IF(CR$1&lt;INDEX('Valo FX'!$R:$R,MATCH($A15,'Valo FX'!$A:$A,0)),INDEX(Base!$U:$U,MATCH($A15,Base!$A:$A,0)),IF(CR$1=INDEX('Valo FX'!$R:$R,MATCH($A15,'Valo FX'!$A:$A,0)),INDEX(Base!$V:$V,MATCH($A15,Base!$A:$A,0)),0)))</f>
        <v>5.9188619999999998</v>
      </c>
      <c r="CS15" s="21">
        <f>IF(CS$1&lt;INDEX('Valo FX'!$Q:$Q,MATCH($A15,'Valo FX'!$A:$A,0)),0,IF(CS$1&lt;INDEX('Valo FX'!$R:$R,MATCH($A15,'Valo FX'!$A:$A,0)),INDEX(Base!$U:$U,MATCH($A15,Base!$A:$A,0)),IF(CS$1=INDEX('Valo FX'!$R:$R,MATCH($A15,'Valo FX'!$A:$A,0)),INDEX(Base!$V:$V,MATCH($A15,Base!$A:$A,0)),0)))</f>
        <v>5.9188619999999998</v>
      </c>
      <c r="CT15" s="21">
        <f>IF(CT$1&lt;INDEX('Valo FX'!$Q:$Q,MATCH($A15,'Valo FX'!$A:$A,0)),0,IF(CT$1&lt;INDEX('Valo FX'!$R:$R,MATCH($A15,'Valo FX'!$A:$A,0)),INDEX(Base!$U:$U,MATCH($A15,Base!$A:$A,0)),IF(CT$1=INDEX('Valo FX'!$R:$R,MATCH($A15,'Valo FX'!$A:$A,0)),INDEX(Base!$V:$V,MATCH($A15,Base!$A:$A,0)),0)))</f>
        <v>5.9188619999999998</v>
      </c>
      <c r="CU15" s="21">
        <f>IF(CU$1&lt;INDEX('Valo FX'!$Q:$Q,MATCH($A15,'Valo FX'!$A:$A,0)),0,IF(CU$1&lt;INDEX('Valo FX'!$R:$R,MATCH($A15,'Valo FX'!$A:$A,0)),INDEX(Base!$U:$U,MATCH($A15,Base!$A:$A,0)),IF(CU$1=INDEX('Valo FX'!$R:$R,MATCH($A15,'Valo FX'!$A:$A,0)),INDEX(Base!$V:$V,MATCH($A15,Base!$A:$A,0)),0)))</f>
        <v>5.9188619999999998</v>
      </c>
      <c r="CV15" s="21">
        <f>IF(CV$1&lt;INDEX('Valo FX'!$Q:$Q,MATCH($A15,'Valo FX'!$A:$A,0)),0,IF(CV$1&lt;INDEX('Valo FX'!$R:$R,MATCH($A15,'Valo FX'!$A:$A,0)),INDEX(Base!$U:$U,MATCH($A15,Base!$A:$A,0)),IF(CV$1=INDEX('Valo FX'!$R:$R,MATCH($A15,'Valo FX'!$A:$A,0)),INDEX(Base!$V:$V,MATCH($A15,Base!$A:$A,0)),0)))</f>
        <v>5.9188619999999998</v>
      </c>
      <c r="CW15" s="21">
        <f>IF(CW$1&lt;INDEX('Valo FX'!$Q:$Q,MATCH($A15,'Valo FX'!$A:$A,0)),0,IF(CW$1&lt;INDEX('Valo FX'!$R:$R,MATCH($A15,'Valo FX'!$A:$A,0)),INDEX(Base!$U:$U,MATCH($A15,Base!$A:$A,0)),IF(CW$1=INDEX('Valo FX'!$R:$R,MATCH($A15,'Valo FX'!$A:$A,0)),INDEX(Base!$V:$V,MATCH($A15,Base!$A:$A,0)),0)))</f>
        <v>5.9188619999999998</v>
      </c>
      <c r="CX15" s="21">
        <f>IF(CX$1&lt;INDEX('Valo FX'!$Q:$Q,MATCH($A15,'Valo FX'!$A:$A,0)),0,IF(CX$1&lt;INDEX('Valo FX'!$R:$R,MATCH($A15,'Valo FX'!$A:$A,0)),INDEX(Base!$U:$U,MATCH($A15,Base!$A:$A,0)),IF(CX$1=INDEX('Valo FX'!$R:$R,MATCH($A15,'Valo FX'!$A:$A,0)),INDEX(Base!$V:$V,MATCH($A15,Base!$A:$A,0)),0)))</f>
        <v>5.9188619999999998</v>
      </c>
      <c r="CY15" s="21">
        <f>IF(CY$1&lt;INDEX('Valo FX'!$Q:$Q,MATCH($A15,'Valo FX'!$A:$A,0)),0,IF(CY$1&lt;INDEX('Valo FX'!$R:$R,MATCH($A15,'Valo FX'!$A:$A,0)),INDEX(Base!$U:$U,MATCH($A15,Base!$A:$A,0)),IF(CY$1=INDEX('Valo FX'!$R:$R,MATCH($A15,'Valo FX'!$A:$A,0)),INDEX(Base!$V:$V,MATCH($A15,Base!$A:$A,0)),0)))</f>
        <v>5.9188619999999998</v>
      </c>
      <c r="CZ15" s="21">
        <f>IF(CZ$1&lt;INDEX('Valo FX'!$Q:$Q,MATCH($A15,'Valo FX'!$A:$A,0)),0,IF(CZ$1&lt;INDEX('Valo FX'!$R:$R,MATCH($A15,'Valo FX'!$A:$A,0)),INDEX(Base!$U:$U,MATCH($A15,Base!$A:$A,0)),IF(CZ$1=INDEX('Valo FX'!$R:$R,MATCH($A15,'Valo FX'!$A:$A,0)),INDEX(Base!$V:$V,MATCH($A15,Base!$A:$A,0)),0)))</f>
        <v>5.9188619999999998</v>
      </c>
      <c r="DA15" s="21">
        <f>IF(DA$1&lt;INDEX('Valo FX'!$Q:$Q,MATCH($A15,'Valo FX'!$A:$A,0)),0,IF(DA$1&lt;INDEX('Valo FX'!$R:$R,MATCH($A15,'Valo FX'!$A:$A,0)),INDEX(Base!$U:$U,MATCH($A15,Base!$A:$A,0)),IF(DA$1=INDEX('Valo FX'!$R:$R,MATCH($A15,'Valo FX'!$A:$A,0)),INDEX(Base!$V:$V,MATCH($A15,Base!$A:$A,0)),0)))</f>
        <v>5.9188619999999998</v>
      </c>
      <c r="DB15" s="21">
        <f>IF(DB$1&lt;INDEX('Valo FX'!$Q:$Q,MATCH($A15,'Valo FX'!$A:$A,0)),0,IF(DB$1&lt;INDEX('Valo FX'!$R:$R,MATCH($A15,'Valo FX'!$A:$A,0)),INDEX(Base!$U:$U,MATCH($A15,Base!$A:$A,0)),IF(DB$1=INDEX('Valo FX'!$R:$R,MATCH($A15,'Valo FX'!$A:$A,0)),INDEX(Base!$V:$V,MATCH($A15,Base!$A:$A,0)),0)))</f>
        <v>5.9188619999999998</v>
      </c>
      <c r="DC15" s="21">
        <f>IF(DC$1&lt;INDEX('Valo FX'!$Q:$Q,MATCH($A15,'Valo FX'!$A:$A,0)),0,IF(DC$1&lt;INDEX('Valo FX'!$R:$R,MATCH($A15,'Valo FX'!$A:$A,0)),INDEX(Base!$U:$U,MATCH($A15,Base!$A:$A,0)),IF(DC$1=INDEX('Valo FX'!$R:$R,MATCH($A15,'Valo FX'!$A:$A,0)),INDEX(Base!$V:$V,MATCH($A15,Base!$A:$A,0)),0)))</f>
        <v>5.9188619999999998</v>
      </c>
      <c r="DD15" s="21">
        <f>IF(DD$1&lt;INDEX('Valo FX'!$Q:$Q,MATCH($A15,'Valo FX'!$A:$A,0)),0,IF(DD$1&lt;INDEX('Valo FX'!$R:$R,MATCH($A15,'Valo FX'!$A:$A,0)),INDEX(Base!$U:$U,MATCH($A15,Base!$A:$A,0)),IF(DD$1=INDEX('Valo FX'!$R:$R,MATCH($A15,'Valo FX'!$A:$A,0)),INDEX(Base!$V:$V,MATCH($A15,Base!$A:$A,0)),0)))</f>
        <v>5.9188619999999998</v>
      </c>
      <c r="DE15" s="21">
        <f>IF(DE$1&lt;INDEX('Valo FX'!$Q:$Q,MATCH($A15,'Valo FX'!$A:$A,0)),0,IF(DE$1&lt;INDEX('Valo FX'!$R:$R,MATCH($A15,'Valo FX'!$A:$A,0)),INDEX(Base!$U:$U,MATCH($A15,Base!$A:$A,0)),IF(DE$1=INDEX('Valo FX'!$R:$R,MATCH($A15,'Valo FX'!$A:$A,0)),INDEX(Base!$V:$V,MATCH($A15,Base!$A:$A,0)),0)))</f>
        <v>5.9188619999999998</v>
      </c>
      <c r="DF15" s="21">
        <f>IF(DF$1&lt;INDEX('Valo FX'!$Q:$Q,MATCH($A15,'Valo FX'!$A:$A,0)),0,IF(DF$1&lt;INDEX('Valo FX'!$R:$R,MATCH($A15,'Valo FX'!$A:$A,0)),INDEX(Base!$U:$U,MATCH($A15,Base!$A:$A,0)),IF(DF$1=INDEX('Valo FX'!$R:$R,MATCH($A15,'Valo FX'!$A:$A,0)),INDEX(Base!$V:$V,MATCH($A15,Base!$A:$A,0)),0)))</f>
        <v>5.9188619999999998</v>
      </c>
      <c r="DG15" s="21">
        <f>IF(DG$1&lt;INDEX('Valo FX'!$Q:$Q,MATCH($A15,'Valo FX'!$A:$A,0)),0,IF(DG$1&lt;INDEX('Valo FX'!$R:$R,MATCH($A15,'Valo FX'!$A:$A,0)),INDEX(Base!$U:$U,MATCH($A15,Base!$A:$A,0)),IF(DG$1=INDEX('Valo FX'!$R:$R,MATCH($A15,'Valo FX'!$A:$A,0)),INDEX(Base!$V:$V,MATCH($A15,Base!$A:$A,0)),0)))</f>
        <v>5.9188619999999998</v>
      </c>
      <c r="DH15" s="21">
        <f>IF(DH$1&lt;INDEX('Valo FX'!$Q:$Q,MATCH($A15,'Valo FX'!$A:$A,0)),0,IF(DH$1&lt;INDEX('Valo FX'!$R:$R,MATCH($A15,'Valo FX'!$A:$A,0)),INDEX(Base!$U:$U,MATCH($A15,Base!$A:$A,0)),IF(DH$1=INDEX('Valo FX'!$R:$R,MATCH($A15,'Valo FX'!$A:$A,0)),INDEX(Base!$V:$V,MATCH($A15,Base!$A:$A,0)),0)))</f>
        <v>5.9188619999999998</v>
      </c>
      <c r="DI15" s="21">
        <f>IF(DI$1&lt;INDEX('Valo FX'!$Q:$Q,MATCH($A15,'Valo FX'!$A:$A,0)),0,IF(DI$1&lt;INDEX('Valo FX'!$R:$R,MATCH($A15,'Valo FX'!$A:$A,0)),INDEX(Base!$U:$U,MATCH($A15,Base!$A:$A,0)),IF(DI$1=INDEX('Valo FX'!$R:$R,MATCH($A15,'Valo FX'!$A:$A,0)),INDEX(Base!$V:$V,MATCH($A15,Base!$A:$A,0)),0)))</f>
        <v>5.9188619999999998</v>
      </c>
      <c r="DJ15" s="21">
        <f>IF(DJ$1&lt;INDEX('Valo FX'!$Q:$Q,MATCH($A15,'Valo FX'!$A:$A,0)),0,IF(DJ$1&lt;INDEX('Valo FX'!$R:$R,MATCH($A15,'Valo FX'!$A:$A,0)),INDEX(Base!$U:$U,MATCH($A15,Base!$A:$A,0)),IF(DJ$1=INDEX('Valo FX'!$R:$R,MATCH($A15,'Valo FX'!$A:$A,0)),INDEX(Base!$V:$V,MATCH($A15,Base!$A:$A,0)),0)))</f>
        <v>5.9188619999999998</v>
      </c>
      <c r="DK15" s="21">
        <f>IF(DK$1&lt;INDEX('Valo FX'!$Q:$Q,MATCH($A15,'Valo FX'!$A:$A,0)),0,IF(DK$1&lt;INDEX('Valo FX'!$R:$R,MATCH($A15,'Valo FX'!$A:$A,0)),INDEX(Base!$U:$U,MATCH($A15,Base!$A:$A,0)),IF(DK$1=INDEX('Valo FX'!$R:$R,MATCH($A15,'Valo FX'!$A:$A,0)),INDEX(Base!$V:$V,MATCH($A15,Base!$A:$A,0)),0)))</f>
        <v>5.9188619999999998</v>
      </c>
      <c r="DL15" s="21">
        <f>IF(DL$1&lt;INDEX('Valo FX'!$Q:$Q,MATCH($A15,'Valo FX'!$A:$A,0)),0,IF(DL$1&lt;INDEX('Valo FX'!$R:$R,MATCH($A15,'Valo FX'!$A:$A,0)),INDEX(Base!$U:$U,MATCH($A15,Base!$A:$A,0)),IF(DL$1=INDEX('Valo FX'!$R:$R,MATCH($A15,'Valo FX'!$A:$A,0)),INDEX(Base!$V:$V,MATCH($A15,Base!$A:$A,0)),0)))</f>
        <v>5.9188619999999998</v>
      </c>
      <c r="DM15" s="21">
        <f>IF(DM$1&lt;INDEX('Valo FX'!$Q:$Q,MATCH($A15,'Valo FX'!$A:$A,0)),0,IF(DM$1&lt;INDEX('Valo FX'!$R:$R,MATCH($A15,'Valo FX'!$A:$A,0)),INDEX(Base!$U:$U,MATCH($A15,Base!$A:$A,0)),IF(DM$1=INDEX('Valo FX'!$R:$R,MATCH($A15,'Valo FX'!$A:$A,0)),INDEX(Base!$V:$V,MATCH($A15,Base!$A:$A,0)),0)))</f>
        <v>5.9188619999999998</v>
      </c>
      <c r="DN15" s="21">
        <f>IF(DN$1&lt;INDEX('Valo FX'!$Q:$Q,MATCH($A15,'Valo FX'!$A:$A,0)),0,IF(DN$1&lt;INDEX('Valo FX'!$R:$R,MATCH($A15,'Valo FX'!$A:$A,0)),INDEX(Base!$U:$U,MATCH($A15,Base!$A:$A,0)),IF(DN$1=INDEX('Valo FX'!$R:$R,MATCH($A15,'Valo FX'!$A:$A,0)),INDEX(Base!$V:$V,MATCH($A15,Base!$A:$A,0)),0)))</f>
        <v>5.9188619999999998</v>
      </c>
      <c r="DO15" s="21">
        <f>IF(DO$1&lt;INDEX('Valo FX'!$Q:$Q,MATCH($A15,'Valo FX'!$A:$A,0)),0,IF(DO$1&lt;INDEX('Valo FX'!$R:$R,MATCH($A15,'Valo FX'!$A:$A,0)),INDEX(Base!$U:$U,MATCH($A15,Base!$A:$A,0)),IF(DO$1=INDEX('Valo FX'!$R:$R,MATCH($A15,'Valo FX'!$A:$A,0)),INDEX(Base!$V:$V,MATCH($A15,Base!$A:$A,0)),0)))</f>
        <v>5.9188619999999998</v>
      </c>
      <c r="DP15" s="21">
        <f>IF(DP$1&lt;INDEX('Valo FX'!$Q:$Q,MATCH($A15,'Valo FX'!$A:$A,0)),0,IF(DP$1&lt;INDEX('Valo FX'!$R:$R,MATCH($A15,'Valo FX'!$A:$A,0)),INDEX(Base!$U:$U,MATCH($A15,Base!$A:$A,0)),IF(DP$1=INDEX('Valo FX'!$R:$R,MATCH($A15,'Valo FX'!$A:$A,0)),INDEX(Base!$V:$V,MATCH($A15,Base!$A:$A,0)),0)))</f>
        <v>5.9188619999999998</v>
      </c>
      <c r="DQ15" s="21">
        <f>IF(DQ$1&lt;INDEX('Valo FX'!$Q:$Q,MATCH($A15,'Valo FX'!$A:$A,0)),0,IF(DQ$1&lt;INDEX('Valo FX'!$R:$R,MATCH($A15,'Valo FX'!$A:$A,0)),INDEX(Base!$U:$U,MATCH($A15,Base!$A:$A,0)),IF(DQ$1=INDEX('Valo FX'!$R:$R,MATCH($A15,'Valo FX'!$A:$A,0)),INDEX(Base!$V:$V,MATCH($A15,Base!$A:$A,0)),0)))</f>
        <v>5.9188619999999998</v>
      </c>
      <c r="DR15" s="21">
        <f>IF(DR$1&lt;INDEX('Valo FX'!$Q:$Q,MATCH($A15,'Valo FX'!$A:$A,0)),0,IF(DR$1&lt;INDEX('Valo FX'!$R:$R,MATCH($A15,'Valo FX'!$A:$A,0)),INDEX(Base!$U:$U,MATCH($A15,Base!$A:$A,0)),IF(DR$1=INDEX('Valo FX'!$R:$R,MATCH($A15,'Valo FX'!$A:$A,0)),INDEX(Base!$V:$V,MATCH($A15,Base!$A:$A,0)),0)))</f>
        <v>5.9188619999999998</v>
      </c>
      <c r="DS15" s="21">
        <f>IF(DS$1&lt;INDEX('Valo FX'!$Q:$Q,MATCH($A15,'Valo FX'!$A:$A,0)),0,IF(DS$1&lt;INDEX('Valo FX'!$R:$R,MATCH($A15,'Valo FX'!$A:$A,0)),INDEX(Base!$U:$U,MATCH($A15,Base!$A:$A,0)),IF(DS$1=INDEX('Valo FX'!$R:$R,MATCH($A15,'Valo FX'!$A:$A,0)),INDEX(Base!$V:$V,MATCH($A15,Base!$A:$A,0)),0)))</f>
        <v>5.9188619999999998</v>
      </c>
      <c r="DT15" s="21">
        <f>IF(DT$1&lt;INDEX('Valo FX'!$Q:$Q,MATCH($A15,'Valo FX'!$A:$A,0)),0,IF(DT$1&lt;INDEX('Valo FX'!$R:$R,MATCH($A15,'Valo FX'!$A:$A,0)),INDEX(Base!$U:$U,MATCH($A15,Base!$A:$A,0)),IF(DT$1=INDEX('Valo FX'!$R:$R,MATCH($A15,'Valo FX'!$A:$A,0)),INDEX(Base!$V:$V,MATCH($A15,Base!$A:$A,0)),0)))</f>
        <v>5.9188619999999998</v>
      </c>
      <c r="DU15" s="21">
        <f>IF(DU$1&lt;INDEX('Valo FX'!$Q:$Q,MATCH($A15,'Valo FX'!$A:$A,0)),0,IF(DU$1&lt;INDEX('Valo FX'!$R:$R,MATCH($A15,'Valo FX'!$A:$A,0)),INDEX(Base!$U:$U,MATCH($A15,Base!$A:$A,0)),IF(DU$1=INDEX('Valo FX'!$R:$R,MATCH($A15,'Valo FX'!$A:$A,0)),INDEX(Base!$V:$V,MATCH($A15,Base!$A:$A,0)),0)))</f>
        <v>5.9188619999999998</v>
      </c>
      <c r="DV15" s="21">
        <f>IF(DV$1&lt;INDEX('Valo FX'!$Q:$Q,MATCH($A15,'Valo FX'!$A:$A,0)),0,IF(DV$1&lt;INDEX('Valo FX'!$R:$R,MATCH($A15,'Valo FX'!$A:$A,0)),INDEX(Base!$U:$U,MATCH($A15,Base!$A:$A,0)),IF(DV$1=INDEX('Valo FX'!$R:$R,MATCH($A15,'Valo FX'!$A:$A,0)),INDEX(Base!$V:$V,MATCH($A15,Base!$A:$A,0)),0)))</f>
        <v>5.9188619999999998</v>
      </c>
      <c r="DW15" s="21">
        <f>IF(DW$1&lt;INDEX('Valo FX'!$Q:$Q,MATCH($A15,'Valo FX'!$A:$A,0)),0,IF(DW$1&lt;INDEX('Valo FX'!$R:$R,MATCH($A15,'Valo FX'!$A:$A,0)),INDEX(Base!$U:$U,MATCH($A15,Base!$A:$A,0)),IF(DW$1=INDEX('Valo FX'!$R:$R,MATCH($A15,'Valo FX'!$A:$A,0)),INDEX(Base!$V:$V,MATCH($A15,Base!$A:$A,0)),0)))</f>
        <v>5.9188619999999998</v>
      </c>
      <c r="DX15" s="21">
        <f>IF(DX$1&lt;INDEX('Valo FX'!$Q:$Q,MATCH($A15,'Valo FX'!$A:$A,0)),0,IF(DX$1&lt;INDEX('Valo FX'!$R:$R,MATCH($A15,'Valo FX'!$A:$A,0)),INDEX(Base!$U:$U,MATCH($A15,Base!$A:$A,0)),IF(DX$1=INDEX('Valo FX'!$R:$R,MATCH($A15,'Valo FX'!$A:$A,0)),INDEX(Base!$V:$V,MATCH($A15,Base!$A:$A,0)),0)))</f>
        <v>5.9188619999999998</v>
      </c>
      <c r="DY15" s="21">
        <f>IF(DY$1&lt;INDEX('Valo FX'!$Q:$Q,MATCH($A15,'Valo FX'!$A:$A,0)),0,IF(DY$1&lt;INDEX('Valo FX'!$R:$R,MATCH($A15,'Valo FX'!$A:$A,0)),INDEX(Base!$U:$U,MATCH($A15,Base!$A:$A,0)),IF(DY$1=INDEX('Valo FX'!$R:$R,MATCH($A15,'Valo FX'!$A:$A,0)),INDEX(Base!$V:$V,MATCH($A15,Base!$A:$A,0)),0)))</f>
        <v>5.9188619999999998</v>
      </c>
      <c r="DZ15" s="21">
        <f>IF(DZ$1&lt;INDEX('Valo FX'!$Q:$Q,MATCH($A15,'Valo FX'!$A:$A,0)),0,IF(DZ$1&lt;INDEX('Valo FX'!$R:$R,MATCH($A15,'Valo FX'!$A:$A,0)),INDEX(Base!$U:$U,MATCH($A15,Base!$A:$A,0)),IF(DZ$1=INDEX('Valo FX'!$R:$R,MATCH($A15,'Valo FX'!$A:$A,0)),INDEX(Base!$V:$V,MATCH($A15,Base!$A:$A,0)),0)))</f>
        <v>5.9188619999999998</v>
      </c>
      <c r="EA15" s="21">
        <f>IF(EA$1&lt;INDEX('Valo FX'!$Q:$Q,MATCH($A15,'Valo FX'!$A:$A,0)),0,IF(EA$1&lt;INDEX('Valo FX'!$R:$R,MATCH($A15,'Valo FX'!$A:$A,0)),INDEX(Base!$U:$U,MATCH($A15,Base!$A:$A,0)),IF(EA$1=INDEX('Valo FX'!$R:$R,MATCH($A15,'Valo FX'!$A:$A,0)),INDEX(Base!$V:$V,MATCH($A15,Base!$A:$A,0)),0)))</f>
        <v>5.9188619999999998</v>
      </c>
      <c r="EB15" s="21">
        <f>IF(EB$1&lt;INDEX('Valo FX'!$Q:$Q,MATCH($A15,'Valo FX'!$A:$A,0)),0,IF(EB$1&lt;INDEX('Valo FX'!$R:$R,MATCH($A15,'Valo FX'!$A:$A,0)),INDEX(Base!$U:$U,MATCH($A15,Base!$A:$A,0)),IF(EB$1=INDEX('Valo FX'!$R:$R,MATCH($A15,'Valo FX'!$A:$A,0)),INDEX(Base!$V:$V,MATCH($A15,Base!$A:$A,0)),0)))</f>
        <v>5.9188619999999998</v>
      </c>
      <c r="EC15" s="21">
        <f>IF(EC$1&lt;INDEX('Valo FX'!$Q:$Q,MATCH($A15,'Valo FX'!$A:$A,0)),0,IF(EC$1&lt;INDEX('Valo FX'!$R:$R,MATCH($A15,'Valo FX'!$A:$A,0)),INDEX(Base!$U:$U,MATCH($A15,Base!$A:$A,0)),IF(EC$1=INDEX('Valo FX'!$R:$R,MATCH($A15,'Valo FX'!$A:$A,0)),INDEX(Base!$V:$V,MATCH($A15,Base!$A:$A,0)),0)))</f>
        <v>5.9188619999999998</v>
      </c>
      <c r="ED15" s="21">
        <f>IF(ED$1&lt;INDEX('Valo FX'!$Q:$Q,MATCH($A15,'Valo FX'!$A:$A,0)),0,IF(ED$1&lt;INDEX('Valo FX'!$R:$R,MATCH($A15,'Valo FX'!$A:$A,0)),INDEX(Base!$U:$U,MATCH($A15,Base!$A:$A,0)),IF(ED$1=INDEX('Valo FX'!$R:$R,MATCH($A15,'Valo FX'!$A:$A,0)),INDEX(Base!$V:$V,MATCH($A15,Base!$A:$A,0)),0)))</f>
        <v>5.9188619999999998</v>
      </c>
      <c r="EE15" s="21">
        <f>IF(EE$1&lt;INDEX('Valo FX'!$Q:$Q,MATCH($A15,'Valo FX'!$A:$A,0)),0,IF(EE$1&lt;INDEX('Valo FX'!$R:$R,MATCH($A15,'Valo FX'!$A:$A,0)),INDEX(Base!$U:$U,MATCH($A15,Base!$A:$A,0)),IF(EE$1=INDEX('Valo FX'!$R:$R,MATCH($A15,'Valo FX'!$A:$A,0)),INDEX(Base!$V:$V,MATCH($A15,Base!$A:$A,0)),0)))</f>
        <v>5.9188619999999998</v>
      </c>
      <c r="EF15" s="21">
        <f>IF(EF$1&lt;INDEX('Valo FX'!$Q:$Q,MATCH($A15,'Valo FX'!$A:$A,0)),0,IF(EF$1&lt;INDEX('Valo FX'!$R:$R,MATCH($A15,'Valo FX'!$A:$A,0)),INDEX(Base!$U:$U,MATCH($A15,Base!$A:$A,0)),IF(EF$1=INDEX('Valo FX'!$R:$R,MATCH($A15,'Valo FX'!$A:$A,0)),INDEX(Base!$V:$V,MATCH($A15,Base!$A:$A,0)),0)))</f>
        <v>5.9188619999999998</v>
      </c>
      <c r="EG15" s="21">
        <f>IF(EG$1&lt;INDEX('Valo FX'!$Q:$Q,MATCH($A15,'Valo FX'!$A:$A,0)),0,IF(EG$1&lt;INDEX('Valo FX'!$R:$R,MATCH($A15,'Valo FX'!$A:$A,0)),INDEX(Base!$U:$U,MATCH($A15,Base!$A:$A,0)),IF(EG$1=INDEX('Valo FX'!$R:$R,MATCH($A15,'Valo FX'!$A:$A,0)),INDEX(Base!$V:$V,MATCH($A15,Base!$A:$A,0)),0)))</f>
        <v>5.9188619999999998</v>
      </c>
      <c r="EH15" s="21">
        <f>IF(EH$1&lt;INDEX('Valo FX'!$Q:$Q,MATCH($A15,'Valo FX'!$A:$A,0)),0,IF(EH$1&lt;INDEX('Valo FX'!$R:$R,MATCH($A15,'Valo FX'!$A:$A,0)),INDEX(Base!$U:$U,MATCH($A15,Base!$A:$A,0)),IF(EH$1=INDEX('Valo FX'!$R:$R,MATCH($A15,'Valo FX'!$A:$A,0)),INDEX(Base!$V:$V,MATCH($A15,Base!$A:$A,0)),0)))</f>
        <v>5.9188619999999998</v>
      </c>
      <c r="EI15" s="21">
        <f>IF(EI$1&lt;INDEX('Valo FX'!$Q:$Q,MATCH($A15,'Valo FX'!$A:$A,0)),0,IF(EI$1&lt;INDEX('Valo FX'!$R:$R,MATCH($A15,'Valo FX'!$A:$A,0)),INDEX(Base!$U:$U,MATCH($A15,Base!$A:$A,0)),IF(EI$1=INDEX('Valo FX'!$R:$R,MATCH($A15,'Valo FX'!$A:$A,0)),INDEX(Base!$V:$V,MATCH($A15,Base!$A:$A,0)),0)))</f>
        <v>5.9188619999999998</v>
      </c>
      <c r="EJ15" s="21">
        <f>IF(EJ$1&lt;INDEX('Valo FX'!$Q:$Q,MATCH($A15,'Valo FX'!$A:$A,0)),0,IF(EJ$1&lt;INDEX('Valo FX'!$R:$R,MATCH($A15,'Valo FX'!$A:$A,0)),INDEX(Base!$U:$U,MATCH($A15,Base!$A:$A,0)),IF(EJ$1=INDEX('Valo FX'!$R:$R,MATCH($A15,'Valo FX'!$A:$A,0)),INDEX(Base!$V:$V,MATCH($A15,Base!$A:$A,0)),0)))</f>
        <v>5.9188619999999998</v>
      </c>
      <c r="EK15" s="21">
        <f>IF(EK$1&lt;INDEX('Valo FX'!$Q:$Q,MATCH($A15,'Valo FX'!$A:$A,0)),0,IF(EK$1&lt;INDEX('Valo FX'!$R:$R,MATCH($A15,'Valo FX'!$A:$A,0)),INDEX(Base!$U:$U,MATCH($A15,Base!$A:$A,0)),IF(EK$1=INDEX('Valo FX'!$R:$R,MATCH($A15,'Valo FX'!$A:$A,0)),INDEX(Base!$V:$V,MATCH($A15,Base!$A:$A,0)),0)))</f>
        <v>5.9188619999999998</v>
      </c>
      <c r="EL15" s="21">
        <f>IF(EL$1&lt;INDEX('Valo FX'!$Q:$Q,MATCH($A15,'Valo FX'!$A:$A,0)),0,IF(EL$1&lt;INDEX('Valo FX'!$R:$R,MATCH($A15,'Valo FX'!$A:$A,0)),INDEX(Base!$U:$U,MATCH($A15,Base!$A:$A,0)),IF(EL$1=INDEX('Valo FX'!$R:$R,MATCH($A15,'Valo FX'!$A:$A,0)),INDEX(Base!$V:$V,MATCH($A15,Base!$A:$A,0)),0)))</f>
        <v>5.9188619999999998</v>
      </c>
      <c r="EM15" s="21">
        <f>IF(EM$1&lt;INDEX('Valo FX'!$Q:$Q,MATCH($A15,'Valo FX'!$A:$A,0)),0,IF(EM$1&lt;INDEX('Valo FX'!$R:$R,MATCH($A15,'Valo FX'!$A:$A,0)),INDEX(Base!$U:$U,MATCH($A15,Base!$A:$A,0)),IF(EM$1=INDEX('Valo FX'!$R:$R,MATCH($A15,'Valo FX'!$A:$A,0)),INDEX(Base!$V:$V,MATCH($A15,Base!$A:$A,0)),0)))</f>
        <v>5.9188619999999998</v>
      </c>
      <c r="EN15" s="21">
        <f>IF(EN$1&lt;INDEX('Valo FX'!$Q:$Q,MATCH($A15,'Valo FX'!$A:$A,0)),0,IF(EN$1&lt;INDEX('Valo FX'!$R:$R,MATCH($A15,'Valo FX'!$A:$A,0)),INDEX(Base!$U:$U,MATCH($A15,Base!$A:$A,0)),IF(EN$1=INDEX('Valo FX'!$R:$R,MATCH($A15,'Valo FX'!$A:$A,0)),INDEX(Base!$V:$V,MATCH($A15,Base!$A:$A,0)),0)))</f>
        <v>5.9188619999999998</v>
      </c>
      <c r="EO15" s="21">
        <f>IF(EO$1&lt;INDEX('Valo FX'!$Q:$Q,MATCH($A15,'Valo FX'!$A:$A,0)),0,IF(EO$1&lt;INDEX('Valo FX'!$R:$R,MATCH($A15,'Valo FX'!$A:$A,0)),INDEX(Base!$U:$U,MATCH($A15,Base!$A:$A,0)),IF(EO$1=INDEX('Valo FX'!$R:$R,MATCH($A15,'Valo FX'!$A:$A,0)),INDEX(Base!$V:$V,MATCH($A15,Base!$A:$A,0)),0)))</f>
        <v>5.9188619999999998</v>
      </c>
      <c r="EP15" s="21">
        <f>IF(EP$1&lt;INDEX('Valo FX'!$Q:$Q,MATCH($A15,'Valo FX'!$A:$A,0)),0,IF(EP$1&lt;INDEX('Valo FX'!$R:$R,MATCH($A15,'Valo FX'!$A:$A,0)),INDEX(Base!$U:$U,MATCH($A15,Base!$A:$A,0)),IF(EP$1=INDEX('Valo FX'!$R:$R,MATCH($A15,'Valo FX'!$A:$A,0)),INDEX(Base!$V:$V,MATCH($A15,Base!$A:$A,0)),0)))</f>
        <v>5.9188619999999998</v>
      </c>
      <c r="EQ15" s="21">
        <f>IF(EQ$1&lt;INDEX('Valo FX'!$Q:$Q,MATCH($A15,'Valo FX'!$A:$A,0)),0,IF(EQ$1&lt;INDEX('Valo FX'!$R:$R,MATCH($A15,'Valo FX'!$A:$A,0)),INDEX(Base!$U:$U,MATCH($A15,Base!$A:$A,0)),IF(EQ$1=INDEX('Valo FX'!$R:$R,MATCH($A15,'Valo FX'!$A:$A,0)),INDEX(Base!$V:$V,MATCH($A15,Base!$A:$A,0)),0)))</f>
        <v>5.9188619999999998</v>
      </c>
      <c r="ER15" s="21">
        <f>IF(ER$1&lt;INDEX('Valo FX'!$Q:$Q,MATCH($A15,'Valo FX'!$A:$A,0)),0,IF(ER$1&lt;INDEX('Valo FX'!$R:$R,MATCH($A15,'Valo FX'!$A:$A,0)),INDEX(Base!$U:$U,MATCH($A15,Base!$A:$A,0)),IF(ER$1=INDEX('Valo FX'!$R:$R,MATCH($A15,'Valo FX'!$A:$A,0)),INDEX(Base!$V:$V,MATCH($A15,Base!$A:$A,0)),0)))</f>
        <v>5.9188619999999998</v>
      </c>
      <c r="ES15" s="21">
        <f>IF(ES$1&lt;INDEX('Valo FX'!$Q:$Q,MATCH($A15,'Valo FX'!$A:$A,0)),0,IF(ES$1&lt;INDEX('Valo FX'!$R:$R,MATCH($A15,'Valo FX'!$A:$A,0)),INDEX(Base!$U:$U,MATCH($A15,Base!$A:$A,0)),IF(ES$1=INDEX('Valo FX'!$R:$R,MATCH($A15,'Valo FX'!$A:$A,0)),INDEX(Base!$V:$V,MATCH($A15,Base!$A:$A,0)),0)))</f>
        <v>5.9188619999999998</v>
      </c>
      <c r="ET15" s="21">
        <f>IF(ET$1&lt;INDEX('Valo FX'!$Q:$Q,MATCH($A15,'Valo FX'!$A:$A,0)),0,IF(ET$1&lt;INDEX('Valo FX'!$R:$R,MATCH($A15,'Valo FX'!$A:$A,0)),INDEX(Base!$U:$U,MATCH($A15,Base!$A:$A,0)),IF(ET$1=INDEX('Valo FX'!$R:$R,MATCH($A15,'Valo FX'!$A:$A,0)),INDEX(Base!$V:$V,MATCH($A15,Base!$A:$A,0)),0)))</f>
        <v>5.9188619999999998</v>
      </c>
      <c r="EU15" s="21">
        <f>IF(EU$1&lt;INDEX('Valo FX'!$Q:$Q,MATCH($A15,'Valo FX'!$A:$A,0)),0,IF(EU$1&lt;INDEX('Valo FX'!$R:$R,MATCH($A15,'Valo FX'!$A:$A,0)),INDEX(Base!$U:$U,MATCH($A15,Base!$A:$A,0)),IF(EU$1=INDEX('Valo FX'!$R:$R,MATCH($A15,'Valo FX'!$A:$A,0)),INDEX(Base!$V:$V,MATCH($A15,Base!$A:$A,0)),0)))</f>
        <v>5.9188619999999998</v>
      </c>
      <c r="EV15" s="21">
        <f>IF(EV$1&lt;INDEX('Valo FX'!$Q:$Q,MATCH($A15,'Valo FX'!$A:$A,0)),0,IF(EV$1&lt;INDEX('Valo FX'!$R:$R,MATCH($A15,'Valo FX'!$A:$A,0)),INDEX(Base!$U:$U,MATCH($A15,Base!$A:$A,0)),IF(EV$1=INDEX('Valo FX'!$R:$R,MATCH($A15,'Valo FX'!$A:$A,0)),INDEX(Base!$V:$V,MATCH($A15,Base!$A:$A,0)),0)))</f>
        <v>5.9188619999999998</v>
      </c>
      <c r="EW15" s="21">
        <f>IF(EW$1&lt;INDEX('Valo FX'!$Q:$Q,MATCH($A15,'Valo FX'!$A:$A,0)),0,IF(EW$1&lt;INDEX('Valo FX'!$R:$R,MATCH($A15,'Valo FX'!$A:$A,0)),INDEX(Base!$U:$U,MATCH($A15,Base!$A:$A,0)),IF(EW$1=INDEX('Valo FX'!$R:$R,MATCH($A15,'Valo FX'!$A:$A,0)),INDEX(Base!$V:$V,MATCH($A15,Base!$A:$A,0)),0)))</f>
        <v>5.9188619999999998</v>
      </c>
      <c r="EX15" s="21">
        <f>IF(EX$1&lt;INDEX('Valo FX'!$Q:$Q,MATCH($A15,'Valo FX'!$A:$A,0)),0,IF(EX$1&lt;INDEX('Valo FX'!$R:$R,MATCH($A15,'Valo FX'!$A:$A,0)),INDEX(Base!$U:$U,MATCH($A15,Base!$A:$A,0)),IF(EX$1=INDEX('Valo FX'!$R:$R,MATCH($A15,'Valo FX'!$A:$A,0)),INDEX(Base!$V:$V,MATCH($A15,Base!$A:$A,0)),0)))</f>
        <v>5.9188619999999998</v>
      </c>
      <c r="EY15" s="21">
        <f>IF(EY$1&lt;INDEX('Valo FX'!$Q:$Q,MATCH($A15,'Valo FX'!$A:$A,0)),0,IF(EY$1&lt;INDEX('Valo FX'!$R:$R,MATCH($A15,'Valo FX'!$A:$A,0)),INDEX(Base!$U:$U,MATCH($A15,Base!$A:$A,0)),IF(EY$1=INDEX('Valo FX'!$R:$R,MATCH($A15,'Valo FX'!$A:$A,0)),INDEX(Base!$V:$V,MATCH($A15,Base!$A:$A,0)),0)))</f>
        <v>5.9188619999999998</v>
      </c>
      <c r="EZ15" s="21">
        <f>IF(EZ$1&lt;INDEX('Valo FX'!$Q:$Q,MATCH($A15,'Valo FX'!$A:$A,0)),0,IF(EZ$1&lt;INDEX('Valo FX'!$R:$R,MATCH($A15,'Valo FX'!$A:$A,0)),INDEX(Base!$U:$U,MATCH($A15,Base!$A:$A,0)),IF(EZ$1=INDEX('Valo FX'!$R:$R,MATCH($A15,'Valo FX'!$A:$A,0)),INDEX(Base!$V:$V,MATCH($A15,Base!$A:$A,0)),0)))</f>
        <v>5.9188619999999998</v>
      </c>
      <c r="FA15" s="21">
        <f>IF(FA$1&lt;INDEX('Valo FX'!$Q:$Q,MATCH($A15,'Valo FX'!$A:$A,0)),0,IF(FA$1&lt;INDEX('Valo FX'!$R:$R,MATCH($A15,'Valo FX'!$A:$A,0)),INDEX(Base!$U:$U,MATCH($A15,Base!$A:$A,0)),IF(FA$1=INDEX('Valo FX'!$R:$R,MATCH($A15,'Valo FX'!$A:$A,0)),INDEX(Base!$V:$V,MATCH($A15,Base!$A:$A,0)),0)))</f>
        <v>5.9188619999999998</v>
      </c>
      <c r="FB15" s="21">
        <f>IF(FB$1&lt;INDEX('Valo FX'!$Q:$Q,MATCH($A15,'Valo FX'!$A:$A,0)),0,IF(FB$1&lt;INDEX('Valo FX'!$R:$R,MATCH($A15,'Valo FX'!$A:$A,0)),INDEX(Base!$U:$U,MATCH($A15,Base!$A:$A,0)),IF(FB$1=INDEX('Valo FX'!$R:$R,MATCH($A15,'Valo FX'!$A:$A,0)),INDEX(Base!$V:$V,MATCH($A15,Base!$A:$A,0)),0)))</f>
        <v>5.9188619999999998</v>
      </c>
      <c r="FC15" s="21">
        <f>IF(FC$1&lt;INDEX('Valo FX'!$Q:$Q,MATCH($A15,'Valo FX'!$A:$A,0)),0,IF(FC$1&lt;INDEX('Valo FX'!$R:$R,MATCH($A15,'Valo FX'!$A:$A,0)),INDEX(Base!$U:$U,MATCH($A15,Base!$A:$A,0)),IF(FC$1=INDEX('Valo FX'!$R:$R,MATCH($A15,'Valo FX'!$A:$A,0)),INDEX(Base!$V:$V,MATCH($A15,Base!$A:$A,0)),0)))</f>
        <v>5.9188619999999998</v>
      </c>
      <c r="FD15" s="21">
        <f>IF(FD$1&lt;INDEX('Valo FX'!$Q:$Q,MATCH($A15,'Valo FX'!$A:$A,0)),0,IF(FD$1&lt;INDEX('Valo FX'!$R:$R,MATCH($A15,'Valo FX'!$A:$A,0)),INDEX(Base!$U:$U,MATCH($A15,Base!$A:$A,0)),IF(FD$1=INDEX('Valo FX'!$R:$R,MATCH($A15,'Valo FX'!$A:$A,0)),INDEX(Base!$V:$V,MATCH($A15,Base!$A:$A,0)),0)))</f>
        <v>5.9188619999999998</v>
      </c>
      <c r="FE15" s="21">
        <f>IF(FE$1&lt;INDEX('Valo FX'!$Q:$Q,MATCH($A15,'Valo FX'!$A:$A,0)),0,IF(FE$1&lt;INDEX('Valo FX'!$R:$R,MATCH($A15,'Valo FX'!$A:$A,0)),INDEX(Base!$U:$U,MATCH($A15,Base!$A:$A,0)),IF(FE$1=INDEX('Valo FX'!$R:$R,MATCH($A15,'Valo FX'!$A:$A,0)),INDEX(Base!$V:$V,MATCH($A15,Base!$A:$A,0)),0)))</f>
        <v>5.9188619999999998</v>
      </c>
      <c r="FF15" s="21">
        <f>IF(FF$1&lt;INDEX('Valo FX'!$Q:$Q,MATCH($A15,'Valo FX'!$A:$A,0)),0,IF(FF$1&lt;INDEX('Valo FX'!$R:$R,MATCH($A15,'Valo FX'!$A:$A,0)),INDEX(Base!$U:$U,MATCH($A15,Base!$A:$A,0)),IF(FF$1=INDEX('Valo FX'!$R:$R,MATCH($A15,'Valo FX'!$A:$A,0)),INDEX(Base!$V:$V,MATCH($A15,Base!$A:$A,0)),0)))</f>
        <v>5.9188619999999998</v>
      </c>
      <c r="FG15" s="21">
        <f>IF(FG$1&lt;INDEX('Valo FX'!$Q:$Q,MATCH($A15,'Valo FX'!$A:$A,0)),0,IF(FG$1&lt;INDEX('Valo FX'!$R:$R,MATCH($A15,'Valo FX'!$A:$A,0)),INDEX(Base!$U:$U,MATCH($A15,Base!$A:$A,0)),IF(FG$1=INDEX('Valo FX'!$R:$R,MATCH($A15,'Valo FX'!$A:$A,0)),INDEX(Base!$V:$V,MATCH($A15,Base!$A:$A,0)),0)))</f>
        <v>5.9188619999999998</v>
      </c>
      <c r="FH15" s="21">
        <f>IF(FH$1&lt;INDEX('Valo FX'!$Q:$Q,MATCH($A15,'Valo FX'!$A:$A,0)),0,IF(FH$1&lt;INDEX('Valo FX'!$R:$R,MATCH($A15,'Valo FX'!$A:$A,0)),INDEX(Base!$U:$U,MATCH($A15,Base!$A:$A,0)),IF(FH$1=INDEX('Valo FX'!$R:$R,MATCH($A15,'Valo FX'!$A:$A,0)),INDEX(Base!$V:$V,MATCH($A15,Base!$A:$A,0)),0)))</f>
        <v>5.9188619999999998</v>
      </c>
      <c r="FI15" s="21">
        <f>IF(FI$1&lt;INDEX('Valo FX'!$Q:$Q,MATCH($A15,'Valo FX'!$A:$A,0)),0,IF(FI$1&lt;INDEX('Valo FX'!$R:$R,MATCH($A15,'Valo FX'!$A:$A,0)),INDEX(Base!$U:$U,MATCH($A15,Base!$A:$A,0)),IF(FI$1=INDEX('Valo FX'!$R:$R,MATCH($A15,'Valo FX'!$A:$A,0)),INDEX(Base!$V:$V,MATCH($A15,Base!$A:$A,0)),0)))</f>
        <v>5.9188619999999998</v>
      </c>
      <c r="FJ15" s="21">
        <f>IF(FJ$1&lt;INDEX('Valo FX'!$Q:$Q,MATCH($A15,'Valo FX'!$A:$A,0)),0,IF(FJ$1&lt;INDEX('Valo FX'!$R:$R,MATCH($A15,'Valo FX'!$A:$A,0)),INDEX(Base!$U:$U,MATCH($A15,Base!$A:$A,0)),IF(FJ$1=INDEX('Valo FX'!$R:$R,MATCH($A15,'Valo FX'!$A:$A,0)),INDEX(Base!$V:$V,MATCH($A15,Base!$A:$A,0)),0)))</f>
        <v>5.9188619999999998</v>
      </c>
      <c r="FK15" s="21">
        <f>IF(FK$1&lt;INDEX('Valo FX'!$Q:$Q,MATCH($A15,'Valo FX'!$A:$A,0)),0,IF(FK$1&lt;INDEX('Valo FX'!$R:$R,MATCH($A15,'Valo FX'!$A:$A,0)),INDEX(Base!$U:$U,MATCH($A15,Base!$A:$A,0)),IF(FK$1=INDEX('Valo FX'!$R:$R,MATCH($A15,'Valo FX'!$A:$A,0)),INDEX(Base!$V:$V,MATCH($A15,Base!$A:$A,0)),0)))</f>
        <v>5.9188619999999998</v>
      </c>
      <c r="FL15" s="21">
        <f>IF(FL$1&lt;INDEX('Valo FX'!$Q:$Q,MATCH($A15,'Valo FX'!$A:$A,0)),0,IF(FL$1&lt;INDEX('Valo FX'!$R:$R,MATCH($A15,'Valo FX'!$A:$A,0)),INDEX(Base!$U:$U,MATCH($A15,Base!$A:$A,0)),IF(FL$1=INDEX('Valo FX'!$R:$R,MATCH($A15,'Valo FX'!$A:$A,0)),INDEX(Base!$V:$V,MATCH($A15,Base!$A:$A,0)),0)))</f>
        <v>5.9188619999999998</v>
      </c>
      <c r="FM15" s="21">
        <f>IF(FM$1&lt;INDEX('Valo FX'!$Q:$Q,MATCH($A15,'Valo FX'!$A:$A,0)),0,IF(FM$1&lt;INDEX('Valo FX'!$R:$R,MATCH($A15,'Valo FX'!$A:$A,0)),INDEX(Base!$U:$U,MATCH($A15,Base!$A:$A,0)),IF(FM$1=INDEX('Valo FX'!$R:$R,MATCH($A15,'Valo FX'!$A:$A,0)),INDEX(Base!$V:$V,MATCH($A15,Base!$A:$A,0)),0)))</f>
        <v>5.9188619999999998</v>
      </c>
      <c r="FN15" s="21">
        <f>IF(FN$1&lt;INDEX('Valo FX'!$Q:$Q,MATCH($A15,'Valo FX'!$A:$A,0)),0,IF(FN$1&lt;INDEX('Valo FX'!$R:$R,MATCH($A15,'Valo FX'!$A:$A,0)),INDEX(Base!$U:$U,MATCH($A15,Base!$A:$A,0)),IF(FN$1=INDEX('Valo FX'!$R:$R,MATCH($A15,'Valo FX'!$A:$A,0)),INDEX(Base!$V:$V,MATCH($A15,Base!$A:$A,0)),0)))</f>
        <v>5.9188619999999998</v>
      </c>
      <c r="FO15" s="21">
        <f>IF(FO$1&lt;INDEX('Valo FX'!$Q:$Q,MATCH($A15,'Valo FX'!$A:$A,0)),0,IF(FO$1&lt;INDEX('Valo FX'!$R:$R,MATCH($A15,'Valo FX'!$A:$A,0)),INDEX(Base!$U:$U,MATCH($A15,Base!$A:$A,0)),IF(FO$1=INDEX('Valo FX'!$R:$R,MATCH($A15,'Valo FX'!$A:$A,0)),INDEX(Base!$V:$V,MATCH($A15,Base!$A:$A,0)),0)))</f>
        <v>5.9188619999999998</v>
      </c>
      <c r="FP15" s="21">
        <f>IF(FP$1&lt;INDEX('Valo FX'!$Q:$Q,MATCH($A15,'Valo FX'!$A:$A,0)),0,IF(FP$1&lt;INDEX('Valo FX'!$R:$R,MATCH($A15,'Valo FX'!$A:$A,0)),INDEX(Base!$U:$U,MATCH($A15,Base!$A:$A,0)),IF(FP$1=INDEX('Valo FX'!$R:$R,MATCH($A15,'Valo FX'!$A:$A,0)),INDEX(Base!$V:$V,MATCH($A15,Base!$A:$A,0)),0)))</f>
        <v>5.9188619999999998</v>
      </c>
      <c r="FQ15" s="21">
        <f>IF(FQ$1&lt;INDEX('Valo FX'!$Q:$Q,MATCH($A15,'Valo FX'!$A:$A,0)),0,IF(FQ$1&lt;INDEX('Valo FX'!$R:$R,MATCH($A15,'Valo FX'!$A:$A,0)),INDEX(Base!$U:$U,MATCH($A15,Base!$A:$A,0)),IF(FQ$1=INDEX('Valo FX'!$R:$R,MATCH($A15,'Valo FX'!$A:$A,0)),INDEX(Base!$V:$V,MATCH($A15,Base!$A:$A,0)),0)))</f>
        <v>5.9188619999999998</v>
      </c>
      <c r="FR15" s="21">
        <f>IF(FR$1&lt;INDEX('Valo FX'!$Q:$Q,MATCH($A15,'Valo FX'!$A:$A,0)),0,IF(FR$1&lt;INDEX('Valo FX'!$R:$R,MATCH($A15,'Valo FX'!$A:$A,0)),INDEX(Base!$U:$U,MATCH($A15,Base!$A:$A,0)),IF(FR$1=INDEX('Valo FX'!$R:$R,MATCH($A15,'Valo FX'!$A:$A,0)),INDEX(Base!$V:$V,MATCH($A15,Base!$A:$A,0)),0)))</f>
        <v>5.9188619999999998</v>
      </c>
      <c r="FS15" s="21">
        <f>IF(FS$1&lt;INDEX('Valo FX'!$Q:$Q,MATCH($A15,'Valo FX'!$A:$A,0)),0,IF(FS$1&lt;INDEX('Valo FX'!$R:$R,MATCH($A15,'Valo FX'!$A:$A,0)),INDEX(Base!$U:$U,MATCH($A15,Base!$A:$A,0)),IF(FS$1=INDEX('Valo FX'!$R:$R,MATCH($A15,'Valo FX'!$A:$A,0)),INDEX(Base!$V:$V,MATCH($A15,Base!$A:$A,0)),0)))</f>
        <v>5.9188619999999998</v>
      </c>
      <c r="FT15" s="21">
        <f>IF(FT$1&lt;INDEX('Valo FX'!$Q:$Q,MATCH($A15,'Valo FX'!$A:$A,0)),0,IF(FT$1&lt;INDEX('Valo FX'!$R:$R,MATCH($A15,'Valo FX'!$A:$A,0)),INDEX(Base!$U:$U,MATCH($A15,Base!$A:$A,0)),IF(FT$1=INDEX('Valo FX'!$R:$R,MATCH($A15,'Valo FX'!$A:$A,0)),INDEX(Base!$V:$V,MATCH($A15,Base!$A:$A,0)),0)))</f>
        <v>5.9188619999999998</v>
      </c>
      <c r="FU15" s="21">
        <f>IF(FU$1&lt;INDEX('Valo FX'!$Q:$Q,MATCH($A15,'Valo FX'!$A:$A,0)),0,IF(FU$1&lt;INDEX('Valo FX'!$R:$R,MATCH($A15,'Valo FX'!$A:$A,0)),INDEX(Base!$U:$U,MATCH($A15,Base!$A:$A,0)),IF(FU$1=INDEX('Valo FX'!$R:$R,MATCH($A15,'Valo FX'!$A:$A,0)),INDEX(Base!$V:$V,MATCH($A15,Base!$A:$A,0)),0)))</f>
        <v>5.9188619999999998</v>
      </c>
      <c r="FV15" s="21">
        <f>IF(FV$1&lt;INDEX('Valo FX'!$Q:$Q,MATCH($A15,'Valo FX'!$A:$A,0)),0,IF(FV$1&lt;INDEX('Valo FX'!$R:$R,MATCH($A15,'Valo FX'!$A:$A,0)),INDEX(Base!$U:$U,MATCH($A15,Base!$A:$A,0)),IF(FV$1=INDEX('Valo FX'!$R:$R,MATCH($A15,'Valo FX'!$A:$A,0)),INDEX(Base!$V:$V,MATCH($A15,Base!$A:$A,0)),0)))</f>
        <v>5.9188619999999998</v>
      </c>
      <c r="FW15" s="21">
        <f>IF(FW$1&lt;INDEX('Valo FX'!$Q:$Q,MATCH($A15,'Valo FX'!$A:$A,0)),0,IF(FW$1&lt;INDEX('Valo FX'!$R:$R,MATCH($A15,'Valo FX'!$A:$A,0)),INDEX(Base!$U:$U,MATCH($A15,Base!$A:$A,0)),IF(FW$1=INDEX('Valo FX'!$R:$R,MATCH($A15,'Valo FX'!$A:$A,0)),INDEX(Base!$V:$V,MATCH($A15,Base!$A:$A,0)),0)))</f>
        <v>5.9188619999999998</v>
      </c>
      <c r="FX15" s="21">
        <f>IF(FX$1&lt;INDEX('Valo FX'!$Q:$Q,MATCH($A15,'Valo FX'!$A:$A,0)),0,IF(FX$1&lt;INDEX('Valo FX'!$R:$R,MATCH($A15,'Valo FX'!$A:$A,0)),INDEX(Base!$U:$U,MATCH($A15,Base!$A:$A,0)),IF(FX$1=INDEX('Valo FX'!$R:$R,MATCH($A15,'Valo FX'!$A:$A,0)),INDEX(Base!$V:$V,MATCH($A15,Base!$A:$A,0)),0)))</f>
        <v>5.9188619999999998</v>
      </c>
      <c r="FY15" s="21">
        <f>IF(FY$1&lt;INDEX('Valo FX'!$Q:$Q,MATCH($A15,'Valo FX'!$A:$A,0)),0,IF(FY$1&lt;INDEX('Valo FX'!$R:$R,MATCH($A15,'Valo FX'!$A:$A,0)),INDEX(Base!$U:$U,MATCH($A15,Base!$A:$A,0)),IF(FY$1=INDEX('Valo FX'!$R:$R,MATCH($A15,'Valo FX'!$A:$A,0)),INDEX(Base!$V:$V,MATCH($A15,Base!$A:$A,0)),0)))</f>
        <v>5.9188619999999998</v>
      </c>
      <c r="FZ15" s="21">
        <f>IF(FZ$1&lt;INDEX('Valo FX'!$Q:$Q,MATCH($A15,'Valo FX'!$A:$A,0)),0,IF(FZ$1&lt;INDEX('Valo FX'!$R:$R,MATCH($A15,'Valo FX'!$A:$A,0)),INDEX(Base!$U:$U,MATCH($A15,Base!$A:$A,0)),IF(FZ$1=INDEX('Valo FX'!$R:$R,MATCH($A15,'Valo FX'!$A:$A,0)),INDEX(Base!$V:$V,MATCH($A15,Base!$A:$A,0)),0)))</f>
        <v>5.9188619999999998</v>
      </c>
      <c r="GA15" s="21">
        <f>IF(GA$1&lt;INDEX('Valo FX'!$Q:$Q,MATCH($A15,'Valo FX'!$A:$A,0)),0,IF(GA$1&lt;INDEX('Valo FX'!$R:$R,MATCH($A15,'Valo FX'!$A:$A,0)),INDEX(Base!$U:$U,MATCH($A15,Base!$A:$A,0)),IF(GA$1=INDEX('Valo FX'!$R:$R,MATCH($A15,'Valo FX'!$A:$A,0)),INDEX(Base!$V:$V,MATCH($A15,Base!$A:$A,0)),0)))</f>
        <v>5.9188619999999998</v>
      </c>
      <c r="GB15" s="21">
        <f>IF(GB$1&lt;INDEX('Valo FX'!$Q:$Q,MATCH($A15,'Valo FX'!$A:$A,0)),0,IF(GB$1&lt;INDEX('Valo FX'!$R:$R,MATCH($A15,'Valo FX'!$A:$A,0)),INDEX(Base!$U:$U,MATCH($A15,Base!$A:$A,0)),IF(GB$1=INDEX('Valo FX'!$R:$R,MATCH($A15,'Valo FX'!$A:$A,0)),INDEX(Base!$V:$V,MATCH($A15,Base!$A:$A,0)),0)))</f>
        <v>5.9188619999999998</v>
      </c>
      <c r="GC15" s="21">
        <f>IF(GC$1&lt;INDEX('Valo FX'!$Q:$Q,MATCH($A15,'Valo FX'!$A:$A,0)),0,IF(GC$1&lt;INDEX('Valo FX'!$R:$R,MATCH($A15,'Valo FX'!$A:$A,0)),INDEX(Base!$U:$U,MATCH($A15,Base!$A:$A,0)),IF(GC$1=INDEX('Valo FX'!$R:$R,MATCH($A15,'Valo FX'!$A:$A,0)),INDEX(Base!$V:$V,MATCH($A15,Base!$A:$A,0)),0)))</f>
        <v>5.9188619999999998</v>
      </c>
      <c r="GD15" s="21">
        <f>IF(GD$1&lt;INDEX('Valo FX'!$Q:$Q,MATCH($A15,'Valo FX'!$A:$A,0)),0,IF(GD$1&lt;INDEX('Valo FX'!$R:$R,MATCH($A15,'Valo FX'!$A:$A,0)),INDEX(Base!$U:$U,MATCH($A15,Base!$A:$A,0)),IF(GD$1=INDEX('Valo FX'!$R:$R,MATCH($A15,'Valo FX'!$A:$A,0)),INDEX(Base!$V:$V,MATCH($A15,Base!$A:$A,0)),0)))</f>
        <v>5.9188619999999998</v>
      </c>
      <c r="GE15" s="21">
        <f>IF(GE$1&lt;INDEX('Valo FX'!$Q:$Q,MATCH($A15,'Valo FX'!$A:$A,0)),0,IF(GE$1&lt;INDEX('Valo FX'!$R:$R,MATCH($A15,'Valo FX'!$A:$A,0)),INDEX(Base!$U:$U,MATCH($A15,Base!$A:$A,0)),IF(GE$1=INDEX('Valo FX'!$R:$R,MATCH($A15,'Valo FX'!$A:$A,0)),INDEX(Base!$V:$V,MATCH($A15,Base!$A:$A,0)),0)))</f>
        <v>5.9188619999999998</v>
      </c>
      <c r="GF15" s="21">
        <f>IF(GF$1&lt;INDEX('Valo FX'!$Q:$Q,MATCH($A15,'Valo FX'!$A:$A,0)),0,IF(GF$1&lt;INDEX('Valo FX'!$R:$R,MATCH($A15,'Valo FX'!$A:$A,0)),INDEX(Base!$U:$U,MATCH($A15,Base!$A:$A,0)),IF(GF$1=INDEX('Valo FX'!$R:$R,MATCH($A15,'Valo FX'!$A:$A,0)),INDEX(Base!$V:$V,MATCH($A15,Base!$A:$A,0)),0)))</f>
        <v>5.9188619999999998</v>
      </c>
      <c r="GG15" s="21">
        <f>IF(GG$1&lt;INDEX('Valo FX'!$Q:$Q,MATCH($A15,'Valo FX'!$A:$A,0)),0,IF(GG$1&lt;INDEX('Valo FX'!$R:$R,MATCH($A15,'Valo FX'!$A:$A,0)),INDEX(Base!$U:$U,MATCH($A15,Base!$A:$A,0)),IF(GG$1=INDEX('Valo FX'!$R:$R,MATCH($A15,'Valo FX'!$A:$A,0)),INDEX(Base!$V:$V,MATCH($A15,Base!$A:$A,0)),0)))</f>
        <v>5.9188619999999998</v>
      </c>
      <c r="GH15" s="21">
        <f>IF(GH$1&lt;INDEX('Valo FX'!$Q:$Q,MATCH($A15,'Valo FX'!$A:$A,0)),0,IF(GH$1&lt;INDEX('Valo FX'!$R:$R,MATCH($A15,'Valo FX'!$A:$A,0)),INDEX(Base!$U:$U,MATCH($A15,Base!$A:$A,0)),IF(GH$1=INDEX('Valo FX'!$R:$R,MATCH($A15,'Valo FX'!$A:$A,0)),INDEX(Base!$V:$V,MATCH($A15,Base!$A:$A,0)),0)))</f>
        <v>5.9188619999999998</v>
      </c>
      <c r="GI15" s="21">
        <f>IF(GI$1&lt;INDEX('Valo FX'!$Q:$Q,MATCH($A15,'Valo FX'!$A:$A,0)),0,IF(GI$1&lt;INDEX('Valo FX'!$R:$R,MATCH($A15,'Valo FX'!$A:$A,0)),INDEX(Base!$U:$U,MATCH($A15,Base!$A:$A,0)),IF(GI$1=INDEX('Valo FX'!$R:$R,MATCH($A15,'Valo FX'!$A:$A,0)),INDEX(Base!$V:$V,MATCH($A15,Base!$A:$A,0)),0)))</f>
        <v>5.9188619999999998</v>
      </c>
      <c r="GJ15" s="21">
        <f>IF(GJ$1&lt;INDEX('Valo FX'!$Q:$Q,MATCH($A15,'Valo FX'!$A:$A,0)),0,IF(GJ$1&lt;INDEX('Valo FX'!$R:$R,MATCH($A15,'Valo FX'!$A:$A,0)),INDEX(Base!$U:$U,MATCH($A15,Base!$A:$A,0)),IF(GJ$1=INDEX('Valo FX'!$R:$R,MATCH($A15,'Valo FX'!$A:$A,0)),INDEX(Base!$V:$V,MATCH($A15,Base!$A:$A,0)),0)))</f>
        <v>5.9188619999999998</v>
      </c>
      <c r="GK15" s="21">
        <f>IF(GK$1&lt;INDEX('Valo FX'!$Q:$Q,MATCH($A15,'Valo FX'!$A:$A,0)),0,IF(GK$1&lt;INDEX('Valo FX'!$R:$R,MATCH($A15,'Valo FX'!$A:$A,0)),INDEX(Base!$U:$U,MATCH($A15,Base!$A:$A,0)),IF(GK$1=INDEX('Valo FX'!$R:$R,MATCH($A15,'Valo FX'!$A:$A,0)),INDEX(Base!$V:$V,MATCH($A15,Base!$A:$A,0)),0)))</f>
        <v>5.9188619999999998</v>
      </c>
      <c r="GL15" s="21">
        <f>IF(GL$1&lt;INDEX('Valo FX'!$Q:$Q,MATCH($A15,'Valo FX'!$A:$A,0)),0,IF(GL$1&lt;INDEX('Valo FX'!$R:$R,MATCH($A15,'Valo FX'!$A:$A,0)),INDEX(Base!$U:$U,MATCH($A15,Base!$A:$A,0)),IF(GL$1=INDEX('Valo FX'!$R:$R,MATCH($A15,'Valo FX'!$A:$A,0)),INDEX(Base!$V:$V,MATCH($A15,Base!$A:$A,0)),0)))</f>
        <v>5.9188619999999998</v>
      </c>
      <c r="GM15" s="21">
        <f>IF(GM$1&lt;INDEX('Valo FX'!$Q:$Q,MATCH($A15,'Valo FX'!$A:$A,0)),0,IF(GM$1&lt;INDEX('Valo FX'!$R:$R,MATCH($A15,'Valo FX'!$A:$A,0)),INDEX(Base!$U:$U,MATCH($A15,Base!$A:$A,0)),IF(GM$1=INDEX('Valo FX'!$R:$R,MATCH($A15,'Valo FX'!$A:$A,0)),INDEX(Base!$V:$V,MATCH($A15,Base!$A:$A,0)),0)))</f>
        <v>5.9188619999999998</v>
      </c>
      <c r="GN15" s="21">
        <f>IF(GN$1&lt;INDEX('Valo FX'!$Q:$Q,MATCH($A15,'Valo FX'!$A:$A,0)),0,IF(GN$1&lt;INDEX('Valo FX'!$R:$R,MATCH($A15,'Valo FX'!$A:$A,0)),INDEX(Base!$U:$U,MATCH($A15,Base!$A:$A,0)),IF(GN$1=INDEX('Valo FX'!$R:$R,MATCH($A15,'Valo FX'!$A:$A,0)),INDEX(Base!$V:$V,MATCH($A15,Base!$A:$A,0)),0)))</f>
        <v>5.9188619999999998</v>
      </c>
      <c r="GO15" s="21">
        <f>IF(GO$1&lt;INDEX('Valo FX'!$Q:$Q,MATCH($A15,'Valo FX'!$A:$A,0)),0,IF(GO$1&lt;INDEX('Valo FX'!$R:$R,MATCH($A15,'Valo FX'!$A:$A,0)),INDEX(Base!$U:$U,MATCH($A15,Base!$A:$A,0)),IF(GO$1=INDEX('Valo FX'!$R:$R,MATCH($A15,'Valo FX'!$A:$A,0)),INDEX(Base!$V:$V,MATCH($A15,Base!$A:$A,0)),0)))</f>
        <v>5.9188619999999998</v>
      </c>
      <c r="GP15" s="21">
        <f>IF(GP$1&lt;INDEX('Valo FX'!$Q:$Q,MATCH($A15,'Valo FX'!$A:$A,0)),0,IF(GP$1&lt;INDEX('Valo FX'!$R:$R,MATCH($A15,'Valo FX'!$A:$A,0)),INDEX(Base!$U:$U,MATCH($A15,Base!$A:$A,0)),IF(GP$1=INDEX('Valo FX'!$R:$R,MATCH($A15,'Valo FX'!$A:$A,0)),INDEX(Base!$V:$V,MATCH($A15,Base!$A:$A,0)),0)))</f>
        <v>5.9188619999999998</v>
      </c>
      <c r="GQ15" s="21">
        <f>IF(GQ$1&lt;INDEX('Valo FX'!$Q:$Q,MATCH($A15,'Valo FX'!$A:$A,0)),0,IF(GQ$1&lt;INDEX('Valo FX'!$R:$R,MATCH($A15,'Valo FX'!$A:$A,0)),INDEX(Base!$U:$U,MATCH($A15,Base!$A:$A,0)),IF(GQ$1=INDEX('Valo FX'!$R:$R,MATCH($A15,'Valo FX'!$A:$A,0)),INDEX(Base!$V:$V,MATCH($A15,Base!$A:$A,0)),0)))</f>
        <v>5.9188619999999998</v>
      </c>
      <c r="GR15" s="21">
        <f>IF(GR$1&lt;INDEX('Valo FX'!$Q:$Q,MATCH($A15,'Valo FX'!$A:$A,0)),0,IF(GR$1&lt;INDEX('Valo FX'!$R:$R,MATCH($A15,'Valo FX'!$A:$A,0)),INDEX(Base!$U:$U,MATCH($A15,Base!$A:$A,0)),IF(GR$1=INDEX('Valo FX'!$R:$R,MATCH($A15,'Valo FX'!$A:$A,0)),INDEX(Base!$V:$V,MATCH($A15,Base!$A:$A,0)),0)))</f>
        <v>5.9188619999999998</v>
      </c>
      <c r="GS15" s="21">
        <f>IF(GS$1&lt;INDEX('Valo FX'!$Q:$Q,MATCH($A15,'Valo FX'!$A:$A,0)),0,IF(GS$1&lt;INDEX('Valo FX'!$R:$R,MATCH($A15,'Valo FX'!$A:$A,0)),INDEX(Base!$U:$U,MATCH($A15,Base!$A:$A,0)),IF(GS$1=INDEX('Valo FX'!$R:$R,MATCH($A15,'Valo FX'!$A:$A,0)),INDEX(Base!$V:$V,MATCH($A15,Base!$A:$A,0)),0)))</f>
        <v>5.9188619999999998</v>
      </c>
      <c r="GT15" s="21">
        <f>IF(GT$1&lt;INDEX('Valo FX'!$Q:$Q,MATCH($A15,'Valo FX'!$A:$A,0)),0,IF(GT$1&lt;INDEX('Valo FX'!$R:$R,MATCH($A15,'Valo FX'!$A:$A,0)),INDEX(Base!$U:$U,MATCH($A15,Base!$A:$A,0)),IF(GT$1=INDEX('Valo FX'!$R:$R,MATCH($A15,'Valo FX'!$A:$A,0)),INDEX(Base!$V:$V,MATCH($A15,Base!$A:$A,0)),0)))</f>
        <v>5.9188619999999998</v>
      </c>
      <c r="GU15" s="21">
        <f>IF(GU$1&lt;INDEX('Valo FX'!$Q:$Q,MATCH($A15,'Valo FX'!$A:$A,0)),0,IF(GU$1&lt;INDEX('Valo FX'!$R:$R,MATCH($A15,'Valo FX'!$A:$A,0)),INDEX(Base!$U:$U,MATCH($A15,Base!$A:$A,0)),IF(GU$1=INDEX('Valo FX'!$R:$R,MATCH($A15,'Valo FX'!$A:$A,0)),INDEX(Base!$V:$V,MATCH($A15,Base!$A:$A,0)),0)))</f>
        <v>5.9188619999999998</v>
      </c>
      <c r="GV15" s="21">
        <f>IF(GV$1&lt;INDEX('Valo FX'!$Q:$Q,MATCH($A15,'Valo FX'!$A:$A,0)),0,IF(GV$1&lt;INDEX('Valo FX'!$R:$R,MATCH($A15,'Valo FX'!$A:$A,0)),INDEX(Base!$U:$U,MATCH($A15,Base!$A:$A,0)),IF(GV$1=INDEX('Valo FX'!$R:$R,MATCH($A15,'Valo FX'!$A:$A,0)),INDEX(Base!$V:$V,MATCH($A15,Base!$A:$A,0)),0)))</f>
        <v>5.9188619999999998</v>
      </c>
      <c r="GW15" s="21">
        <f>IF(GW$1&lt;INDEX('Valo FX'!$Q:$Q,MATCH($A15,'Valo FX'!$A:$A,0)),0,IF(GW$1&lt;INDEX('Valo FX'!$R:$R,MATCH($A15,'Valo FX'!$A:$A,0)),INDEX(Base!$U:$U,MATCH($A15,Base!$A:$A,0)),IF(GW$1=INDEX('Valo FX'!$R:$R,MATCH($A15,'Valo FX'!$A:$A,0)),INDEX(Base!$V:$V,MATCH($A15,Base!$A:$A,0)),0)))</f>
        <v>5.9188619999999998</v>
      </c>
      <c r="GX15" s="21">
        <f>IF(GX$1&lt;INDEX('Valo FX'!$Q:$Q,MATCH($A15,'Valo FX'!$A:$A,0)),0,IF(GX$1&lt;INDEX('Valo FX'!$R:$R,MATCH($A15,'Valo FX'!$A:$A,0)),INDEX(Base!$U:$U,MATCH($A15,Base!$A:$A,0)),IF(GX$1=INDEX('Valo FX'!$R:$R,MATCH($A15,'Valo FX'!$A:$A,0)),INDEX(Base!$V:$V,MATCH($A15,Base!$A:$A,0)),0)))</f>
        <v>5.9188619999999998</v>
      </c>
      <c r="GY15" s="21">
        <f>IF(GY$1&lt;INDEX('Valo FX'!$Q:$Q,MATCH($A15,'Valo FX'!$A:$A,0)),0,IF(GY$1&lt;INDEX('Valo FX'!$R:$R,MATCH($A15,'Valo FX'!$A:$A,0)),INDEX(Base!$U:$U,MATCH($A15,Base!$A:$A,0)),IF(GY$1=INDEX('Valo FX'!$R:$R,MATCH($A15,'Valo FX'!$A:$A,0)),INDEX(Base!$V:$V,MATCH($A15,Base!$A:$A,0)),0)))</f>
        <v>5.9188619999999998</v>
      </c>
      <c r="GZ15" s="21">
        <f>IF(GZ$1&lt;INDEX('Valo FX'!$Q:$Q,MATCH($A15,'Valo FX'!$A:$A,0)),0,IF(GZ$1&lt;INDEX('Valo FX'!$R:$R,MATCH($A15,'Valo FX'!$A:$A,0)),INDEX(Base!$U:$U,MATCH($A15,Base!$A:$A,0)),IF(GZ$1=INDEX('Valo FX'!$R:$R,MATCH($A15,'Valo FX'!$A:$A,0)),INDEX(Base!$V:$V,MATCH($A15,Base!$A:$A,0)),0)))</f>
        <v>5.9188619999999998</v>
      </c>
      <c r="HA15" s="21">
        <f>IF(HA$1&lt;INDEX('Valo FX'!$Q:$Q,MATCH($A15,'Valo FX'!$A:$A,0)),0,IF(HA$1&lt;INDEX('Valo FX'!$R:$R,MATCH($A15,'Valo FX'!$A:$A,0)),INDEX(Base!$U:$U,MATCH($A15,Base!$A:$A,0)),IF(HA$1=INDEX('Valo FX'!$R:$R,MATCH($A15,'Valo FX'!$A:$A,0)),INDEX(Base!$V:$V,MATCH($A15,Base!$A:$A,0)),0)))</f>
        <v>5.9188619999999998</v>
      </c>
      <c r="HB15" s="21">
        <f>IF(HB$1&lt;INDEX('Valo FX'!$Q:$Q,MATCH($A15,'Valo FX'!$A:$A,0)),0,IF(HB$1&lt;INDEX('Valo FX'!$R:$R,MATCH($A15,'Valo FX'!$A:$A,0)),INDEX(Base!$U:$U,MATCH($A15,Base!$A:$A,0)),IF(HB$1=INDEX('Valo FX'!$R:$R,MATCH($A15,'Valo FX'!$A:$A,0)),INDEX(Base!$V:$V,MATCH($A15,Base!$A:$A,0)),0)))</f>
        <v>5.9188619999999998</v>
      </c>
      <c r="HC15" s="21">
        <f>IF(HC$1&lt;INDEX('Valo FX'!$Q:$Q,MATCH($A15,'Valo FX'!$A:$A,0)),0,IF(HC$1&lt;INDEX('Valo FX'!$R:$R,MATCH($A15,'Valo FX'!$A:$A,0)),INDEX(Base!$U:$U,MATCH($A15,Base!$A:$A,0)),IF(HC$1=INDEX('Valo FX'!$R:$R,MATCH($A15,'Valo FX'!$A:$A,0)),INDEX(Base!$V:$V,MATCH($A15,Base!$A:$A,0)),0)))</f>
        <v>5.9188619999999998</v>
      </c>
      <c r="HD15" s="21">
        <f>IF(HD$1&lt;INDEX('Valo FX'!$Q:$Q,MATCH($A15,'Valo FX'!$A:$A,0)),0,IF(HD$1&lt;INDEX('Valo FX'!$R:$R,MATCH($A15,'Valo FX'!$A:$A,0)),INDEX(Base!$U:$U,MATCH($A15,Base!$A:$A,0)),IF(HD$1=INDEX('Valo FX'!$R:$R,MATCH($A15,'Valo FX'!$A:$A,0)),INDEX(Base!$V:$V,MATCH($A15,Base!$A:$A,0)),0)))</f>
        <v>5.9188619999999998</v>
      </c>
      <c r="HE15" s="21">
        <f>IF(HE$1&lt;INDEX('Valo FX'!$Q:$Q,MATCH($A15,'Valo FX'!$A:$A,0)),0,IF(HE$1&lt;INDEX('Valo FX'!$R:$R,MATCH($A15,'Valo FX'!$A:$A,0)),INDEX(Base!$U:$U,MATCH($A15,Base!$A:$A,0)),IF(HE$1=INDEX('Valo FX'!$R:$R,MATCH($A15,'Valo FX'!$A:$A,0)),INDEX(Base!$V:$V,MATCH($A15,Base!$A:$A,0)),0)))</f>
        <v>5.9188619999999998</v>
      </c>
      <c r="HF15" s="21">
        <f>IF(HF$1&lt;INDEX('Valo FX'!$Q:$Q,MATCH($A15,'Valo FX'!$A:$A,0)),0,IF(HF$1&lt;INDEX('Valo FX'!$R:$R,MATCH($A15,'Valo FX'!$A:$A,0)),INDEX(Base!$U:$U,MATCH($A15,Base!$A:$A,0)),IF(HF$1=INDEX('Valo FX'!$R:$R,MATCH($A15,'Valo FX'!$A:$A,0)),INDEX(Base!$V:$V,MATCH($A15,Base!$A:$A,0)),0)))</f>
        <v>5.9188619999999998</v>
      </c>
      <c r="HG15" s="21">
        <f>IF(HG$1&lt;INDEX('Valo FX'!$Q:$Q,MATCH($A15,'Valo FX'!$A:$A,0)),0,IF(HG$1&lt;INDEX('Valo FX'!$R:$R,MATCH($A15,'Valo FX'!$A:$A,0)),INDEX(Base!$U:$U,MATCH($A15,Base!$A:$A,0)),IF(HG$1=INDEX('Valo FX'!$R:$R,MATCH($A15,'Valo FX'!$A:$A,0)),INDEX(Base!$V:$V,MATCH($A15,Base!$A:$A,0)),0)))</f>
        <v>5.9188619999999998</v>
      </c>
      <c r="HH15" s="21">
        <f>IF(HH$1&lt;INDEX('Valo FX'!$Q:$Q,MATCH($A15,'Valo FX'!$A:$A,0)),0,IF(HH$1&lt;INDEX('Valo FX'!$R:$R,MATCH($A15,'Valo FX'!$A:$A,0)),INDEX(Base!$U:$U,MATCH($A15,Base!$A:$A,0)),IF(HH$1=INDEX('Valo FX'!$R:$R,MATCH($A15,'Valo FX'!$A:$A,0)),INDEX(Base!$V:$V,MATCH($A15,Base!$A:$A,0)),0)))</f>
        <v>5.9188619999999998</v>
      </c>
      <c r="HI15" s="21">
        <f>IF(HI$1&lt;INDEX('Valo FX'!$Q:$Q,MATCH($A15,'Valo FX'!$A:$A,0)),0,IF(HI$1&lt;INDEX('Valo FX'!$R:$R,MATCH($A15,'Valo FX'!$A:$A,0)),INDEX(Base!$U:$U,MATCH($A15,Base!$A:$A,0)),IF(HI$1=INDEX('Valo FX'!$R:$R,MATCH($A15,'Valo FX'!$A:$A,0)),INDEX(Base!$V:$V,MATCH($A15,Base!$A:$A,0)),0)))</f>
        <v>5.9188619999999998</v>
      </c>
      <c r="HJ15" s="21">
        <f>IF(HJ$1&lt;INDEX('Valo FX'!$Q:$Q,MATCH($A15,'Valo FX'!$A:$A,0)),0,IF(HJ$1&lt;INDEX('Valo FX'!$R:$R,MATCH($A15,'Valo FX'!$A:$A,0)),INDEX(Base!$U:$U,MATCH($A15,Base!$A:$A,0)),IF(HJ$1=INDEX('Valo FX'!$R:$R,MATCH($A15,'Valo FX'!$A:$A,0)),INDEX(Base!$V:$V,MATCH($A15,Base!$A:$A,0)),0)))</f>
        <v>5.9188619999999998</v>
      </c>
      <c r="HK15" s="21">
        <f>IF(HK$1&lt;INDEX('Valo FX'!$Q:$Q,MATCH($A15,'Valo FX'!$A:$A,0)),0,IF(HK$1&lt;INDEX('Valo FX'!$R:$R,MATCH($A15,'Valo FX'!$A:$A,0)),INDEX(Base!$U:$U,MATCH($A15,Base!$A:$A,0)),IF(HK$1=INDEX('Valo FX'!$R:$R,MATCH($A15,'Valo FX'!$A:$A,0)),INDEX(Base!$V:$V,MATCH($A15,Base!$A:$A,0)),0)))</f>
        <v>5.9188619999999998</v>
      </c>
      <c r="HL15" s="21">
        <f>IF(HL$1&lt;INDEX('Valo FX'!$Q:$Q,MATCH($A15,'Valo FX'!$A:$A,0)),0,IF(HL$1&lt;INDEX('Valo FX'!$R:$R,MATCH($A15,'Valo FX'!$A:$A,0)),INDEX(Base!$U:$U,MATCH($A15,Base!$A:$A,0)),IF(HL$1=INDEX('Valo FX'!$R:$R,MATCH($A15,'Valo FX'!$A:$A,0)),INDEX(Base!$V:$V,MATCH($A15,Base!$A:$A,0)),0)))</f>
        <v>5.9188619999999998</v>
      </c>
      <c r="HM15" s="21">
        <f>IF(HM$1&lt;INDEX('Valo FX'!$Q:$Q,MATCH($A15,'Valo FX'!$A:$A,0)),0,IF(HM$1&lt;INDEX('Valo FX'!$R:$R,MATCH($A15,'Valo FX'!$A:$A,0)),INDEX(Base!$U:$U,MATCH($A15,Base!$A:$A,0)),IF(HM$1=INDEX('Valo FX'!$R:$R,MATCH($A15,'Valo FX'!$A:$A,0)),INDEX(Base!$V:$V,MATCH($A15,Base!$A:$A,0)),0)))</f>
        <v>5.9188619999999998</v>
      </c>
      <c r="HN15" s="21">
        <f>IF(HN$1&lt;INDEX('Valo FX'!$Q:$Q,MATCH($A15,'Valo FX'!$A:$A,0)),0,IF(HN$1&lt;INDEX('Valo FX'!$R:$R,MATCH($A15,'Valo FX'!$A:$A,0)),INDEX(Base!$U:$U,MATCH($A15,Base!$A:$A,0)),IF(HN$1=INDEX('Valo FX'!$R:$R,MATCH($A15,'Valo FX'!$A:$A,0)),INDEX(Base!$V:$V,MATCH($A15,Base!$A:$A,0)),0)))</f>
        <v>5.9188619999999998</v>
      </c>
      <c r="HO15" s="21">
        <f>IF(HO$1&lt;INDEX('Valo FX'!$Q:$Q,MATCH($A15,'Valo FX'!$A:$A,0)),0,IF(HO$1&lt;INDEX('Valo FX'!$R:$R,MATCH($A15,'Valo FX'!$A:$A,0)),INDEX(Base!$U:$U,MATCH($A15,Base!$A:$A,0)),IF(HO$1=INDEX('Valo FX'!$R:$R,MATCH($A15,'Valo FX'!$A:$A,0)),INDEX(Base!$V:$V,MATCH($A15,Base!$A:$A,0)),0)))</f>
        <v>5.9188619999999998</v>
      </c>
      <c r="HP15" s="21">
        <f>IF(HP$1&lt;INDEX('Valo FX'!$Q:$Q,MATCH($A15,'Valo FX'!$A:$A,0)),0,IF(HP$1&lt;INDEX('Valo FX'!$R:$R,MATCH($A15,'Valo FX'!$A:$A,0)),INDEX(Base!$U:$U,MATCH($A15,Base!$A:$A,0)),IF(HP$1=INDEX('Valo FX'!$R:$R,MATCH($A15,'Valo FX'!$A:$A,0)),INDEX(Base!$V:$V,MATCH($A15,Base!$A:$A,0)),0)))</f>
        <v>5.9188619999999998</v>
      </c>
      <c r="HQ15" s="21">
        <f>IF(HQ$1&lt;INDEX('Valo FX'!$Q:$Q,MATCH($A15,'Valo FX'!$A:$A,0)),0,IF(HQ$1&lt;INDEX('Valo FX'!$R:$R,MATCH($A15,'Valo FX'!$A:$A,0)),INDEX(Base!$U:$U,MATCH($A15,Base!$A:$A,0)),IF(HQ$1=INDEX('Valo FX'!$R:$R,MATCH($A15,'Valo FX'!$A:$A,0)),INDEX(Base!$V:$V,MATCH($A15,Base!$A:$A,0)),0)))</f>
        <v>5.9188619999999998</v>
      </c>
      <c r="HR15" s="21">
        <f>IF(HR$1&lt;INDEX('Valo FX'!$Q:$Q,MATCH($A15,'Valo FX'!$A:$A,0)),0,IF(HR$1&lt;INDEX('Valo FX'!$R:$R,MATCH($A15,'Valo FX'!$A:$A,0)),INDEX(Base!$U:$U,MATCH($A15,Base!$A:$A,0)),IF(HR$1=INDEX('Valo FX'!$R:$R,MATCH($A15,'Valo FX'!$A:$A,0)),INDEX(Base!$V:$V,MATCH($A15,Base!$A:$A,0)),0)))</f>
        <v>5.9188619999999998</v>
      </c>
      <c r="HS15" s="21">
        <f>IF(HS$1&lt;INDEX('Valo FX'!$Q:$Q,MATCH($A15,'Valo FX'!$A:$A,0)),0,IF(HS$1&lt;INDEX('Valo FX'!$R:$R,MATCH($A15,'Valo FX'!$A:$A,0)),INDEX(Base!$U:$U,MATCH($A15,Base!$A:$A,0)),IF(HS$1=INDEX('Valo FX'!$R:$R,MATCH($A15,'Valo FX'!$A:$A,0)),INDEX(Base!$V:$V,MATCH($A15,Base!$A:$A,0)),0)))</f>
        <v>5.9188619999999998</v>
      </c>
      <c r="HT15" s="21">
        <f>IF(HT$1&lt;INDEX('Valo FX'!$Q:$Q,MATCH($A15,'Valo FX'!$A:$A,0)),0,IF(HT$1&lt;INDEX('Valo FX'!$R:$R,MATCH($A15,'Valo FX'!$A:$A,0)),INDEX(Base!$U:$U,MATCH($A15,Base!$A:$A,0)),IF(HT$1=INDEX('Valo FX'!$R:$R,MATCH($A15,'Valo FX'!$A:$A,0)),INDEX(Base!$V:$V,MATCH($A15,Base!$A:$A,0)),0)))</f>
        <v>5.9188619999999998</v>
      </c>
      <c r="HU15" s="21">
        <f>IF(HU$1&lt;INDEX('Valo FX'!$Q:$Q,MATCH($A15,'Valo FX'!$A:$A,0)),0,IF(HU$1&lt;INDEX('Valo FX'!$R:$R,MATCH($A15,'Valo FX'!$A:$A,0)),INDEX(Base!$U:$U,MATCH($A15,Base!$A:$A,0)),IF(HU$1=INDEX('Valo FX'!$R:$R,MATCH($A15,'Valo FX'!$A:$A,0)),INDEX(Base!$V:$V,MATCH($A15,Base!$A:$A,0)),0)))</f>
        <v>5.9188619999999998</v>
      </c>
      <c r="HV15" s="21">
        <f>IF(HV$1&lt;INDEX('Valo FX'!$Q:$Q,MATCH($A15,'Valo FX'!$A:$A,0)),0,IF(HV$1&lt;INDEX('Valo FX'!$R:$R,MATCH($A15,'Valo FX'!$A:$A,0)),INDEX(Base!$U:$U,MATCH($A15,Base!$A:$A,0)),IF(HV$1=INDEX('Valo FX'!$R:$R,MATCH($A15,'Valo FX'!$A:$A,0)),INDEX(Base!$V:$V,MATCH($A15,Base!$A:$A,0)),0)))</f>
        <v>5.9188619999999998</v>
      </c>
      <c r="HW15" s="21">
        <f>IF(HW$1&lt;INDEX('Valo FX'!$Q:$Q,MATCH($A15,'Valo FX'!$A:$A,0)),0,IF(HW$1&lt;INDEX('Valo FX'!$R:$R,MATCH($A15,'Valo FX'!$A:$A,0)),INDEX(Base!$U:$U,MATCH($A15,Base!$A:$A,0)),IF(HW$1=INDEX('Valo FX'!$R:$R,MATCH($A15,'Valo FX'!$A:$A,0)),INDEX(Base!$V:$V,MATCH($A15,Base!$A:$A,0)),0)))</f>
        <v>5.9188619999999998</v>
      </c>
      <c r="HX15" s="21">
        <f>IF(HX$1&lt;INDEX('Valo FX'!$Q:$Q,MATCH($A15,'Valo FX'!$A:$A,0)),0,IF(HX$1&lt;INDEX('Valo FX'!$R:$R,MATCH($A15,'Valo FX'!$A:$A,0)),INDEX(Base!$U:$U,MATCH($A15,Base!$A:$A,0)),IF(HX$1=INDEX('Valo FX'!$R:$R,MATCH($A15,'Valo FX'!$A:$A,0)),INDEX(Base!$V:$V,MATCH($A15,Base!$A:$A,0)),0)))</f>
        <v>5.9188619999999998</v>
      </c>
      <c r="HY15" s="21">
        <f>IF(HY$1&lt;INDEX('Valo FX'!$Q:$Q,MATCH($A15,'Valo FX'!$A:$A,0)),0,IF(HY$1&lt;INDEX('Valo FX'!$R:$R,MATCH($A15,'Valo FX'!$A:$A,0)),INDEX(Base!$U:$U,MATCH($A15,Base!$A:$A,0)),IF(HY$1=INDEX('Valo FX'!$R:$R,MATCH($A15,'Valo FX'!$A:$A,0)),INDEX(Base!$V:$V,MATCH($A15,Base!$A:$A,0)),0)))</f>
        <v>5.9188619999999998</v>
      </c>
      <c r="HZ15" s="21">
        <f>IF(HZ$1&lt;INDEX('Valo FX'!$Q:$Q,MATCH($A15,'Valo FX'!$A:$A,0)),0,IF(HZ$1&lt;INDEX('Valo FX'!$R:$R,MATCH($A15,'Valo FX'!$A:$A,0)),INDEX(Base!$U:$U,MATCH($A15,Base!$A:$A,0)),IF(HZ$1=INDEX('Valo FX'!$R:$R,MATCH($A15,'Valo FX'!$A:$A,0)),INDEX(Base!$V:$V,MATCH($A15,Base!$A:$A,0)),0)))</f>
        <v>5.9188619999999998</v>
      </c>
      <c r="IA15" s="21">
        <f>IF(IA$1&lt;INDEX('Valo FX'!$Q:$Q,MATCH($A15,'Valo FX'!$A:$A,0)),0,IF(IA$1&lt;INDEX('Valo FX'!$R:$R,MATCH($A15,'Valo FX'!$A:$A,0)),INDEX(Base!$U:$U,MATCH($A15,Base!$A:$A,0)),IF(IA$1=INDEX('Valo FX'!$R:$R,MATCH($A15,'Valo FX'!$A:$A,0)),INDEX(Base!$V:$V,MATCH($A15,Base!$A:$A,0)),0)))</f>
        <v>5.9188619999999998</v>
      </c>
      <c r="IB15" s="21">
        <f>IF(IB$1&lt;INDEX('Valo FX'!$Q:$Q,MATCH($A15,'Valo FX'!$A:$A,0)),0,IF(IB$1&lt;INDEX('Valo FX'!$R:$R,MATCH($A15,'Valo FX'!$A:$A,0)),INDEX(Base!$U:$U,MATCH($A15,Base!$A:$A,0)),IF(IB$1=INDEX('Valo FX'!$R:$R,MATCH($A15,'Valo FX'!$A:$A,0)),INDEX(Base!$V:$V,MATCH($A15,Base!$A:$A,0)),0)))</f>
        <v>5.9188619999999998</v>
      </c>
      <c r="IC15" s="21">
        <f>IF(IC$1&lt;INDEX('Valo FX'!$Q:$Q,MATCH($A15,'Valo FX'!$A:$A,0)),0,IF(IC$1&lt;INDEX('Valo FX'!$R:$R,MATCH($A15,'Valo FX'!$A:$A,0)),INDEX(Base!$U:$U,MATCH($A15,Base!$A:$A,0)),IF(IC$1=INDEX('Valo FX'!$R:$R,MATCH($A15,'Valo FX'!$A:$A,0)),INDEX(Base!$V:$V,MATCH($A15,Base!$A:$A,0)),0)))</f>
        <v>5.9188619999999998</v>
      </c>
      <c r="ID15" s="21">
        <f>IF(ID$1&lt;INDEX('Valo FX'!$Q:$Q,MATCH($A15,'Valo FX'!$A:$A,0)),0,IF(ID$1&lt;INDEX('Valo FX'!$R:$R,MATCH($A15,'Valo FX'!$A:$A,0)),INDEX(Base!$U:$U,MATCH($A15,Base!$A:$A,0)),IF(ID$1=INDEX('Valo FX'!$R:$R,MATCH($A15,'Valo FX'!$A:$A,0)),INDEX(Base!$V:$V,MATCH($A15,Base!$A:$A,0)),0)))</f>
        <v>5.9188619999999998</v>
      </c>
      <c r="IE15" s="21">
        <f>IF(IE$1&lt;INDEX('Valo FX'!$Q:$Q,MATCH($A15,'Valo FX'!$A:$A,0)),0,IF(IE$1&lt;INDEX('Valo FX'!$R:$R,MATCH($A15,'Valo FX'!$A:$A,0)),INDEX(Base!$U:$U,MATCH($A15,Base!$A:$A,0)),IF(IE$1=INDEX('Valo FX'!$R:$R,MATCH($A15,'Valo FX'!$A:$A,0)),INDEX(Base!$V:$V,MATCH($A15,Base!$A:$A,0)),0)))</f>
        <v>5.9188619999999998</v>
      </c>
      <c r="IF15" s="21">
        <f>IF(IF$1&lt;INDEX('Valo FX'!$Q:$Q,MATCH($A15,'Valo FX'!$A:$A,0)),0,IF(IF$1&lt;INDEX('Valo FX'!$R:$R,MATCH($A15,'Valo FX'!$A:$A,0)),INDEX(Base!$U:$U,MATCH($A15,Base!$A:$A,0)),IF(IF$1=INDEX('Valo FX'!$R:$R,MATCH($A15,'Valo FX'!$A:$A,0)),INDEX(Base!$V:$V,MATCH($A15,Base!$A:$A,0)),0)))</f>
        <v>5.9188619999999998</v>
      </c>
      <c r="IG15" s="21">
        <f>IF(IG$1&lt;INDEX('Valo FX'!$Q:$Q,MATCH($A15,'Valo FX'!$A:$A,0)),0,IF(IG$1&lt;INDEX('Valo FX'!$R:$R,MATCH($A15,'Valo FX'!$A:$A,0)),INDEX(Base!$U:$U,MATCH($A15,Base!$A:$A,0)),IF(IG$1=INDEX('Valo FX'!$R:$R,MATCH($A15,'Valo FX'!$A:$A,0)),INDEX(Base!$V:$V,MATCH($A15,Base!$A:$A,0)),0)))</f>
        <v>5.9188619999999998</v>
      </c>
      <c r="IH15" s="21">
        <f>IF(IH$1&lt;INDEX('Valo FX'!$Q:$Q,MATCH($A15,'Valo FX'!$A:$A,0)),0,IF(IH$1&lt;INDEX('Valo FX'!$R:$R,MATCH($A15,'Valo FX'!$A:$A,0)),INDEX(Base!$U:$U,MATCH($A15,Base!$A:$A,0)),IF(IH$1=INDEX('Valo FX'!$R:$R,MATCH($A15,'Valo FX'!$A:$A,0)),INDEX(Base!$V:$V,MATCH($A15,Base!$A:$A,0)),0)))</f>
        <v>5.9188619999999998</v>
      </c>
      <c r="II15" s="21">
        <f>IF(II$1&lt;INDEX('Valo FX'!$Q:$Q,MATCH($A15,'Valo FX'!$A:$A,0)),0,IF(II$1&lt;INDEX('Valo FX'!$R:$R,MATCH($A15,'Valo FX'!$A:$A,0)),INDEX(Base!$U:$U,MATCH($A15,Base!$A:$A,0)),IF(II$1=INDEX('Valo FX'!$R:$R,MATCH($A15,'Valo FX'!$A:$A,0)),INDEX(Base!$V:$V,MATCH($A15,Base!$A:$A,0)),0)))</f>
        <v>5.7817319999999999</v>
      </c>
      <c r="IJ15" s="21">
        <f>IF(IJ$1&lt;INDEX('Valo FX'!$Q:$Q,MATCH($A15,'Valo FX'!$A:$A,0)),0,IF(IJ$1&lt;INDEX('Valo FX'!$R:$R,MATCH($A15,'Valo FX'!$A:$A,0)),INDEX(Base!$U:$U,MATCH($A15,Base!$A:$A,0)),IF(IJ$1=INDEX('Valo FX'!$R:$R,MATCH($A15,'Valo FX'!$A:$A,0)),INDEX(Base!$V:$V,MATCH($A15,Base!$A:$A,0)),0)))</f>
        <v>0</v>
      </c>
      <c r="IK15" s="21">
        <f>IF(IK$1&lt;INDEX('Valo FX'!$Q:$Q,MATCH($A15,'Valo FX'!$A:$A,0)),0,IF(IK$1&lt;INDEX('Valo FX'!$R:$R,MATCH($A15,'Valo FX'!$A:$A,0)),INDEX(Base!$U:$U,MATCH($A15,Base!$A:$A,0)),IF(IK$1=INDEX('Valo FX'!$R:$R,MATCH($A15,'Valo FX'!$A:$A,0)),INDEX(Base!$V:$V,MATCH($A15,Base!$A:$A,0)),0)))</f>
        <v>0</v>
      </c>
      <c r="IL15" s="21">
        <f>IF(IL$1&lt;INDEX('Valo FX'!$Q:$Q,MATCH($A15,'Valo FX'!$A:$A,0)),0,IF(IL$1&lt;INDEX('Valo FX'!$R:$R,MATCH($A15,'Valo FX'!$A:$A,0)),INDEX(Base!$U:$U,MATCH($A15,Base!$A:$A,0)),IF(IL$1=INDEX('Valo FX'!$R:$R,MATCH($A15,'Valo FX'!$A:$A,0)),INDEX(Base!$V:$V,MATCH($A15,Base!$A:$A,0)),0)))</f>
        <v>0</v>
      </c>
      <c r="IM15" s="21">
        <f>IF(IM$1&lt;INDEX('Valo FX'!$Q:$Q,MATCH($A15,'Valo FX'!$A:$A,0)),0,IF(IM$1&lt;INDEX('Valo FX'!$R:$R,MATCH($A15,'Valo FX'!$A:$A,0)),INDEX(Base!$U:$U,MATCH($A15,Base!$A:$A,0)),IF(IM$1=INDEX('Valo FX'!$R:$R,MATCH($A15,'Valo FX'!$A:$A,0)),INDEX(Base!$V:$V,MATCH($A15,Base!$A:$A,0)),0)))</f>
        <v>0</v>
      </c>
      <c r="IN15" s="21">
        <f>IF(IN$1&lt;INDEX('Valo FX'!$Q:$Q,MATCH($A15,'Valo FX'!$A:$A,0)),0,IF(IN$1&lt;INDEX('Valo FX'!$R:$R,MATCH($A15,'Valo FX'!$A:$A,0)),INDEX(Base!$U:$U,MATCH($A15,Base!$A:$A,0)),IF(IN$1=INDEX('Valo FX'!$R:$R,MATCH($A15,'Valo FX'!$A:$A,0)),INDEX(Base!$V:$V,MATCH($A15,Base!$A:$A,0)),0)))</f>
        <v>0</v>
      </c>
      <c r="IO15" s="21">
        <f>IF(IO$1&lt;INDEX('Valo FX'!$Q:$Q,MATCH($A15,'Valo FX'!$A:$A,0)),0,IF(IO$1&lt;INDEX('Valo FX'!$R:$R,MATCH($A15,'Valo FX'!$A:$A,0)),INDEX(Base!$U:$U,MATCH($A15,Base!$A:$A,0)),IF(IO$1=INDEX('Valo FX'!$R:$R,MATCH($A15,'Valo FX'!$A:$A,0)),INDEX(Base!$V:$V,MATCH($A15,Base!$A:$A,0)),0)))</f>
        <v>0</v>
      </c>
      <c r="IP15" s="21">
        <f>IF(IP$1&lt;INDEX('Valo FX'!$Q:$Q,MATCH($A15,'Valo FX'!$A:$A,0)),0,IF(IP$1&lt;INDEX('Valo FX'!$R:$R,MATCH($A15,'Valo FX'!$A:$A,0)),INDEX(Base!$U:$U,MATCH($A15,Base!$A:$A,0)),IF(IP$1=INDEX('Valo FX'!$R:$R,MATCH($A15,'Valo FX'!$A:$A,0)),INDEX(Base!$V:$V,MATCH($A15,Base!$A:$A,0)),0)))</f>
        <v>0</v>
      </c>
      <c r="IQ15" s="21">
        <f>IF(IQ$1&lt;INDEX('Valo FX'!$Q:$Q,MATCH($A15,'Valo FX'!$A:$A,0)),0,IF(IQ$1&lt;INDEX('Valo FX'!$R:$R,MATCH($A15,'Valo FX'!$A:$A,0)),INDEX(Base!$U:$U,MATCH($A15,Base!$A:$A,0)),IF(IQ$1=INDEX('Valo FX'!$R:$R,MATCH($A15,'Valo FX'!$A:$A,0)),INDEX(Base!$V:$V,MATCH($A15,Base!$A:$A,0)),0)))</f>
        <v>0</v>
      </c>
      <c r="IR15" s="21">
        <f>IF(IR$1&lt;INDEX('Valo FX'!$Q:$Q,MATCH($A15,'Valo FX'!$A:$A,0)),0,IF(IR$1&lt;INDEX('Valo FX'!$R:$R,MATCH($A15,'Valo FX'!$A:$A,0)),INDEX(Base!$U:$U,MATCH($A15,Base!$A:$A,0)),IF(IR$1=INDEX('Valo FX'!$R:$R,MATCH($A15,'Valo FX'!$A:$A,0)),INDEX(Base!$V:$V,MATCH($A15,Base!$A:$A,0)),0)))</f>
        <v>0</v>
      </c>
      <c r="IS15" s="21">
        <f>IF(IS$1&lt;INDEX('Valo FX'!$Q:$Q,MATCH($A15,'Valo FX'!$A:$A,0)),0,IF(IS$1&lt;INDEX('Valo FX'!$R:$R,MATCH($A15,'Valo FX'!$A:$A,0)),INDEX(Base!$U:$U,MATCH($A15,Base!$A:$A,0)),IF(IS$1=INDEX('Valo FX'!$R:$R,MATCH($A15,'Valo FX'!$A:$A,0)),INDEX(Base!$V:$V,MATCH($A15,Base!$A:$A,0)),0)))</f>
        <v>0</v>
      </c>
      <c r="IT15" s="21">
        <f>IF(IT$1&lt;INDEX('Valo FX'!$Q:$Q,MATCH($A15,'Valo FX'!$A:$A,0)),0,IF(IT$1&lt;INDEX('Valo FX'!$R:$R,MATCH($A15,'Valo FX'!$A:$A,0)),INDEX(Base!$U:$U,MATCH($A15,Base!$A:$A,0)),IF(IT$1=INDEX('Valo FX'!$R:$R,MATCH($A15,'Valo FX'!$A:$A,0)),INDEX(Base!$V:$V,MATCH($A15,Base!$A:$A,0)),0)))</f>
        <v>0</v>
      </c>
      <c r="IU15" s="21">
        <f>IF(IU$1&lt;INDEX('Valo FX'!$Q:$Q,MATCH($A15,'Valo FX'!$A:$A,0)),0,IF(IU$1&lt;INDEX('Valo FX'!$R:$R,MATCH($A15,'Valo FX'!$A:$A,0)),INDEX(Base!$U:$U,MATCH($A15,Base!$A:$A,0)),IF(IU$1=INDEX('Valo FX'!$R:$R,MATCH($A15,'Valo FX'!$A:$A,0)),INDEX(Base!$V:$V,MATCH($A15,Base!$A:$A,0)),0)))</f>
        <v>0</v>
      </c>
      <c r="IV15" s="21">
        <f>IF(IV$1&lt;INDEX('Valo FX'!$Q:$Q,MATCH($A15,'Valo FX'!$A:$A,0)),0,IF(IV$1&lt;INDEX('Valo FX'!$R:$R,MATCH($A15,'Valo FX'!$A:$A,0)),INDEX(Base!$U:$U,MATCH($A15,Base!$A:$A,0)),IF(IV$1=INDEX('Valo FX'!$R:$R,MATCH($A15,'Valo FX'!$A:$A,0)),INDEX(Base!$V:$V,MATCH($A15,Base!$A:$A,0)),0)))</f>
        <v>0</v>
      </c>
      <c r="IW15" s="21">
        <f>IF(IW$1&lt;INDEX('Valo FX'!$Q:$Q,MATCH($A15,'Valo FX'!$A:$A,0)),0,IF(IW$1&lt;INDEX('Valo FX'!$R:$R,MATCH($A15,'Valo FX'!$A:$A,0)),INDEX(Base!$U:$U,MATCH($A15,Base!$A:$A,0)),IF(IW$1=INDEX('Valo FX'!$R:$R,MATCH($A15,'Valo FX'!$A:$A,0)),INDEX(Base!$V:$V,MATCH($A15,Base!$A:$A,0)),0)))</f>
        <v>0</v>
      </c>
      <c r="IX15" s="21">
        <f>IF(IX$1&lt;INDEX('Valo FX'!$Q:$Q,MATCH($A15,'Valo FX'!$A:$A,0)),0,IF(IX$1&lt;INDEX('Valo FX'!$R:$R,MATCH($A15,'Valo FX'!$A:$A,0)),INDEX(Base!$U:$U,MATCH($A15,Base!$A:$A,0)),IF(IX$1=INDEX('Valo FX'!$R:$R,MATCH($A15,'Valo FX'!$A:$A,0)),INDEX(Base!$V:$V,MATCH($A15,Base!$A:$A,0)),0)))</f>
        <v>0</v>
      </c>
      <c r="IY15" s="21">
        <f>IF(IY$1&lt;INDEX('Valo FX'!$Q:$Q,MATCH($A15,'Valo FX'!$A:$A,0)),0,IF(IY$1&lt;INDEX('Valo FX'!$R:$R,MATCH($A15,'Valo FX'!$A:$A,0)),INDEX(Base!$U:$U,MATCH($A15,Base!$A:$A,0)),IF(IY$1=INDEX('Valo FX'!$R:$R,MATCH($A15,'Valo FX'!$A:$A,0)),INDEX(Base!$V:$V,MATCH($A15,Base!$A:$A,0)),0)))</f>
        <v>0</v>
      </c>
      <c r="IZ15" s="21">
        <f>IF(IZ$1&lt;INDEX('Valo FX'!$Q:$Q,MATCH($A15,'Valo FX'!$A:$A,0)),0,IF(IZ$1&lt;INDEX('Valo FX'!$R:$R,MATCH($A15,'Valo FX'!$A:$A,0)),INDEX(Base!$U:$U,MATCH($A15,Base!$A:$A,0)),IF(IZ$1=INDEX('Valo FX'!$R:$R,MATCH($A15,'Valo FX'!$A:$A,0)),INDEX(Base!$V:$V,MATCH($A15,Base!$A:$A,0)),0)))</f>
        <v>0</v>
      </c>
      <c r="JA15" s="21">
        <f>IF(JA$1&lt;INDEX('Valo FX'!$Q:$Q,MATCH($A15,'Valo FX'!$A:$A,0)),0,IF(JA$1&lt;INDEX('Valo FX'!$R:$R,MATCH($A15,'Valo FX'!$A:$A,0)),INDEX(Base!$U:$U,MATCH($A15,Base!$A:$A,0)),IF(JA$1=INDEX('Valo FX'!$R:$R,MATCH($A15,'Valo FX'!$A:$A,0)),INDEX(Base!$V:$V,MATCH($A15,Base!$A:$A,0)),0)))</f>
        <v>0</v>
      </c>
      <c r="JB15" s="21">
        <f>IF(JB$1&lt;INDEX('Valo FX'!$Q:$Q,MATCH($A15,'Valo FX'!$A:$A,0)),0,IF(JB$1&lt;INDEX('Valo FX'!$R:$R,MATCH($A15,'Valo FX'!$A:$A,0)),INDEX(Base!$U:$U,MATCH($A15,Base!$A:$A,0)),IF(JB$1=INDEX('Valo FX'!$R:$R,MATCH($A15,'Valo FX'!$A:$A,0)),INDEX(Base!$V:$V,MATCH($A15,Base!$A:$A,0)),0)))</f>
        <v>0</v>
      </c>
      <c r="JC15" s="21">
        <f>IF(JC$1&lt;INDEX('Valo FX'!$Q:$Q,MATCH($A15,'Valo FX'!$A:$A,0)),0,IF(JC$1&lt;INDEX('Valo FX'!$R:$R,MATCH($A15,'Valo FX'!$A:$A,0)),INDEX(Base!$U:$U,MATCH($A15,Base!$A:$A,0)),IF(JC$1=INDEX('Valo FX'!$R:$R,MATCH($A15,'Valo FX'!$A:$A,0)),INDEX(Base!$V:$V,MATCH($A15,Base!$A:$A,0)),0)))</f>
        <v>0</v>
      </c>
      <c r="JD15" s="21">
        <f>IF(JD$1&lt;INDEX('Valo FX'!$Q:$Q,MATCH($A15,'Valo FX'!$A:$A,0)),0,IF(JD$1&lt;INDEX('Valo FX'!$R:$R,MATCH($A15,'Valo FX'!$A:$A,0)),INDEX(Base!$U:$U,MATCH($A15,Base!$A:$A,0)),IF(JD$1=INDEX('Valo FX'!$R:$R,MATCH($A15,'Valo FX'!$A:$A,0)),INDEX(Base!$V:$V,MATCH($A15,Base!$A:$A,0)),0)))</f>
        <v>0</v>
      </c>
      <c r="JE15" s="21">
        <f>IF(JE$1&lt;INDEX('Valo FX'!$Q:$Q,MATCH($A15,'Valo FX'!$A:$A,0)),0,IF(JE$1&lt;INDEX('Valo FX'!$R:$R,MATCH($A15,'Valo FX'!$A:$A,0)),INDEX(Base!$U:$U,MATCH($A15,Base!$A:$A,0)),IF(JE$1=INDEX('Valo FX'!$R:$R,MATCH($A15,'Valo FX'!$A:$A,0)),INDEX(Base!$V:$V,MATCH($A15,Base!$A:$A,0)),0)))</f>
        <v>0</v>
      </c>
      <c r="JF15" s="21">
        <f>IF(JF$1&lt;INDEX('Valo FX'!$Q:$Q,MATCH($A15,'Valo FX'!$A:$A,0)),0,IF(JF$1&lt;INDEX('Valo FX'!$R:$R,MATCH($A15,'Valo FX'!$A:$A,0)),INDEX(Base!$U:$U,MATCH($A15,Base!$A:$A,0)),IF(JF$1=INDEX('Valo FX'!$R:$R,MATCH($A15,'Valo FX'!$A:$A,0)),INDEX(Base!$V:$V,MATCH($A15,Base!$A:$A,0)),0)))</f>
        <v>0</v>
      </c>
      <c r="JG15" s="21">
        <f>IF(JG$1&lt;INDEX('Valo FX'!$Q:$Q,MATCH($A15,'Valo FX'!$A:$A,0)),0,IF(JG$1&lt;INDEX('Valo FX'!$R:$R,MATCH($A15,'Valo FX'!$A:$A,0)),INDEX(Base!$U:$U,MATCH($A15,Base!$A:$A,0)),IF(JG$1=INDEX('Valo FX'!$R:$R,MATCH($A15,'Valo FX'!$A:$A,0)),INDEX(Base!$V:$V,MATCH($A15,Base!$A:$A,0)),0)))</f>
        <v>0</v>
      </c>
      <c r="JH15" s="21">
        <f>IF(JH$1&lt;INDEX('Valo FX'!$Q:$Q,MATCH($A15,'Valo FX'!$A:$A,0)),0,IF(JH$1&lt;INDEX('Valo FX'!$R:$R,MATCH($A15,'Valo FX'!$A:$A,0)),INDEX(Base!$U:$U,MATCH($A15,Base!$A:$A,0)),IF(JH$1=INDEX('Valo FX'!$R:$R,MATCH($A15,'Valo FX'!$A:$A,0)),INDEX(Base!$V:$V,MATCH($A15,Base!$A:$A,0)),0)))</f>
        <v>0</v>
      </c>
      <c r="JI15" s="21">
        <f>IF(JI$1&lt;INDEX('Valo FX'!$Q:$Q,MATCH($A15,'Valo FX'!$A:$A,0)),0,IF(JI$1&lt;INDEX('Valo FX'!$R:$R,MATCH($A15,'Valo FX'!$A:$A,0)),INDEX(Base!$U:$U,MATCH($A15,Base!$A:$A,0)),IF(JI$1=INDEX('Valo FX'!$R:$R,MATCH($A15,'Valo FX'!$A:$A,0)),INDEX(Base!$V:$V,MATCH($A15,Base!$A:$A,0)),0)))</f>
        <v>0</v>
      </c>
      <c r="JJ15" s="21">
        <f>IF(JJ$1&lt;INDEX('Valo FX'!$Q:$Q,MATCH($A15,'Valo FX'!$A:$A,0)),0,IF(JJ$1&lt;INDEX('Valo FX'!$R:$R,MATCH($A15,'Valo FX'!$A:$A,0)),INDEX(Base!$U:$U,MATCH($A15,Base!$A:$A,0)),IF(JJ$1=INDEX('Valo FX'!$R:$R,MATCH($A15,'Valo FX'!$A:$A,0)),INDEX(Base!$V:$V,MATCH($A15,Base!$A:$A,0)),0)))</f>
        <v>0</v>
      </c>
      <c r="JK15" s="21">
        <f>IF(JK$1&lt;INDEX('Valo FX'!$Q:$Q,MATCH($A15,'Valo FX'!$A:$A,0)),0,IF(JK$1&lt;INDEX('Valo FX'!$R:$R,MATCH($A15,'Valo FX'!$A:$A,0)),INDEX(Base!$U:$U,MATCH($A15,Base!$A:$A,0)),IF(JK$1=INDEX('Valo FX'!$R:$R,MATCH($A15,'Valo FX'!$A:$A,0)),INDEX(Base!$V:$V,MATCH($A15,Base!$A:$A,0)),0)))</f>
        <v>0</v>
      </c>
      <c r="JL15" s="21">
        <f>IF(JL$1&lt;INDEX('Valo FX'!$Q:$Q,MATCH($A15,'Valo FX'!$A:$A,0)),0,IF(JL$1&lt;INDEX('Valo FX'!$R:$R,MATCH($A15,'Valo FX'!$A:$A,0)),INDEX(Base!$U:$U,MATCH($A15,Base!$A:$A,0)),IF(JL$1=INDEX('Valo FX'!$R:$R,MATCH($A15,'Valo FX'!$A:$A,0)),INDEX(Base!$V:$V,MATCH($A15,Base!$A:$A,0)),0)))</f>
        <v>0</v>
      </c>
      <c r="JM15" s="21">
        <f>IF(JM$1&lt;INDEX('Valo FX'!$Q:$Q,MATCH($A15,'Valo FX'!$A:$A,0)),0,IF(JM$1&lt;INDEX('Valo FX'!$R:$R,MATCH($A15,'Valo FX'!$A:$A,0)),INDEX(Base!$U:$U,MATCH($A15,Base!$A:$A,0)),IF(JM$1=INDEX('Valo FX'!$R:$R,MATCH($A15,'Valo FX'!$A:$A,0)),INDEX(Base!$V:$V,MATCH($A15,Base!$A:$A,0)),0)))</f>
        <v>0</v>
      </c>
      <c r="JN15" s="21">
        <f>IF(JN$1&lt;INDEX('Valo FX'!$Q:$Q,MATCH($A15,'Valo FX'!$A:$A,0)),0,IF(JN$1&lt;INDEX('Valo FX'!$R:$R,MATCH($A15,'Valo FX'!$A:$A,0)),INDEX(Base!$U:$U,MATCH($A15,Base!$A:$A,0)),IF(JN$1=INDEX('Valo FX'!$R:$R,MATCH($A15,'Valo FX'!$A:$A,0)),INDEX(Base!$V:$V,MATCH($A15,Base!$A:$A,0)),0)))</f>
        <v>0</v>
      </c>
      <c r="JO15" s="21">
        <f>IF(JO$1&lt;INDEX('Valo FX'!$Q:$Q,MATCH($A15,'Valo FX'!$A:$A,0)),0,IF(JO$1&lt;INDEX('Valo FX'!$R:$R,MATCH($A15,'Valo FX'!$A:$A,0)),INDEX(Base!$U:$U,MATCH($A15,Base!$A:$A,0)),IF(JO$1=INDEX('Valo FX'!$R:$R,MATCH($A15,'Valo FX'!$A:$A,0)),INDEX(Base!$V:$V,MATCH($A15,Base!$A:$A,0)),0)))</f>
        <v>0</v>
      </c>
      <c r="JP15" s="21">
        <f>IF(JP$1&lt;INDEX('Valo FX'!$Q:$Q,MATCH($A15,'Valo FX'!$A:$A,0)),0,IF(JP$1&lt;INDEX('Valo FX'!$R:$R,MATCH($A15,'Valo FX'!$A:$A,0)),INDEX(Base!$U:$U,MATCH($A15,Base!$A:$A,0)),IF(JP$1=INDEX('Valo FX'!$R:$R,MATCH($A15,'Valo FX'!$A:$A,0)),INDEX(Base!$V:$V,MATCH($A15,Base!$A:$A,0)),0)))</f>
        <v>0</v>
      </c>
      <c r="JQ15" s="21">
        <f>IF(JQ$1&lt;INDEX('Valo FX'!$Q:$Q,MATCH($A15,'Valo FX'!$A:$A,0)),0,IF(JQ$1&lt;INDEX('Valo FX'!$R:$R,MATCH($A15,'Valo FX'!$A:$A,0)),INDEX(Base!$U:$U,MATCH($A15,Base!$A:$A,0)),IF(JQ$1=INDEX('Valo FX'!$R:$R,MATCH($A15,'Valo FX'!$A:$A,0)),INDEX(Base!$V:$V,MATCH($A15,Base!$A:$A,0)),0)))</f>
        <v>0</v>
      </c>
      <c r="JR15" s="21">
        <f>IF(JR$1&lt;INDEX('Valo FX'!$Q:$Q,MATCH($A15,'Valo FX'!$A:$A,0)),0,IF(JR$1&lt;INDEX('Valo FX'!$R:$R,MATCH($A15,'Valo FX'!$A:$A,0)),INDEX(Base!$U:$U,MATCH($A15,Base!$A:$A,0)),IF(JR$1=INDEX('Valo FX'!$R:$R,MATCH($A15,'Valo FX'!$A:$A,0)),INDEX(Base!$V:$V,MATCH($A15,Base!$A:$A,0)),0)))</f>
        <v>0</v>
      </c>
      <c r="JS15" s="21">
        <f>IF(JS$1&lt;INDEX('Valo FX'!$Q:$Q,MATCH($A15,'Valo FX'!$A:$A,0)),0,IF(JS$1&lt;INDEX('Valo FX'!$R:$R,MATCH($A15,'Valo FX'!$A:$A,0)),INDEX(Base!$U:$U,MATCH($A15,Base!$A:$A,0)),IF(JS$1=INDEX('Valo FX'!$R:$R,MATCH($A15,'Valo FX'!$A:$A,0)),INDEX(Base!$V:$V,MATCH($A15,Base!$A:$A,0)),0)))</f>
        <v>0</v>
      </c>
      <c r="JT15" s="21">
        <f>IF(JT$1&lt;INDEX('Valo FX'!$Q:$Q,MATCH($A15,'Valo FX'!$A:$A,0)),0,IF(JT$1&lt;INDEX('Valo FX'!$R:$R,MATCH($A15,'Valo FX'!$A:$A,0)),INDEX(Base!$U:$U,MATCH($A15,Base!$A:$A,0)),IF(JT$1=INDEX('Valo FX'!$R:$R,MATCH($A15,'Valo FX'!$A:$A,0)),INDEX(Base!$V:$V,MATCH($A15,Base!$A:$A,0)),0)))</f>
        <v>0</v>
      </c>
      <c r="JU15" s="21">
        <f>IF(JU$1&lt;INDEX('Valo FX'!$Q:$Q,MATCH($A15,'Valo FX'!$A:$A,0)),0,IF(JU$1&lt;INDEX('Valo FX'!$R:$R,MATCH($A15,'Valo FX'!$A:$A,0)),INDEX(Base!$U:$U,MATCH($A15,Base!$A:$A,0)),IF(JU$1=INDEX('Valo FX'!$R:$R,MATCH($A15,'Valo FX'!$A:$A,0)),INDEX(Base!$V:$V,MATCH($A15,Base!$A:$A,0)),0)))</f>
        <v>0</v>
      </c>
      <c r="JV15" s="21">
        <f>IF(JV$1&lt;INDEX('Valo FX'!$Q:$Q,MATCH($A15,'Valo FX'!$A:$A,0)),0,IF(JV$1&lt;INDEX('Valo FX'!$R:$R,MATCH($A15,'Valo FX'!$A:$A,0)),INDEX(Base!$U:$U,MATCH($A15,Base!$A:$A,0)),IF(JV$1=INDEX('Valo FX'!$R:$R,MATCH($A15,'Valo FX'!$A:$A,0)),INDEX(Base!$V:$V,MATCH($A15,Base!$A:$A,0)),0)))</f>
        <v>0</v>
      </c>
      <c r="JW15" s="21">
        <f>IF(JW$1&lt;INDEX('Valo FX'!$Q:$Q,MATCH($A15,'Valo FX'!$A:$A,0)),0,IF(JW$1&lt;INDEX('Valo FX'!$R:$R,MATCH($A15,'Valo FX'!$A:$A,0)),INDEX(Base!$U:$U,MATCH($A15,Base!$A:$A,0)),IF(JW$1=INDEX('Valo FX'!$R:$R,MATCH($A15,'Valo FX'!$A:$A,0)),INDEX(Base!$V:$V,MATCH($A15,Base!$A:$A,0)),0)))</f>
        <v>0</v>
      </c>
      <c r="JX15" s="21">
        <f>IF(JX$1&lt;INDEX('Valo FX'!$Q:$Q,MATCH($A15,'Valo FX'!$A:$A,0)),0,IF(JX$1&lt;INDEX('Valo FX'!$R:$R,MATCH($A15,'Valo FX'!$A:$A,0)),INDEX(Base!$U:$U,MATCH($A15,Base!$A:$A,0)),IF(JX$1=INDEX('Valo FX'!$R:$R,MATCH($A15,'Valo FX'!$A:$A,0)),INDEX(Base!$V:$V,MATCH($A15,Base!$A:$A,0)),0)))</f>
        <v>0</v>
      </c>
      <c r="JY15" s="21">
        <f>IF(JY$1&lt;INDEX('Valo FX'!$Q:$Q,MATCH($A15,'Valo FX'!$A:$A,0)),0,IF(JY$1&lt;INDEX('Valo FX'!$R:$R,MATCH($A15,'Valo FX'!$A:$A,0)),INDEX(Base!$U:$U,MATCH($A15,Base!$A:$A,0)),IF(JY$1=INDEX('Valo FX'!$R:$R,MATCH($A15,'Valo FX'!$A:$A,0)),INDEX(Base!$V:$V,MATCH($A15,Base!$A:$A,0)),0)))</f>
        <v>0</v>
      </c>
      <c r="JZ15" s="21">
        <f>IF(JZ$1&lt;INDEX('Valo FX'!$Q:$Q,MATCH($A15,'Valo FX'!$A:$A,0)),0,IF(JZ$1&lt;INDEX('Valo FX'!$R:$R,MATCH($A15,'Valo FX'!$A:$A,0)),INDEX(Base!$U:$U,MATCH($A15,Base!$A:$A,0)),IF(JZ$1=INDEX('Valo FX'!$R:$R,MATCH($A15,'Valo FX'!$A:$A,0)),INDEX(Base!$V:$V,MATCH($A15,Base!$A:$A,0)),0)))</f>
        <v>0</v>
      </c>
      <c r="KA15" s="21">
        <f>IF(KA$1&lt;INDEX('Valo FX'!$Q:$Q,MATCH($A15,'Valo FX'!$A:$A,0)),0,IF(KA$1&lt;INDEX('Valo FX'!$R:$R,MATCH($A15,'Valo FX'!$A:$A,0)),INDEX(Base!$U:$U,MATCH($A15,Base!$A:$A,0)),IF(KA$1=INDEX('Valo FX'!$R:$R,MATCH($A15,'Valo FX'!$A:$A,0)),INDEX(Base!$V:$V,MATCH($A15,Base!$A:$A,0)),0)))</f>
        <v>0</v>
      </c>
      <c r="KB15" s="21">
        <f>IF(KB$1&lt;INDEX('Valo FX'!$Q:$Q,MATCH($A15,'Valo FX'!$A:$A,0)),0,IF(KB$1&lt;INDEX('Valo FX'!$R:$R,MATCH($A15,'Valo FX'!$A:$A,0)),INDEX(Base!$U:$U,MATCH($A15,Base!$A:$A,0)),IF(KB$1=INDEX('Valo FX'!$R:$R,MATCH($A15,'Valo FX'!$A:$A,0)),INDEX(Base!$V:$V,MATCH($A15,Base!$A:$A,0)),0)))</f>
        <v>0</v>
      </c>
      <c r="KC15" s="21">
        <f>IF(KC$1&lt;INDEX('Valo FX'!$Q:$Q,MATCH($A15,'Valo FX'!$A:$A,0)),0,IF(KC$1&lt;INDEX('Valo FX'!$R:$R,MATCH($A15,'Valo FX'!$A:$A,0)),INDEX(Base!$U:$U,MATCH($A15,Base!$A:$A,0)),IF(KC$1=INDEX('Valo FX'!$R:$R,MATCH($A15,'Valo FX'!$A:$A,0)),INDEX(Base!$V:$V,MATCH($A15,Base!$A:$A,0)),0)))</f>
        <v>0</v>
      </c>
      <c r="KD15" s="21">
        <f>IF(KD$1&lt;INDEX('Valo FX'!$Q:$Q,MATCH($A15,'Valo FX'!$A:$A,0)),0,IF(KD$1&lt;INDEX('Valo FX'!$R:$R,MATCH($A15,'Valo FX'!$A:$A,0)),INDEX(Base!$U:$U,MATCH($A15,Base!$A:$A,0)),IF(KD$1=INDEX('Valo FX'!$R:$R,MATCH($A15,'Valo FX'!$A:$A,0)),INDEX(Base!$V:$V,MATCH($A15,Base!$A:$A,0)),0)))</f>
        <v>0</v>
      </c>
      <c r="KE15" s="21">
        <f>IF(KE$1&lt;INDEX('Valo FX'!$Q:$Q,MATCH($A15,'Valo FX'!$A:$A,0)),0,IF(KE$1&lt;INDEX('Valo FX'!$R:$R,MATCH($A15,'Valo FX'!$A:$A,0)),INDEX(Base!$U:$U,MATCH($A15,Base!$A:$A,0)),IF(KE$1=INDEX('Valo FX'!$R:$R,MATCH($A15,'Valo FX'!$A:$A,0)),INDEX(Base!$V:$V,MATCH($A15,Base!$A:$A,0)),0)))</f>
        <v>0</v>
      </c>
      <c r="KF15" s="21">
        <f>IF(KF$1&lt;INDEX('Valo FX'!$Q:$Q,MATCH($A15,'Valo FX'!$A:$A,0)),0,IF(KF$1&lt;INDEX('Valo FX'!$R:$R,MATCH($A15,'Valo FX'!$A:$A,0)),INDEX(Base!$U:$U,MATCH($A15,Base!$A:$A,0)),IF(KF$1=INDEX('Valo FX'!$R:$R,MATCH($A15,'Valo FX'!$A:$A,0)),INDEX(Base!$V:$V,MATCH($A15,Base!$A:$A,0)),0)))</f>
        <v>0</v>
      </c>
      <c r="KG15" s="21">
        <f>IF(KG$1&lt;INDEX('Valo FX'!$Q:$Q,MATCH($A15,'Valo FX'!$A:$A,0)),0,IF(KG$1&lt;INDEX('Valo FX'!$R:$R,MATCH($A15,'Valo FX'!$A:$A,0)),INDEX(Base!$U:$U,MATCH($A15,Base!$A:$A,0)),IF(KG$1=INDEX('Valo FX'!$R:$R,MATCH($A15,'Valo FX'!$A:$A,0)),INDEX(Base!$V:$V,MATCH($A15,Base!$A:$A,0)),0)))</f>
        <v>0</v>
      </c>
      <c r="KH15" s="21">
        <f>IF(KH$1&lt;INDEX('Valo FX'!$Q:$Q,MATCH($A15,'Valo FX'!$A:$A,0)),0,IF(KH$1&lt;INDEX('Valo FX'!$R:$R,MATCH($A15,'Valo FX'!$A:$A,0)),INDEX(Base!$U:$U,MATCH($A15,Base!$A:$A,0)),IF(KH$1=INDEX('Valo FX'!$R:$R,MATCH($A15,'Valo FX'!$A:$A,0)),INDEX(Base!$V:$V,MATCH($A15,Base!$A:$A,0)),0)))</f>
        <v>0</v>
      </c>
      <c r="KI15" s="21">
        <f>IF(KI$1&lt;INDEX('Valo FX'!$Q:$Q,MATCH($A15,'Valo FX'!$A:$A,0)),0,IF(KI$1&lt;INDEX('Valo FX'!$R:$R,MATCH($A15,'Valo FX'!$A:$A,0)),INDEX(Base!$U:$U,MATCH($A15,Base!$A:$A,0)),IF(KI$1=INDEX('Valo FX'!$R:$R,MATCH($A15,'Valo FX'!$A:$A,0)),INDEX(Base!$V:$V,MATCH($A15,Base!$A:$A,0)),0)))</f>
        <v>0</v>
      </c>
      <c r="KJ15" s="21">
        <f>IF(KJ$1&lt;INDEX('Valo FX'!$Q:$Q,MATCH($A15,'Valo FX'!$A:$A,0)),0,IF(KJ$1&lt;INDEX('Valo FX'!$R:$R,MATCH($A15,'Valo FX'!$A:$A,0)),INDEX(Base!$U:$U,MATCH($A15,Base!$A:$A,0)),IF(KJ$1=INDEX('Valo FX'!$R:$R,MATCH($A15,'Valo FX'!$A:$A,0)),INDEX(Base!$V:$V,MATCH($A15,Base!$A:$A,0)),0)))</f>
        <v>0</v>
      </c>
      <c r="KK15" s="21">
        <f>IF(KK$1&lt;INDEX('Valo FX'!$Q:$Q,MATCH($A15,'Valo FX'!$A:$A,0)),0,IF(KK$1&lt;INDEX('Valo FX'!$R:$R,MATCH($A15,'Valo FX'!$A:$A,0)),INDEX(Base!$U:$U,MATCH($A15,Base!$A:$A,0)),IF(KK$1=INDEX('Valo FX'!$R:$R,MATCH($A15,'Valo FX'!$A:$A,0)),INDEX(Base!$V:$V,MATCH($A15,Base!$A:$A,0)),0)))</f>
        <v>0</v>
      </c>
      <c r="KL15" s="21">
        <f>IF(KL$1&lt;INDEX('Valo FX'!$Q:$Q,MATCH($A15,'Valo FX'!$A:$A,0)),0,IF(KL$1&lt;INDEX('Valo FX'!$R:$R,MATCH($A15,'Valo FX'!$A:$A,0)),INDEX(Base!$U:$U,MATCH($A15,Base!$A:$A,0)),IF(KL$1=INDEX('Valo FX'!$R:$R,MATCH($A15,'Valo FX'!$A:$A,0)),INDEX(Base!$V:$V,MATCH($A15,Base!$A:$A,0)),0)))</f>
        <v>0</v>
      </c>
      <c r="KM15" s="21">
        <f>IF(KM$1&lt;INDEX('Valo FX'!$Q:$Q,MATCH($A15,'Valo FX'!$A:$A,0)),0,IF(KM$1&lt;INDEX('Valo FX'!$R:$R,MATCH($A15,'Valo FX'!$A:$A,0)),INDEX(Base!$U:$U,MATCH($A15,Base!$A:$A,0)),IF(KM$1=INDEX('Valo FX'!$R:$R,MATCH($A15,'Valo FX'!$A:$A,0)),INDEX(Base!$V:$V,MATCH($A15,Base!$A:$A,0)),0)))</f>
        <v>0</v>
      </c>
      <c r="KN15" s="21">
        <f>IF(KN$1&lt;INDEX('Valo FX'!$Q:$Q,MATCH($A15,'Valo FX'!$A:$A,0)),0,IF(KN$1&lt;INDEX('Valo FX'!$R:$R,MATCH($A15,'Valo FX'!$A:$A,0)),INDEX(Base!$U:$U,MATCH($A15,Base!$A:$A,0)),IF(KN$1=INDEX('Valo FX'!$R:$R,MATCH($A15,'Valo FX'!$A:$A,0)),INDEX(Base!$V:$V,MATCH($A15,Base!$A:$A,0)),0)))</f>
        <v>0</v>
      </c>
      <c r="KO15" s="21">
        <f>IF(KO$1&lt;INDEX('Valo FX'!$Q:$Q,MATCH($A15,'Valo FX'!$A:$A,0)),0,IF(KO$1&lt;INDEX('Valo FX'!$R:$R,MATCH($A15,'Valo FX'!$A:$A,0)),INDEX(Base!$U:$U,MATCH($A15,Base!$A:$A,0)),IF(KO$1=INDEX('Valo FX'!$R:$R,MATCH($A15,'Valo FX'!$A:$A,0)),INDEX(Base!$V:$V,MATCH($A15,Base!$A:$A,0)),0)))</f>
        <v>0</v>
      </c>
      <c r="KP15" s="21">
        <f>IF(KP$1&lt;INDEX('Valo FX'!$Q:$Q,MATCH($A15,'Valo FX'!$A:$A,0)),0,IF(KP$1&lt;INDEX('Valo FX'!$R:$R,MATCH($A15,'Valo FX'!$A:$A,0)),INDEX(Base!$U:$U,MATCH($A15,Base!$A:$A,0)),IF(KP$1=INDEX('Valo FX'!$R:$R,MATCH($A15,'Valo FX'!$A:$A,0)),INDEX(Base!$V:$V,MATCH($A15,Base!$A:$A,0)),0)))</f>
        <v>0</v>
      </c>
      <c r="KQ15" s="21">
        <f>IF(KQ$1&lt;INDEX('Valo FX'!$Q:$Q,MATCH($A15,'Valo FX'!$A:$A,0)),0,IF(KQ$1&lt;INDEX('Valo FX'!$R:$R,MATCH($A15,'Valo FX'!$A:$A,0)),INDEX(Base!$U:$U,MATCH($A15,Base!$A:$A,0)),IF(KQ$1=INDEX('Valo FX'!$R:$R,MATCH($A15,'Valo FX'!$A:$A,0)),INDEX(Base!$V:$V,MATCH($A15,Base!$A:$A,0)),0)))</f>
        <v>0</v>
      </c>
      <c r="KR15" s="21">
        <f>IF(KR$1&lt;INDEX('Valo FX'!$Q:$Q,MATCH($A15,'Valo FX'!$A:$A,0)),0,IF(KR$1&lt;INDEX('Valo FX'!$R:$R,MATCH($A15,'Valo FX'!$A:$A,0)),INDEX(Base!$U:$U,MATCH($A15,Base!$A:$A,0)),IF(KR$1=INDEX('Valo FX'!$R:$R,MATCH($A15,'Valo FX'!$A:$A,0)),INDEX(Base!$V:$V,MATCH($A15,Base!$A:$A,0)),0)))</f>
        <v>0</v>
      </c>
      <c r="KS15" s="21">
        <f>IF(KS$1&lt;INDEX('Valo FX'!$Q:$Q,MATCH($A15,'Valo FX'!$A:$A,0)),0,IF(KS$1&lt;INDEX('Valo FX'!$R:$R,MATCH($A15,'Valo FX'!$A:$A,0)),INDEX(Base!$U:$U,MATCH($A15,Base!$A:$A,0)),IF(KS$1=INDEX('Valo FX'!$R:$R,MATCH($A15,'Valo FX'!$A:$A,0)),INDEX(Base!$V:$V,MATCH($A15,Base!$A:$A,0)),0)))</f>
        <v>0</v>
      </c>
      <c r="KT15" s="21">
        <f>IF(KT$1&lt;INDEX('Valo FX'!$Q:$Q,MATCH($A15,'Valo FX'!$A:$A,0)),0,IF(KT$1&lt;INDEX('Valo FX'!$R:$R,MATCH($A15,'Valo FX'!$A:$A,0)),INDEX(Base!$U:$U,MATCH($A15,Base!$A:$A,0)),IF(KT$1=INDEX('Valo FX'!$R:$R,MATCH($A15,'Valo FX'!$A:$A,0)),INDEX(Base!$V:$V,MATCH($A15,Base!$A:$A,0)),0)))</f>
        <v>0</v>
      </c>
      <c r="KU15" s="21">
        <f>IF(KU$1&lt;INDEX('Valo FX'!$Q:$Q,MATCH($A15,'Valo FX'!$A:$A,0)),0,IF(KU$1&lt;INDEX('Valo FX'!$R:$R,MATCH($A15,'Valo FX'!$A:$A,0)),INDEX(Base!$U:$U,MATCH($A15,Base!$A:$A,0)),IF(KU$1=INDEX('Valo FX'!$R:$R,MATCH($A15,'Valo FX'!$A:$A,0)),INDEX(Base!$V:$V,MATCH($A15,Base!$A:$A,0)),0)))</f>
        <v>0</v>
      </c>
      <c r="KV15" s="21">
        <f>IF(KV$1&lt;INDEX('Valo FX'!$Q:$Q,MATCH($A15,'Valo FX'!$A:$A,0)),0,IF(KV$1&lt;INDEX('Valo FX'!$R:$R,MATCH($A15,'Valo FX'!$A:$A,0)),INDEX(Base!$U:$U,MATCH($A15,Base!$A:$A,0)),IF(KV$1=INDEX('Valo FX'!$R:$R,MATCH($A15,'Valo FX'!$A:$A,0)),INDEX(Base!$V:$V,MATCH($A15,Base!$A:$A,0)),0)))</f>
        <v>0</v>
      </c>
      <c r="KW15" s="21">
        <f>IF(KW$1&lt;INDEX('Valo FX'!$Q:$Q,MATCH($A15,'Valo FX'!$A:$A,0)),0,IF(KW$1&lt;INDEX('Valo FX'!$R:$R,MATCH($A15,'Valo FX'!$A:$A,0)),INDEX(Base!$U:$U,MATCH($A15,Base!$A:$A,0)),IF(KW$1=INDEX('Valo FX'!$R:$R,MATCH($A15,'Valo FX'!$A:$A,0)),INDEX(Base!$V:$V,MATCH($A15,Base!$A:$A,0)),0)))</f>
        <v>0</v>
      </c>
      <c r="KX15" s="21">
        <f>IF(KX$1&lt;INDEX('Valo FX'!$Q:$Q,MATCH($A15,'Valo FX'!$A:$A,0)),0,IF(KX$1&lt;INDEX('Valo FX'!$R:$R,MATCH($A15,'Valo FX'!$A:$A,0)),INDEX(Base!$U:$U,MATCH($A15,Base!$A:$A,0)),IF(KX$1=INDEX('Valo FX'!$R:$R,MATCH($A15,'Valo FX'!$A:$A,0)),INDEX(Base!$V:$V,MATCH($A15,Base!$A:$A,0)),0)))</f>
        <v>0</v>
      </c>
      <c r="KY15" s="21">
        <f>IF(KY$1&lt;INDEX('Valo FX'!$Q:$Q,MATCH($A15,'Valo FX'!$A:$A,0)),0,IF(KY$1&lt;INDEX('Valo FX'!$R:$R,MATCH($A15,'Valo FX'!$A:$A,0)),INDEX(Base!$U:$U,MATCH($A15,Base!$A:$A,0)),IF(KY$1=INDEX('Valo FX'!$R:$R,MATCH($A15,'Valo FX'!$A:$A,0)),INDEX(Base!$V:$V,MATCH($A15,Base!$A:$A,0)),0)))</f>
        <v>0</v>
      </c>
      <c r="KZ15" s="21">
        <f>IF(KZ$1&lt;INDEX('Valo FX'!$Q:$Q,MATCH($A15,'Valo FX'!$A:$A,0)),0,IF(KZ$1&lt;INDEX('Valo FX'!$R:$R,MATCH($A15,'Valo FX'!$A:$A,0)),INDEX(Base!$U:$U,MATCH($A15,Base!$A:$A,0)),IF(KZ$1=INDEX('Valo FX'!$R:$R,MATCH($A15,'Valo FX'!$A:$A,0)),INDEX(Base!$V:$V,MATCH($A15,Base!$A:$A,0)),0)))</f>
        <v>0</v>
      </c>
      <c r="LA15" s="21">
        <f>IF(LA$1&lt;INDEX('Valo FX'!$Q:$Q,MATCH($A15,'Valo FX'!$A:$A,0)),0,IF(LA$1&lt;INDEX('Valo FX'!$R:$R,MATCH($A15,'Valo FX'!$A:$A,0)),INDEX(Base!$U:$U,MATCH($A15,Base!$A:$A,0)),IF(LA$1=INDEX('Valo FX'!$R:$R,MATCH($A15,'Valo FX'!$A:$A,0)),INDEX(Base!$V:$V,MATCH($A15,Base!$A:$A,0)),0)))</f>
        <v>0</v>
      </c>
      <c r="LB15" s="21">
        <f>IF(LB$1&lt;INDEX('Valo FX'!$Q:$Q,MATCH($A15,'Valo FX'!$A:$A,0)),0,IF(LB$1&lt;INDEX('Valo FX'!$R:$R,MATCH($A15,'Valo FX'!$A:$A,0)),INDEX(Base!$U:$U,MATCH($A15,Base!$A:$A,0)),IF(LB$1=INDEX('Valo FX'!$R:$R,MATCH($A15,'Valo FX'!$A:$A,0)),INDEX(Base!$V:$V,MATCH($A15,Base!$A:$A,0)),0)))</f>
        <v>0</v>
      </c>
      <c r="LC15" s="21">
        <f>IF(LC$1&lt;INDEX('Valo FX'!$Q:$Q,MATCH($A15,'Valo FX'!$A:$A,0)),0,IF(LC$1&lt;INDEX('Valo FX'!$R:$R,MATCH($A15,'Valo FX'!$A:$A,0)),INDEX(Base!$U:$U,MATCH($A15,Base!$A:$A,0)),IF(LC$1=INDEX('Valo FX'!$R:$R,MATCH($A15,'Valo FX'!$A:$A,0)),INDEX(Base!$V:$V,MATCH($A15,Base!$A:$A,0)),0)))</f>
        <v>0</v>
      </c>
      <c r="LD15" s="21">
        <f>IF(LD$1&lt;INDEX('Valo FX'!$Q:$Q,MATCH($A15,'Valo FX'!$A:$A,0)),0,IF(LD$1&lt;INDEX('Valo FX'!$R:$R,MATCH($A15,'Valo FX'!$A:$A,0)),INDEX(Base!$U:$U,MATCH($A15,Base!$A:$A,0)),IF(LD$1=INDEX('Valo FX'!$R:$R,MATCH($A15,'Valo FX'!$A:$A,0)),INDEX(Base!$V:$V,MATCH($A15,Base!$A:$A,0)),0)))</f>
        <v>0</v>
      </c>
      <c r="LE15" s="21">
        <f>IF(LE$1&lt;INDEX('Valo FX'!$Q:$Q,MATCH($A15,'Valo FX'!$A:$A,0)),0,IF(LE$1&lt;INDEX('Valo FX'!$R:$R,MATCH($A15,'Valo FX'!$A:$A,0)),INDEX(Base!$U:$U,MATCH($A15,Base!$A:$A,0)),IF(LE$1=INDEX('Valo FX'!$R:$R,MATCH($A15,'Valo FX'!$A:$A,0)),INDEX(Base!$V:$V,MATCH($A15,Base!$A:$A,0)),0)))</f>
        <v>0</v>
      </c>
      <c r="LF15" s="21">
        <f>IF(LF$1&lt;INDEX('Valo FX'!$Q:$Q,MATCH($A15,'Valo FX'!$A:$A,0)),0,IF(LF$1&lt;INDEX('Valo FX'!$R:$R,MATCH($A15,'Valo FX'!$A:$A,0)),INDEX(Base!$U:$U,MATCH($A15,Base!$A:$A,0)),IF(LF$1=INDEX('Valo FX'!$R:$R,MATCH($A15,'Valo FX'!$A:$A,0)),INDEX(Base!$V:$V,MATCH($A15,Base!$A:$A,0)),0)))</f>
        <v>0</v>
      </c>
      <c r="LG15" s="21">
        <f>IF(LG$1&lt;INDEX('Valo FX'!$Q:$Q,MATCH($A15,'Valo FX'!$A:$A,0)),0,IF(LG$1&lt;INDEX('Valo FX'!$R:$R,MATCH($A15,'Valo FX'!$A:$A,0)),INDEX(Base!$U:$U,MATCH($A15,Base!$A:$A,0)),IF(LG$1=INDEX('Valo FX'!$R:$R,MATCH($A15,'Valo FX'!$A:$A,0)),INDEX(Base!$V:$V,MATCH($A15,Base!$A:$A,0)),0)))</f>
        <v>0</v>
      </c>
      <c r="LH15" s="21">
        <f>IF(LH$1&lt;INDEX('Valo FX'!$Q:$Q,MATCH($A15,'Valo FX'!$A:$A,0)),0,IF(LH$1&lt;INDEX('Valo FX'!$R:$R,MATCH($A15,'Valo FX'!$A:$A,0)),INDEX(Base!$U:$U,MATCH($A15,Base!$A:$A,0)),IF(LH$1=INDEX('Valo FX'!$R:$R,MATCH($A15,'Valo FX'!$A:$A,0)),INDEX(Base!$V:$V,MATCH($A15,Base!$A:$A,0)),0)))</f>
        <v>0</v>
      </c>
      <c r="LI15" s="21">
        <f>IF(LI$1&lt;INDEX('Valo FX'!$Q:$Q,MATCH($A15,'Valo FX'!$A:$A,0)),0,IF(LI$1&lt;INDEX('Valo FX'!$R:$R,MATCH($A15,'Valo FX'!$A:$A,0)),INDEX(Base!$U:$U,MATCH($A15,Base!$A:$A,0)),IF(LI$1=INDEX('Valo FX'!$R:$R,MATCH($A15,'Valo FX'!$A:$A,0)),INDEX(Base!$V:$V,MATCH($A15,Base!$A:$A,0)),0)))</f>
        <v>0</v>
      </c>
      <c r="LJ15" s="21">
        <f>IF(LJ$1&lt;INDEX('Valo FX'!$Q:$Q,MATCH($A15,'Valo FX'!$A:$A,0)),0,IF(LJ$1&lt;INDEX('Valo FX'!$R:$R,MATCH($A15,'Valo FX'!$A:$A,0)),INDEX(Base!$U:$U,MATCH($A15,Base!$A:$A,0)),IF(LJ$1=INDEX('Valo FX'!$R:$R,MATCH($A15,'Valo FX'!$A:$A,0)),INDEX(Base!$V:$V,MATCH($A15,Base!$A:$A,0)),0)))</f>
        <v>0</v>
      </c>
      <c r="LK15" s="21">
        <f>IF(LK$1&lt;INDEX('Valo FX'!$Q:$Q,MATCH($A15,'Valo FX'!$A:$A,0)),0,IF(LK$1&lt;INDEX('Valo FX'!$R:$R,MATCH($A15,'Valo FX'!$A:$A,0)),INDEX(Base!$U:$U,MATCH($A15,Base!$A:$A,0)),IF(LK$1=INDEX('Valo FX'!$R:$R,MATCH($A15,'Valo FX'!$A:$A,0)),INDEX(Base!$V:$V,MATCH($A15,Base!$A:$A,0)),0)))</f>
        <v>0</v>
      </c>
      <c r="LL15" s="21">
        <f>IF(LL$1&lt;INDEX('Valo FX'!$Q:$Q,MATCH($A15,'Valo FX'!$A:$A,0)),0,IF(LL$1&lt;INDEX('Valo FX'!$R:$R,MATCH($A15,'Valo FX'!$A:$A,0)),INDEX(Base!$U:$U,MATCH($A15,Base!$A:$A,0)),IF(LL$1=INDEX('Valo FX'!$R:$R,MATCH($A15,'Valo FX'!$A:$A,0)),INDEX(Base!$V:$V,MATCH($A15,Base!$A:$A,0)),0)))</f>
        <v>0</v>
      </c>
      <c r="LM15" s="21">
        <f>IF(LM$1&lt;INDEX('Valo FX'!$Q:$Q,MATCH($A15,'Valo FX'!$A:$A,0)),0,IF(LM$1&lt;INDEX('Valo FX'!$R:$R,MATCH($A15,'Valo FX'!$A:$A,0)),INDEX(Base!$U:$U,MATCH($A15,Base!$A:$A,0)),IF(LM$1=INDEX('Valo FX'!$R:$R,MATCH($A15,'Valo FX'!$A:$A,0)),INDEX(Base!$V:$V,MATCH($A15,Base!$A:$A,0)),0)))</f>
        <v>0</v>
      </c>
      <c r="LN15" s="21">
        <f>IF(LN$1&lt;INDEX('Valo FX'!$Q:$Q,MATCH($A15,'Valo FX'!$A:$A,0)),0,IF(LN$1&lt;INDEX('Valo FX'!$R:$R,MATCH($A15,'Valo FX'!$A:$A,0)),INDEX(Base!$U:$U,MATCH($A15,Base!$A:$A,0)),IF(LN$1=INDEX('Valo FX'!$R:$R,MATCH($A15,'Valo FX'!$A:$A,0)),INDEX(Base!$V:$V,MATCH($A15,Base!$A:$A,0)),0)))</f>
        <v>0</v>
      </c>
      <c r="LO15" s="21">
        <f>IF(LO$1&lt;INDEX('Valo FX'!$Q:$Q,MATCH($A15,'Valo FX'!$A:$A,0)),0,IF(LO$1&lt;INDEX('Valo FX'!$R:$R,MATCH($A15,'Valo FX'!$A:$A,0)),INDEX(Base!$U:$U,MATCH($A15,Base!$A:$A,0)),IF(LO$1=INDEX('Valo FX'!$R:$R,MATCH($A15,'Valo FX'!$A:$A,0)),INDEX(Base!$V:$V,MATCH($A15,Base!$A:$A,0)),0)))</f>
        <v>0</v>
      </c>
      <c r="LP15" s="21">
        <f>IF(LP$1&lt;INDEX('Valo FX'!$Q:$Q,MATCH($A15,'Valo FX'!$A:$A,0)),0,IF(LP$1&lt;INDEX('Valo FX'!$R:$R,MATCH($A15,'Valo FX'!$A:$A,0)),INDEX(Base!$U:$U,MATCH($A15,Base!$A:$A,0)),IF(LP$1=INDEX('Valo FX'!$R:$R,MATCH($A15,'Valo FX'!$A:$A,0)),INDEX(Base!$V:$V,MATCH($A15,Base!$A:$A,0)),0)))</f>
        <v>0</v>
      </c>
      <c r="LQ15" s="21">
        <f>IF(LQ$1&lt;INDEX('Valo FX'!$Q:$Q,MATCH($A15,'Valo FX'!$A:$A,0)),0,IF(LQ$1&lt;INDEX('Valo FX'!$R:$R,MATCH($A15,'Valo FX'!$A:$A,0)),INDEX(Base!$U:$U,MATCH($A15,Base!$A:$A,0)),IF(LQ$1=INDEX('Valo FX'!$R:$R,MATCH($A15,'Valo FX'!$A:$A,0)),INDEX(Base!$V:$V,MATCH($A15,Base!$A:$A,0)),0)))</f>
        <v>0</v>
      </c>
      <c r="LR15" s="21">
        <f>IF(LR$1&lt;INDEX('Valo FX'!$Q:$Q,MATCH($A15,'Valo FX'!$A:$A,0)),0,IF(LR$1&lt;INDEX('Valo FX'!$R:$R,MATCH($A15,'Valo FX'!$A:$A,0)),INDEX(Base!$U:$U,MATCH($A15,Base!$A:$A,0)),IF(LR$1=INDEX('Valo FX'!$R:$R,MATCH($A15,'Valo FX'!$A:$A,0)),INDEX(Base!$V:$V,MATCH($A15,Base!$A:$A,0)),0)))</f>
        <v>0</v>
      </c>
      <c r="LS15" s="21">
        <f>IF(LS$1&lt;INDEX('Valo FX'!$Q:$Q,MATCH($A15,'Valo FX'!$A:$A,0)),0,IF(LS$1&lt;INDEX('Valo FX'!$R:$R,MATCH($A15,'Valo FX'!$A:$A,0)),INDEX(Base!$U:$U,MATCH($A15,Base!$A:$A,0)),IF(LS$1=INDEX('Valo FX'!$R:$R,MATCH($A15,'Valo FX'!$A:$A,0)),INDEX(Base!$V:$V,MATCH($A15,Base!$A:$A,0)),0)))</f>
        <v>0</v>
      </c>
      <c r="LT15" s="21">
        <f>IF(LT$1&lt;INDEX('Valo FX'!$Q:$Q,MATCH($A15,'Valo FX'!$A:$A,0)),0,IF(LT$1&lt;INDEX('Valo FX'!$R:$R,MATCH($A15,'Valo FX'!$A:$A,0)),INDEX(Base!$U:$U,MATCH($A15,Base!$A:$A,0)),IF(LT$1=INDEX('Valo FX'!$R:$R,MATCH($A15,'Valo FX'!$A:$A,0)),INDEX(Base!$V:$V,MATCH($A15,Base!$A:$A,0)),0)))</f>
        <v>0</v>
      </c>
      <c r="LU15" s="21">
        <f>IF(LU$1&lt;INDEX('Valo FX'!$Q:$Q,MATCH($A15,'Valo FX'!$A:$A,0)),0,IF(LU$1&lt;INDEX('Valo FX'!$R:$R,MATCH($A15,'Valo FX'!$A:$A,0)),INDEX(Base!$U:$U,MATCH($A15,Base!$A:$A,0)),IF(LU$1=INDEX('Valo FX'!$R:$R,MATCH($A15,'Valo FX'!$A:$A,0)),INDEX(Base!$V:$V,MATCH($A15,Base!$A:$A,0)),0)))</f>
        <v>0</v>
      </c>
      <c r="LV15" s="21">
        <f>IF(LV$1&lt;INDEX('Valo FX'!$Q:$Q,MATCH($A15,'Valo FX'!$A:$A,0)),0,IF(LV$1&lt;INDEX('Valo FX'!$R:$R,MATCH($A15,'Valo FX'!$A:$A,0)),INDEX(Base!$U:$U,MATCH($A15,Base!$A:$A,0)),IF(LV$1=INDEX('Valo FX'!$R:$R,MATCH($A15,'Valo FX'!$A:$A,0)),INDEX(Base!$V:$V,MATCH($A15,Base!$A:$A,0)),0)))</f>
        <v>0</v>
      </c>
      <c r="LW15" s="21">
        <f>IF(LW$1&lt;INDEX('Valo FX'!$Q:$Q,MATCH($A15,'Valo FX'!$A:$A,0)),0,IF(LW$1&lt;INDEX('Valo FX'!$R:$R,MATCH($A15,'Valo FX'!$A:$A,0)),INDEX(Base!$U:$U,MATCH($A15,Base!$A:$A,0)),IF(LW$1=INDEX('Valo FX'!$R:$R,MATCH($A15,'Valo FX'!$A:$A,0)),INDEX(Base!$V:$V,MATCH($A15,Base!$A:$A,0)),0)))</f>
        <v>0</v>
      </c>
      <c r="LX15" s="21">
        <f>IF(LX$1&lt;INDEX('Valo FX'!$Q:$Q,MATCH($A15,'Valo FX'!$A:$A,0)),0,IF(LX$1&lt;INDEX('Valo FX'!$R:$R,MATCH($A15,'Valo FX'!$A:$A,0)),INDEX(Base!$U:$U,MATCH($A15,Base!$A:$A,0)),IF(LX$1=INDEX('Valo FX'!$R:$R,MATCH($A15,'Valo FX'!$A:$A,0)),INDEX(Base!$V:$V,MATCH($A15,Base!$A:$A,0)),0)))</f>
        <v>0</v>
      </c>
      <c r="LY15" s="21">
        <f>IF(LY$1&lt;INDEX('Valo FX'!$Q:$Q,MATCH($A15,'Valo FX'!$A:$A,0)),0,IF(LY$1&lt;INDEX('Valo FX'!$R:$R,MATCH($A15,'Valo FX'!$A:$A,0)),INDEX(Base!$U:$U,MATCH($A15,Base!$A:$A,0)),IF(LY$1=INDEX('Valo FX'!$R:$R,MATCH($A15,'Valo FX'!$A:$A,0)),INDEX(Base!$V:$V,MATCH($A15,Base!$A:$A,0)),0)))</f>
        <v>0</v>
      </c>
      <c r="LZ15" s="21">
        <f>IF(LZ$1&lt;INDEX('Valo FX'!$Q:$Q,MATCH($A15,'Valo FX'!$A:$A,0)),0,IF(LZ$1&lt;INDEX('Valo FX'!$R:$R,MATCH($A15,'Valo FX'!$A:$A,0)),INDEX(Base!$U:$U,MATCH($A15,Base!$A:$A,0)),IF(LZ$1=INDEX('Valo FX'!$R:$R,MATCH($A15,'Valo FX'!$A:$A,0)),INDEX(Base!$V:$V,MATCH($A15,Base!$A:$A,0)),0)))</f>
        <v>0</v>
      </c>
      <c r="MA15" s="21">
        <f>IF(MA$1&lt;INDEX('Valo FX'!$Q:$Q,MATCH($A15,'Valo FX'!$A:$A,0)),0,IF(MA$1&lt;INDEX('Valo FX'!$R:$R,MATCH($A15,'Valo FX'!$A:$A,0)),INDEX(Base!$U:$U,MATCH($A15,Base!$A:$A,0)),IF(MA$1=INDEX('Valo FX'!$R:$R,MATCH($A15,'Valo FX'!$A:$A,0)),INDEX(Base!$V:$V,MATCH($A15,Base!$A:$A,0)),0)))</f>
        <v>0</v>
      </c>
      <c r="MB15" s="21">
        <f>IF(MB$1&lt;INDEX('Valo FX'!$Q:$Q,MATCH($A15,'Valo FX'!$A:$A,0)),0,IF(MB$1&lt;INDEX('Valo FX'!$R:$R,MATCH($A15,'Valo FX'!$A:$A,0)),INDEX(Base!$U:$U,MATCH($A15,Base!$A:$A,0)),IF(MB$1=INDEX('Valo FX'!$R:$R,MATCH($A15,'Valo FX'!$A:$A,0)),INDEX(Base!$V:$V,MATCH($A15,Base!$A:$A,0)),0)))</f>
        <v>0</v>
      </c>
      <c r="MC15" s="21">
        <f>IF(MC$1&lt;INDEX('Valo FX'!$Q:$Q,MATCH($A15,'Valo FX'!$A:$A,0)),0,IF(MC$1&lt;INDEX('Valo FX'!$R:$R,MATCH($A15,'Valo FX'!$A:$A,0)),INDEX(Base!$U:$U,MATCH($A15,Base!$A:$A,0)),IF(MC$1=INDEX('Valo FX'!$R:$R,MATCH($A15,'Valo FX'!$A:$A,0)),INDEX(Base!$V:$V,MATCH($A15,Base!$A:$A,0)),0)))</f>
        <v>0</v>
      </c>
      <c r="MD15" s="21">
        <f>IF(MD$1&lt;INDEX('Valo FX'!$Q:$Q,MATCH($A15,'Valo FX'!$A:$A,0)),0,IF(MD$1&lt;INDEX('Valo FX'!$R:$R,MATCH($A15,'Valo FX'!$A:$A,0)),INDEX(Base!$U:$U,MATCH($A15,Base!$A:$A,0)),IF(MD$1=INDEX('Valo FX'!$R:$R,MATCH($A15,'Valo FX'!$A:$A,0)),INDEX(Base!$V:$V,MATCH($A15,Base!$A:$A,0)),0)))</f>
        <v>0</v>
      </c>
      <c r="ME15" s="21">
        <f>IF(ME$1&lt;INDEX('Valo FX'!$Q:$Q,MATCH($A15,'Valo FX'!$A:$A,0)),0,IF(ME$1&lt;INDEX('Valo FX'!$R:$R,MATCH($A15,'Valo FX'!$A:$A,0)),INDEX(Base!$U:$U,MATCH($A15,Base!$A:$A,0)),IF(ME$1=INDEX('Valo FX'!$R:$R,MATCH($A15,'Valo FX'!$A:$A,0)),INDEX(Base!$V:$V,MATCH($A15,Base!$A:$A,0)),0)))</f>
        <v>0</v>
      </c>
      <c r="MF15" s="21">
        <f>IF(MF$1&lt;INDEX('Valo FX'!$Q:$Q,MATCH($A15,'Valo FX'!$A:$A,0)),0,IF(MF$1&lt;INDEX('Valo FX'!$R:$R,MATCH($A15,'Valo FX'!$A:$A,0)),INDEX(Base!$U:$U,MATCH($A15,Base!$A:$A,0)),IF(MF$1=INDEX('Valo FX'!$R:$R,MATCH($A15,'Valo FX'!$A:$A,0)),INDEX(Base!$V:$V,MATCH($A15,Base!$A:$A,0)),0)))</f>
        <v>0</v>
      </c>
      <c r="MG15" s="21">
        <f>IF(MG$1&lt;INDEX('Valo FX'!$Q:$Q,MATCH($A15,'Valo FX'!$A:$A,0)),0,IF(MG$1&lt;INDEX('Valo FX'!$R:$R,MATCH($A15,'Valo FX'!$A:$A,0)),INDEX(Base!$U:$U,MATCH($A15,Base!$A:$A,0)),IF(MG$1=INDEX('Valo FX'!$R:$R,MATCH($A15,'Valo FX'!$A:$A,0)),INDEX(Base!$V:$V,MATCH($A15,Base!$A:$A,0)),0)))</f>
        <v>0</v>
      </c>
      <c r="MH15" s="21">
        <f>IF(MH$1&lt;INDEX('Valo FX'!$Q:$Q,MATCH($A15,'Valo FX'!$A:$A,0)),0,IF(MH$1&lt;INDEX('Valo FX'!$R:$R,MATCH($A15,'Valo FX'!$A:$A,0)),INDEX(Base!$U:$U,MATCH($A15,Base!$A:$A,0)),IF(MH$1=INDEX('Valo FX'!$R:$R,MATCH($A15,'Valo FX'!$A:$A,0)),INDEX(Base!$V:$V,MATCH($A15,Base!$A:$A,0)),0)))</f>
        <v>0</v>
      </c>
      <c r="MI15" s="21">
        <f>IF(MI$1&lt;INDEX('Valo FX'!$Q:$Q,MATCH($A15,'Valo FX'!$A:$A,0)),0,IF(MI$1&lt;INDEX('Valo FX'!$R:$R,MATCH($A15,'Valo FX'!$A:$A,0)),INDEX(Base!$U:$U,MATCH($A15,Base!$A:$A,0)),IF(MI$1=INDEX('Valo FX'!$R:$R,MATCH($A15,'Valo FX'!$A:$A,0)),INDEX(Base!$V:$V,MATCH($A15,Base!$A:$A,0)),0)))</f>
        <v>0</v>
      </c>
      <c r="MJ15" s="21">
        <f>IF(MJ$1&lt;INDEX('Valo FX'!$Q:$Q,MATCH($A15,'Valo FX'!$A:$A,0)),0,IF(MJ$1&lt;INDEX('Valo FX'!$R:$R,MATCH($A15,'Valo FX'!$A:$A,0)),INDEX(Base!$U:$U,MATCH($A15,Base!$A:$A,0)),IF(MJ$1=INDEX('Valo FX'!$R:$R,MATCH($A15,'Valo FX'!$A:$A,0)),INDEX(Base!$V:$V,MATCH($A15,Base!$A:$A,0)),0)))</f>
        <v>0</v>
      </c>
      <c r="MK15" s="21">
        <f>IF(MK$1&lt;INDEX('Valo FX'!$Q:$Q,MATCH($A15,'Valo FX'!$A:$A,0)),0,IF(MK$1&lt;INDEX('Valo FX'!$R:$R,MATCH($A15,'Valo FX'!$A:$A,0)),INDEX(Base!$U:$U,MATCH($A15,Base!$A:$A,0)),IF(MK$1=INDEX('Valo FX'!$R:$R,MATCH($A15,'Valo FX'!$A:$A,0)),INDEX(Base!$V:$V,MATCH($A15,Base!$A:$A,0)),0)))</f>
        <v>0</v>
      </c>
      <c r="ML15" s="21">
        <f>IF(ML$1&lt;INDEX('Valo FX'!$Q:$Q,MATCH($A15,'Valo FX'!$A:$A,0)),0,IF(ML$1&lt;INDEX('Valo FX'!$R:$R,MATCH($A15,'Valo FX'!$A:$A,0)),INDEX(Base!$U:$U,MATCH($A15,Base!$A:$A,0)),IF(ML$1=INDEX('Valo FX'!$R:$R,MATCH($A15,'Valo FX'!$A:$A,0)),INDEX(Base!$V:$V,MATCH($A15,Base!$A:$A,0)),0)))</f>
        <v>0</v>
      </c>
      <c r="MM15" s="21">
        <f>IF(MM$1&lt;INDEX('Valo FX'!$Q:$Q,MATCH($A15,'Valo FX'!$A:$A,0)),0,IF(MM$1&lt;INDEX('Valo FX'!$R:$R,MATCH($A15,'Valo FX'!$A:$A,0)),INDEX(Base!$U:$U,MATCH($A15,Base!$A:$A,0)),IF(MM$1=INDEX('Valo FX'!$R:$R,MATCH($A15,'Valo FX'!$A:$A,0)),INDEX(Base!$V:$V,MATCH($A15,Base!$A:$A,0)),0)))</f>
        <v>0</v>
      </c>
      <c r="MN15" s="21">
        <f>IF(MN$1&lt;INDEX('Valo FX'!$Q:$Q,MATCH($A15,'Valo FX'!$A:$A,0)),0,IF(MN$1&lt;INDEX('Valo FX'!$R:$R,MATCH($A15,'Valo FX'!$A:$A,0)),INDEX(Base!$U:$U,MATCH($A15,Base!$A:$A,0)),IF(MN$1=INDEX('Valo FX'!$R:$R,MATCH($A15,'Valo FX'!$A:$A,0)),INDEX(Base!$V:$V,MATCH($A15,Base!$A:$A,0)),0)))</f>
        <v>0</v>
      </c>
      <c r="MO15" s="21">
        <f>IF(MO$1&lt;INDEX('Valo FX'!$Q:$Q,MATCH($A15,'Valo FX'!$A:$A,0)),0,IF(MO$1&lt;INDEX('Valo FX'!$R:$R,MATCH($A15,'Valo FX'!$A:$A,0)),INDEX(Base!$U:$U,MATCH($A15,Base!$A:$A,0)),IF(MO$1=INDEX('Valo FX'!$R:$R,MATCH($A15,'Valo FX'!$A:$A,0)),INDEX(Base!$V:$V,MATCH($A15,Base!$A:$A,0)),0)))</f>
        <v>0</v>
      </c>
      <c r="MP15" s="21">
        <f>IF(MP$1&lt;INDEX('Valo FX'!$Q:$Q,MATCH($A15,'Valo FX'!$A:$A,0)),0,IF(MP$1&lt;INDEX('Valo FX'!$R:$R,MATCH($A15,'Valo FX'!$A:$A,0)),INDEX(Base!$U:$U,MATCH($A15,Base!$A:$A,0)),IF(MP$1=INDEX('Valo FX'!$R:$R,MATCH($A15,'Valo FX'!$A:$A,0)),INDEX(Base!$V:$V,MATCH($A15,Base!$A:$A,0)),0)))</f>
        <v>0</v>
      </c>
      <c r="MQ15" s="21">
        <f>IF(MQ$1&lt;INDEX('Valo FX'!$Q:$Q,MATCH($A15,'Valo FX'!$A:$A,0)),0,IF(MQ$1&lt;INDEX('Valo FX'!$R:$R,MATCH($A15,'Valo FX'!$A:$A,0)),INDEX(Base!$U:$U,MATCH($A15,Base!$A:$A,0)),IF(MQ$1=INDEX('Valo FX'!$R:$R,MATCH($A15,'Valo FX'!$A:$A,0)),INDEX(Base!$V:$V,MATCH($A15,Base!$A:$A,0)),0)))</f>
        <v>0</v>
      </c>
      <c r="MR15" s="21">
        <f>IF(MR$1&lt;INDEX('Valo FX'!$Q:$Q,MATCH($A15,'Valo FX'!$A:$A,0)),0,IF(MR$1&lt;INDEX('Valo FX'!$R:$R,MATCH($A15,'Valo FX'!$A:$A,0)),INDEX(Base!$U:$U,MATCH($A15,Base!$A:$A,0)),IF(MR$1=INDEX('Valo FX'!$R:$R,MATCH($A15,'Valo FX'!$A:$A,0)),INDEX(Base!$V:$V,MATCH($A15,Base!$A:$A,0)),0)))</f>
        <v>0</v>
      </c>
      <c r="MS15" s="21">
        <f>IF(MS$1&lt;INDEX('Valo FX'!$Q:$Q,MATCH($A15,'Valo FX'!$A:$A,0)),0,IF(MS$1&lt;INDEX('Valo FX'!$R:$R,MATCH($A15,'Valo FX'!$A:$A,0)),INDEX(Base!$U:$U,MATCH($A15,Base!$A:$A,0)),IF(MS$1=INDEX('Valo FX'!$R:$R,MATCH($A15,'Valo FX'!$A:$A,0)),INDEX(Base!$V:$V,MATCH($A15,Base!$A:$A,0)),0)))</f>
        <v>0</v>
      </c>
      <c r="MT15" s="21">
        <f>IF(MT$1&lt;INDEX('Valo FX'!$Q:$Q,MATCH($A15,'Valo FX'!$A:$A,0)),0,IF(MT$1&lt;INDEX('Valo FX'!$R:$R,MATCH($A15,'Valo FX'!$A:$A,0)),INDEX(Base!$U:$U,MATCH($A15,Base!$A:$A,0)),IF(MT$1=INDEX('Valo FX'!$R:$R,MATCH($A15,'Valo FX'!$A:$A,0)),INDEX(Base!$V:$V,MATCH($A15,Base!$A:$A,0)),0)))</f>
        <v>0</v>
      </c>
      <c r="MU15" s="21">
        <f>IF(MU$1&lt;INDEX('Valo FX'!$Q:$Q,MATCH($A15,'Valo FX'!$A:$A,0)),0,IF(MU$1&lt;INDEX('Valo FX'!$R:$R,MATCH($A15,'Valo FX'!$A:$A,0)),INDEX(Base!$U:$U,MATCH($A15,Base!$A:$A,0)),IF(MU$1=INDEX('Valo FX'!$R:$R,MATCH($A15,'Valo FX'!$A:$A,0)),INDEX(Base!$V:$V,MATCH($A15,Base!$A:$A,0)),0)))</f>
        <v>0</v>
      </c>
      <c r="MV15" s="21">
        <f>IF(MV$1&lt;INDEX('Valo FX'!$Q:$Q,MATCH($A15,'Valo FX'!$A:$A,0)),0,IF(MV$1&lt;INDEX('Valo FX'!$R:$R,MATCH($A15,'Valo FX'!$A:$A,0)),INDEX(Base!$U:$U,MATCH($A15,Base!$A:$A,0)),IF(MV$1=INDEX('Valo FX'!$R:$R,MATCH($A15,'Valo FX'!$A:$A,0)),INDEX(Base!$V:$V,MATCH($A15,Base!$A:$A,0)),0)))</f>
        <v>0</v>
      </c>
      <c r="MW15" s="21">
        <f>IF(MW$1&lt;INDEX('Valo FX'!$Q:$Q,MATCH($A15,'Valo FX'!$A:$A,0)),0,IF(MW$1&lt;INDEX('Valo FX'!$R:$R,MATCH($A15,'Valo FX'!$A:$A,0)),INDEX(Base!$U:$U,MATCH($A15,Base!$A:$A,0)),IF(MW$1=INDEX('Valo FX'!$R:$R,MATCH($A15,'Valo FX'!$A:$A,0)),INDEX(Base!$V:$V,MATCH($A15,Base!$A:$A,0)),0)))</f>
        <v>0</v>
      </c>
      <c r="MX15" s="21">
        <f>IF(MX$1&lt;INDEX('Valo FX'!$Q:$Q,MATCH($A15,'Valo FX'!$A:$A,0)),0,IF(MX$1&lt;INDEX('Valo FX'!$R:$R,MATCH($A15,'Valo FX'!$A:$A,0)),INDEX(Base!$U:$U,MATCH($A15,Base!$A:$A,0)),IF(MX$1=INDEX('Valo FX'!$R:$R,MATCH($A15,'Valo FX'!$A:$A,0)),INDEX(Base!$V:$V,MATCH($A15,Base!$A:$A,0)),0)))</f>
        <v>0</v>
      </c>
      <c r="MY15" s="21">
        <f>IF(MY$1&lt;INDEX('Valo FX'!$Q:$Q,MATCH($A15,'Valo FX'!$A:$A,0)),0,IF(MY$1&lt;INDEX('Valo FX'!$R:$R,MATCH($A15,'Valo FX'!$A:$A,0)),INDEX(Base!$U:$U,MATCH($A15,Base!$A:$A,0)),IF(MY$1=INDEX('Valo FX'!$R:$R,MATCH($A15,'Valo FX'!$A:$A,0)),INDEX(Base!$V:$V,MATCH($A15,Base!$A:$A,0)),0)))</f>
        <v>0</v>
      </c>
    </row>
    <row r="16" spans="1:363" x14ac:dyDescent="0.2">
      <c r="A16" s="7">
        <f>+'Valo FX'!A17</f>
        <v>14</v>
      </c>
      <c r="B16" s="58">
        <f>-'Valo FX'!T17</f>
        <v>-1710.1546291816587</v>
      </c>
      <c r="C16" s="21">
        <f>IF(C$1&lt;INDEX('Valo FX'!$Q:$Q,MATCH($A16,'Valo FX'!$A:$A,0)),0,IF(C$1&lt;INDEX('Valo FX'!$R:$R,MATCH($A16,'Valo FX'!$A:$A,0)),INDEX(Base!$U:$U,MATCH($A16,Base!$A:$A,0)),IF(C$1=INDEX('Valo FX'!$R:$R,MATCH($A16,'Valo FX'!$A:$A,0)),INDEX(Base!$V:$V,MATCH($A16,Base!$A:$A,0)),0)))</f>
        <v>0</v>
      </c>
      <c r="D16" s="21">
        <f>IF(D$1&lt;INDEX('Valo FX'!$Q:$Q,MATCH($A16,'Valo FX'!$A:$A,0)),0,IF(D$1&lt;INDEX('Valo FX'!$R:$R,MATCH($A16,'Valo FX'!$A:$A,0)),INDEX(Base!$U:$U,MATCH($A16,Base!$A:$A,0)),IF(D$1=INDEX('Valo FX'!$R:$R,MATCH($A16,'Valo FX'!$A:$A,0)),INDEX(Base!$V:$V,MATCH($A16,Base!$A:$A,0)),0)))</f>
        <v>0</v>
      </c>
      <c r="E16" s="21">
        <f>IF(E$1&lt;INDEX('Valo FX'!$Q:$Q,MATCH($A16,'Valo FX'!$A:$A,0)),0,IF(E$1&lt;INDEX('Valo FX'!$R:$R,MATCH($A16,'Valo FX'!$A:$A,0)),INDEX(Base!$U:$U,MATCH($A16,Base!$A:$A,0)),IF(E$1=INDEX('Valo FX'!$R:$R,MATCH($A16,'Valo FX'!$A:$A,0)),INDEX(Base!$V:$V,MATCH($A16,Base!$A:$A,0)),0)))</f>
        <v>0</v>
      </c>
      <c r="F16" s="21">
        <f>IF(F$1&lt;INDEX('Valo FX'!$Q:$Q,MATCH($A16,'Valo FX'!$A:$A,0)),0,IF(F$1&lt;INDEX('Valo FX'!$R:$R,MATCH($A16,'Valo FX'!$A:$A,0)),INDEX(Base!$U:$U,MATCH($A16,Base!$A:$A,0)),IF(F$1=INDEX('Valo FX'!$R:$R,MATCH($A16,'Valo FX'!$A:$A,0)),INDEX(Base!$V:$V,MATCH($A16,Base!$A:$A,0)),0)))</f>
        <v>0</v>
      </c>
      <c r="G16" s="21">
        <f>IF(G$1&lt;INDEX('Valo FX'!$Q:$Q,MATCH($A16,'Valo FX'!$A:$A,0)),0,IF(G$1&lt;INDEX('Valo FX'!$R:$R,MATCH($A16,'Valo FX'!$A:$A,0)),INDEX(Base!$U:$U,MATCH($A16,Base!$A:$A,0)),IF(G$1=INDEX('Valo FX'!$R:$R,MATCH($A16,'Valo FX'!$A:$A,0)),INDEX(Base!$V:$V,MATCH($A16,Base!$A:$A,0)),0)))</f>
        <v>0</v>
      </c>
      <c r="H16" s="21">
        <f>IF(H$1&lt;INDEX('Valo FX'!$Q:$Q,MATCH($A16,'Valo FX'!$A:$A,0)),0,IF(H$1&lt;INDEX('Valo FX'!$R:$R,MATCH($A16,'Valo FX'!$A:$A,0)),INDEX(Base!$U:$U,MATCH($A16,Base!$A:$A,0)),IF(H$1=INDEX('Valo FX'!$R:$R,MATCH($A16,'Valo FX'!$A:$A,0)),INDEX(Base!$V:$V,MATCH($A16,Base!$A:$A,0)),0)))</f>
        <v>0</v>
      </c>
      <c r="I16" s="21">
        <f>IF(I$1&lt;INDEX('Valo FX'!$Q:$Q,MATCH($A16,'Valo FX'!$A:$A,0)),0,IF(I$1&lt;INDEX('Valo FX'!$R:$R,MATCH($A16,'Valo FX'!$A:$A,0)),INDEX(Base!$U:$U,MATCH($A16,Base!$A:$A,0)),IF(I$1=INDEX('Valo FX'!$R:$R,MATCH($A16,'Valo FX'!$A:$A,0)),INDEX(Base!$V:$V,MATCH($A16,Base!$A:$A,0)),0)))</f>
        <v>11.648244999999999</v>
      </c>
      <c r="J16" s="21">
        <f>IF(J$1&lt;INDEX('Valo FX'!$Q:$Q,MATCH($A16,'Valo FX'!$A:$A,0)),0,IF(J$1&lt;INDEX('Valo FX'!$R:$R,MATCH($A16,'Valo FX'!$A:$A,0)),INDEX(Base!$U:$U,MATCH($A16,Base!$A:$A,0)),IF(J$1=INDEX('Valo FX'!$R:$R,MATCH($A16,'Valo FX'!$A:$A,0)),INDEX(Base!$V:$V,MATCH($A16,Base!$A:$A,0)),0)))</f>
        <v>11.648244999999999</v>
      </c>
      <c r="K16" s="21">
        <f>IF(K$1&lt;INDEX('Valo FX'!$Q:$Q,MATCH($A16,'Valo FX'!$A:$A,0)),0,IF(K$1&lt;INDEX('Valo FX'!$R:$R,MATCH($A16,'Valo FX'!$A:$A,0)),INDEX(Base!$U:$U,MATCH($A16,Base!$A:$A,0)),IF(K$1=INDEX('Valo FX'!$R:$R,MATCH($A16,'Valo FX'!$A:$A,0)),INDEX(Base!$V:$V,MATCH($A16,Base!$A:$A,0)),0)))</f>
        <v>11.648244999999999</v>
      </c>
      <c r="L16" s="21">
        <f>IF(L$1&lt;INDEX('Valo FX'!$Q:$Q,MATCH($A16,'Valo FX'!$A:$A,0)),0,IF(L$1&lt;INDEX('Valo FX'!$R:$R,MATCH($A16,'Valo FX'!$A:$A,0)),INDEX(Base!$U:$U,MATCH($A16,Base!$A:$A,0)),IF(L$1=INDEX('Valo FX'!$R:$R,MATCH($A16,'Valo FX'!$A:$A,0)),INDEX(Base!$V:$V,MATCH($A16,Base!$A:$A,0)),0)))</f>
        <v>11.648244999999999</v>
      </c>
      <c r="M16" s="21">
        <f>IF(M$1&lt;INDEX('Valo FX'!$Q:$Q,MATCH($A16,'Valo FX'!$A:$A,0)),0,IF(M$1&lt;INDEX('Valo FX'!$R:$R,MATCH($A16,'Valo FX'!$A:$A,0)),INDEX(Base!$U:$U,MATCH($A16,Base!$A:$A,0)),IF(M$1=INDEX('Valo FX'!$R:$R,MATCH($A16,'Valo FX'!$A:$A,0)),INDEX(Base!$V:$V,MATCH($A16,Base!$A:$A,0)),0)))</f>
        <v>11.648244999999999</v>
      </c>
      <c r="N16" s="21">
        <f>IF(N$1&lt;INDEX('Valo FX'!$Q:$Q,MATCH($A16,'Valo FX'!$A:$A,0)),0,IF(N$1&lt;INDEX('Valo FX'!$R:$R,MATCH($A16,'Valo FX'!$A:$A,0)),INDEX(Base!$U:$U,MATCH($A16,Base!$A:$A,0)),IF(N$1=INDEX('Valo FX'!$R:$R,MATCH($A16,'Valo FX'!$A:$A,0)),INDEX(Base!$V:$V,MATCH($A16,Base!$A:$A,0)),0)))</f>
        <v>11.648244999999999</v>
      </c>
      <c r="O16" s="21">
        <f>IF(O$1&lt;INDEX('Valo FX'!$Q:$Q,MATCH($A16,'Valo FX'!$A:$A,0)),0,IF(O$1&lt;INDEX('Valo FX'!$R:$R,MATCH($A16,'Valo FX'!$A:$A,0)),INDEX(Base!$U:$U,MATCH($A16,Base!$A:$A,0)),IF(O$1=INDEX('Valo FX'!$R:$R,MATCH($A16,'Valo FX'!$A:$A,0)),INDEX(Base!$V:$V,MATCH($A16,Base!$A:$A,0)),0)))</f>
        <v>11.648244999999999</v>
      </c>
      <c r="P16" s="21">
        <f>IF(P$1&lt;INDEX('Valo FX'!$Q:$Q,MATCH($A16,'Valo FX'!$A:$A,0)),0,IF(P$1&lt;INDEX('Valo FX'!$R:$R,MATCH($A16,'Valo FX'!$A:$A,0)),INDEX(Base!$U:$U,MATCH($A16,Base!$A:$A,0)),IF(P$1=INDEX('Valo FX'!$R:$R,MATCH($A16,'Valo FX'!$A:$A,0)),INDEX(Base!$V:$V,MATCH($A16,Base!$A:$A,0)),0)))</f>
        <v>11.648244999999999</v>
      </c>
      <c r="Q16" s="21">
        <f>IF(Q$1&lt;INDEX('Valo FX'!$Q:$Q,MATCH($A16,'Valo FX'!$A:$A,0)),0,IF(Q$1&lt;INDEX('Valo FX'!$R:$R,MATCH($A16,'Valo FX'!$A:$A,0)),INDEX(Base!$U:$U,MATCH($A16,Base!$A:$A,0)),IF(Q$1=INDEX('Valo FX'!$R:$R,MATCH($A16,'Valo FX'!$A:$A,0)),INDEX(Base!$V:$V,MATCH($A16,Base!$A:$A,0)),0)))</f>
        <v>11.648244999999999</v>
      </c>
      <c r="R16" s="21">
        <f>IF(R$1&lt;INDEX('Valo FX'!$Q:$Q,MATCH($A16,'Valo FX'!$A:$A,0)),0,IF(R$1&lt;INDEX('Valo FX'!$R:$R,MATCH($A16,'Valo FX'!$A:$A,0)),INDEX(Base!$U:$U,MATCH($A16,Base!$A:$A,0)),IF(R$1=INDEX('Valo FX'!$R:$R,MATCH($A16,'Valo FX'!$A:$A,0)),INDEX(Base!$V:$V,MATCH($A16,Base!$A:$A,0)),0)))</f>
        <v>11.648244999999999</v>
      </c>
      <c r="S16" s="21">
        <f>IF(S$1&lt;INDEX('Valo FX'!$Q:$Q,MATCH($A16,'Valo FX'!$A:$A,0)),0,IF(S$1&lt;INDEX('Valo FX'!$R:$R,MATCH($A16,'Valo FX'!$A:$A,0)),INDEX(Base!$U:$U,MATCH($A16,Base!$A:$A,0)),IF(S$1=INDEX('Valo FX'!$R:$R,MATCH($A16,'Valo FX'!$A:$A,0)),INDEX(Base!$V:$V,MATCH($A16,Base!$A:$A,0)),0)))</f>
        <v>11.648244999999999</v>
      </c>
      <c r="T16" s="21">
        <f>IF(T$1&lt;INDEX('Valo FX'!$Q:$Q,MATCH($A16,'Valo FX'!$A:$A,0)),0,IF(T$1&lt;INDEX('Valo FX'!$R:$R,MATCH($A16,'Valo FX'!$A:$A,0)),INDEX(Base!$U:$U,MATCH($A16,Base!$A:$A,0)),IF(T$1=INDEX('Valo FX'!$R:$R,MATCH($A16,'Valo FX'!$A:$A,0)),INDEX(Base!$V:$V,MATCH($A16,Base!$A:$A,0)),0)))</f>
        <v>11.648244999999999</v>
      </c>
      <c r="U16" s="21">
        <f>IF(U$1&lt;INDEX('Valo FX'!$Q:$Q,MATCH($A16,'Valo FX'!$A:$A,0)),0,IF(U$1&lt;INDEX('Valo FX'!$R:$R,MATCH($A16,'Valo FX'!$A:$A,0)),INDEX(Base!$U:$U,MATCH($A16,Base!$A:$A,0)),IF(U$1=INDEX('Valo FX'!$R:$R,MATCH($A16,'Valo FX'!$A:$A,0)),INDEX(Base!$V:$V,MATCH($A16,Base!$A:$A,0)),0)))</f>
        <v>11.648244999999999</v>
      </c>
      <c r="V16" s="21">
        <f>IF(V$1&lt;INDEX('Valo FX'!$Q:$Q,MATCH($A16,'Valo FX'!$A:$A,0)),0,IF(V$1&lt;INDEX('Valo FX'!$R:$R,MATCH($A16,'Valo FX'!$A:$A,0)),INDEX(Base!$U:$U,MATCH($A16,Base!$A:$A,0)),IF(V$1=INDEX('Valo FX'!$R:$R,MATCH($A16,'Valo FX'!$A:$A,0)),INDEX(Base!$V:$V,MATCH($A16,Base!$A:$A,0)),0)))</f>
        <v>11.648244999999999</v>
      </c>
      <c r="W16" s="21">
        <f>IF(W$1&lt;INDEX('Valo FX'!$Q:$Q,MATCH($A16,'Valo FX'!$A:$A,0)),0,IF(W$1&lt;INDEX('Valo FX'!$R:$R,MATCH($A16,'Valo FX'!$A:$A,0)),INDEX(Base!$U:$U,MATCH($A16,Base!$A:$A,0)),IF(W$1=INDEX('Valo FX'!$R:$R,MATCH($A16,'Valo FX'!$A:$A,0)),INDEX(Base!$V:$V,MATCH($A16,Base!$A:$A,0)),0)))</f>
        <v>11.648244999999999</v>
      </c>
      <c r="X16" s="21">
        <f>IF(X$1&lt;INDEX('Valo FX'!$Q:$Q,MATCH($A16,'Valo FX'!$A:$A,0)),0,IF(X$1&lt;INDEX('Valo FX'!$R:$R,MATCH($A16,'Valo FX'!$A:$A,0)),INDEX(Base!$U:$U,MATCH($A16,Base!$A:$A,0)),IF(X$1=INDEX('Valo FX'!$R:$R,MATCH($A16,'Valo FX'!$A:$A,0)),INDEX(Base!$V:$V,MATCH($A16,Base!$A:$A,0)),0)))</f>
        <v>11.648244999999999</v>
      </c>
      <c r="Y16" s="21">
        <f>IF(Y$1&lt;INDEX('Valo FX'!$Q:$Q,MATCH($A16,'Valo FX'!$A:$A,0)),0,IF(Y$1&lt;INDEX('Valo FX'!$R:$R,MATCH($A16,'Valo FX'!$A:$A,0)),INDEX(Base!$U:$U,MATCH($A16,Base!$A:$A,0)),IF(Y$1=INDEX('Valo FX'!$R:$R,MATCH($A16,'Valo FX'!$A:$A,0)),INDEX(Base!$V:$V,MATCH($A16,Base!$A:$A,0)),0)))</f>
        <v>11.648244999999999</v>
      </c>
      <c r="Z16" s="21">
        <f>IF(Z$1&lt;INDEX('Valo FX'!$Q:$Q,MATCH($A16,'Valo FX'!$A:$A,0)),0,IF(Z$1&lt;INDEX('Valo FX'!$R:$R,MATCH($A16,'Valo FX'!$A:$A,0)),INDEX(Base!$U:$U,MATCH($A16,Base!$A:$A,0)),IF(Z$1=INDEX('Valo FX'!$R:$R,MATCH($A16,'Valo FX'!$A:$A,0)),INDEX(Base!$V:$V,MATCH($A16,Base!$A:$A,0)),0)))</f>
        <v>11.648244999999999</v>
      </c>
      <c r="AA16" s="21">
        <f>IF(AA$1&lt;INDEX('Valo FX'!$Q:$Q,MATCH($A16,'Valo FX'!$A:$A,0)),0,IF(AA$1&lt;INDEX('Valo FX'!$R:$R,MATCH($A16,'Valo FX'!$A:$A,0)),INDEX(Base!$U:$U,MATCH($A16,Base!$A:$A,0)),IF(AA$1=INDEX('Valo FX'!$R:$R,MATCH($A16,'Valo FX'!$A:$A,0)),INDEX(Base!$V:$V,MATCH($A16,Base!$A:$A,0)),0)))</f>
        <v>11.648244999999999</v>
      </c>
      <c r="AB16" s="21">
        <f>IF(AB$1&lt;INDEX('Valo FX'!$Q:$Q,MATCH($A16,'Valo FX'!$A:$A,0)),0,IF(AB$1&lt;INDEX('Valo FX'!$R:$R,MATCH($A16,'Valo FX'!$A:$A,0)),INDEX(Base!$U:$U,MATCH($A16,Base!$A:$A,0)),IF(AB$1=INDEX('Valo FX'!$R:$R,MATCH($A16,'Valo FX'!$A:$A,0)),INDEX(Base!$V:$V,MATCH($A16,Base!$A:$A,0)),0)))</f>
        <v>11.648244999999999</v>
      </c>
      <c r="AC16" s="21">
        <f>IF(AC$1&lt;INDEX('Valo FX'!$Q:$Q,MATCH($A16,'Valo FX'!$A:$A,0)),0,IF(AC$1&lt;INDEX('Valo FX'!$R:$R,MATCH($A16,'Valo FX'!$A:$A,0)),INDEX(Base!$U:$U,MATCH($A16,Base!$A:$A,0)),IF(AC$1=INDEX('Valo FX'!$R:$R,MATCH($A16,'Valo FX'!$A:$A,0)),INDEX(Base!$V:$V,MATCH($A16,Base!$A:$A,0)),0)))</f>
        <v>11.648244999999999</v>
      </c>
      <c r="AD16" s="21">
        <f>IF(AD$1&lt;INDEX('Valo FX'!$Q:$Q,MATCH($A16,'Valo FX'!$A:$A,0)),0,IF(AD$1&lt;INDEX('Valo FX'!$R:$R,MATCH($A16,'Valo FX'!$A:$A,0)),INDEX(Base!$U:$U,MATCH($A16,Base!$A:$A,0)),IF(AD$1=INDEX('Valo FX'!$R:$R,MATCH($A16,'Valo FX'!$A:$A,0)),INDEX(Base!$V:$V,MATCH($A16,Base!$A:$A,0)),0)))</f>
        <v>11.648244999999999</v>
      </c>
      <c r="AE16" s="21">
        <f>IF(AE$1&lt;INDEX('Valo FX'!$Q:$Q,MATCH($A16,'Valo FX'!$A:$A,0)),0,IF(AE$1&lt;INDEX('Valo FX'!$R:$R,MATCH($A16,'Valo FX'!$A:$A,0)),INDEX(Base!$U:$U,MATCH($A16,Base!$A:$A,0)),IF(AE$1=INDEX('Valo FX'!$R:$R,MATCH($A16,'Valo FX'!$A:$A,0)),INDEX(Base!$V:$V,MATCH($A16,Base!$A:$A,0)),0)))</f>
        <v>11.648244999999999</v>
      </c>
      <c r="AF16" s="21">
        <f>IF(AF$1&lt;INDEX('Valo FX'!$Q:$Q,MATCH($A16,'Valo FX'!$A:$A,0)),0,IF(AF$1&lt;INDEX('Valo FX'!$R:$R,MATCH($A16,'Valo FX'!$A:$A,0)),INDEX(Base!$U:$U,MATCH($A16,Base!$A:$A,0)),IF(AF$1=INDEX('Valo FX'!$R:$R,MATCH($A16,'Valo FX'!$A:$A,0)),INDEX(Base!$V:$V,MATCH($A16,Base!$A:$A,0)),0)))</f>
        <v>11.648244999999999</v>
      </c>
      <c r="AG16" s="21">
        <f>IF(AG$1&lt;INDEX('Valo FX'!$Q:$Q,MATCH($A16,'Valo FX'!$A:$A,0)),0,IF(AG$1&lt;INDEX('Valo FX'!$R:$R,MATCH($A16,'Valo FX'!$A:$A,0)),INDEX(Base!$U:$U,MATCH($A16,Base!$A:$A,0)),IF(AG$1=INDEX('Valo FX'!$R:$R,MATCH($A16,'Valo FX'!$A:$A,0)),INDEX(Base!$V:$V,MATCH($A16,Base!$A:$A,0)),0)))</f>
        <v>11.648244999999999</v>
      </c>
      <c r="AH16" s="21">
        <f>IF(AH$1&lt;INDEX('Valo FX'!$Q:$Q,MATCH($A16,'Valo FX'!$A:$A,0)),0,IF(AH$1&lt;INDEX('Valo FX'!$R:$R,MATCH($A16,'Valo FX'!$A:$A,0)),INDEX(Base!$U:$U,MATCH($A16,Base!$A:$A,0)),IF(AH$1=INDEX('Valo FX'!$R:$R,MATCH($A16,'Valo FX'!$A:$A,0)),INDEX(Base!$V:$V,MATCH($A16,Base!$A:$A,0)),0)))</f>
        <v>11.648244999999999</v>
      </c>
      <c r="AI16" s="21">
        <f>IF(AI$1&lt;INDEX('Valo FX'!$Q:$Q,MATCH($A16,'Valo FX'!$A:$A,0)),0,IF(AI$1&lt;INDEX('Valo FX'!$R:$R,MATCH($A16,'Valo FX'!$A:$A,0)),INDEX(Base!$U:$U,MATCH($A16,Base!$A:$A,0)),IF(AI$1=INDEX('Valo FX'!$R:$R,MATCH($A16,'Valo FX'!$A:$A,0)),INDEX(Base!$V:$V,MATCH($A16,Base!$A:$A,0)),0)))</f>
        <v>11.648244999999999</v>
      </c>
      <c r="AJ16" s="21">
        <f>IF(AJ$1&lt;INDEX('Valo FX'!$Q:$Q,MATCH($A16,'Valo FX'!$A:$A,0)),0,IF(AJ$1&lt;INDEX('Valo FX'!$R:$R,MATCH($A16,'Valo FX'!$A:$A,0)),INDEX(Base!$U:$U,MATCH($A16,Base!$A:$A,0)),IF(AJ$1=INDEX('Valo FX'!$R:$R,MATCH($A16,'Valo FX'!$A:$A,0)),INDEX(Base!$V:$V,MATCH($A16,Base!$A:$A,0)),0)))</f>
        <v>11.648244999999999</v>
      </c>
      <c r="AK16" s="21">
        <f>IF(AK$1&lt;INDEX('Valo FX'!$Q:$Q,MATCH($A16,'Valo FX'!$A:$A,0)),0,IF(AK$1&lt;INDEX('Valo FX'!$R:$R,MATCH($A16,'Valo FX'!$A:$A,0)),INDEX(Base!$U:$U,MATCH($A16,Base!$A:$A,0)),IF(AK$1=INDEX('Valo FX'!$R:$R,MATCH($A16,'Valo FX'!$A:$A,0)),INDEX(Base!$V:$V,MATCH($A16,Base!$A:$A,0)),0)))</f>
        <v>11.648244999999999</v>
      </c>
      <c r="AL16" s="21">
        <f>IF(AL$1&lt;INDEX('Valo FX'!$Q:$Q,MATCH($A16,'Valo FX'!$A:$A,0)),0,IF(AL$1&lt;INDEX('Valo FX'!$R:$R,MATCH($A16,'Valo FX'!$A:$A,0)),INDEX(Base!$U:$U,MATCH($A16,Base!$A:$A,0)),IF(AL$1=INDEX('Valo FX'!$R:$R,MATCH($A16,'Valo FX'!$A:$A,0)),INDEX(Base!$V:$V,MATCH($A16,Base!$A:$A,0)),0)))</f>
        <v>11.648244999999999</v>
      </c>
      <c r="AM16" s="21">
        <f>IF(AM$1&lt;INDEX('Valo FX'!$Q:$Q,MATCH($A16,'Valo FX'!$A:$A,0)),0,IF(AM$1&lt;INDEX('Valo FX'!$R:$R,MATCH($A16,'Valo FX'!$A:$A,0)),INDEX(Base!$U:$U,MATCH($A16,Base!$A:$A,0)),IF(AM$1=INDEX('Valo FX'!$R:$R,MATCH($A16,'Valo FX'!$A:$A,0)),INDEX(Base!$V:$V,MATCH($A16,Base!$A:$A,0)),0)))</f>
        <v>11.648244999999999</v>
      </c>
      <c r="AN16" s="21">
        <f>IF(AN$1&lt;INDEX('Valo FX'!$Q:$Q,MATCH($A16,'Valo FX'!$A:$A,0)),0,IF(AN$1&lt;INDEX('Valo FX'!$R:$R,MATCH($A16,'Valo FX'!$A:$A,0)),INDEX(Base!$U:$U,MATCH($A16,Base!$A:$A,0)),IF(AN$1=INDEX('Valo FX'!$R:$R,MATCH($A16,'Valo FX'!$A:$A,0)),INDEX(Base!$V:$V,MATCH($A16,Base!$A:$A,0)),0)))</f>
        <v>11.648244999999999</v>
      </c>
      <c r="AO16" s="21">
        <f>IF(AO$1&lt;INDEX('Valo FX'!$Q:$Q,MATCH($A16,'Valo FX'!$A:$A,0)),0,IF(AO$1&lt;INDEX('Valo FX'!$R:$R,MATCH($A16,'Valo FX'!$A:$A,0)),INDEX(Base!$U:$U,MATCH($A16,Base!$A:$A,0)),IF(AO$1=INDEX('Valo FX'!$R:$R,MATCH($A16,'Valo FX'!$A:$A,0)),INDEX(Base!$V:$V,MATCH($A16,Base!$A:$A,0)),0)))</f>
        <v>11.648244999999999</v>
      </c>
      <c r="AP16" s="21">
        <f>IF(AP$1&lt;INDEX('Valo FX'!$Q:$Q,MATCH($A16,'Valo FX'!$A:$A,0)),0,IF(AP$1&lt;INDEX('Valo FX'!$R:$R,MATCH($A16,'Valo FX'!$A:$A,0)),INDEX(Base!$U:$U,MATCH($A16,Base!$A:$A,0)),IF(AP$1=INDEX('Valo FX'!$R:$R,MATCH($A16,'Valo FX'!$A:$A,0)),INDEX(Base!$V:$V,MATCH($A16,Base!$A:$A,0)),0)))</f>
        <v>11.648244999999999</v>
      </c>
      <c r="AQ16" s="21">
        <f>IF(AQ$1&lt;INDEX('Valo FX'!$Q:$Q,MATCH($A16,'Valo FX'!$A:$A,0)),0,IF(AQ$1&lt;INDEX('Valo FX'!$R:$R,MATCH($A16,'Valo FX'!$A:$A,0)),INDEX(Base!$U:$U,MATCH($A16,Base!$A:$A,0)),IF(AQ$1=INDEX('Valo FX'!$R:$R,MATCH($A16,'Valo FX'!$A:$A,0)),INDEX(Base!$V:$V,MATCH($A16,Base!$A:$A,0)),0)))</f>
        <v>11.648244999999999</v>
      </c>
      <c r="AR16" s="21">
        <f>IF(AR$1&lt;INDEX('Valo FX'!$Q:$Q,MATCH($A16,'Valo FX'!$A:$A,0)),0,IF(AR$1&lt;INDEX('Valo FX'!$R:$R,MATCH($A16,'Valo FX'!$A:$A,0)),INDEX(Base!$U:$U,MATCH($A16,Base!$A:$A,0)),IF(AR$1=INDEX('Valo FX'!$R:$R,MATCH($A16,'Valo FX'!$A:$A,0)),INDEX(Base!$V:$V,MATCH($A16,Base!$A:$A,0)),0)))</f>
        <v>11.648244999999999</v>
      </c>
      <c r="AS16" s="21">
        <f>IF(AS$1&lt;INDEX('Valo FX'!$Q:$Q,MATCH($A16,'Valo FX'!$A:$A,0)),0,IF(AS$1&lt;INDEX('Valo FX'!$R:$R,MATCH($A16,'Valo FX'!$A:$A,0)),INDEX(Base!$U:$U,MATCH($A16,Base!$A:$A,0)),IF(AS$1=INDEX('Valo FX'!$R:$R,MATCH($A16,'Valo FX'!$A:$A,0)),INDEX(Base!$V:$V,MATCH($A16,Base!$A:$A,0)),0)))</f>
        <v>11.648244999999999</v>
      </c>
      <c r="AT16" s="21">
        <f>IF(AT$1&lt;INDEX('Valo FX'!$Q:$Q,MATCH($A16,'Valo FX'!$A:$A,0)),0,IF(AT$1&lt;INDEX('Valo FX'!$R:$R,MATCH($A16,'Valo FX'!$A:$A,0)),INDEX(Base!$U:$U,MATCH($A16,Base!$A:$A,0)),IF(AT$1=INDEX('Valo FX'!$R:$R,MATCH($A16,'Valo FX'!$A:$A,0)),INDEX(Base!$V:$V,MATCH($A16,Base!$A:$A,0)),0)))</f>
        <v>11.648244999999999</v>
      </c>
      <c r="AU16" s="21">
        <f>IF(AU$1&lt;INDEX('Valo FX'!$Q:$Q,MATCH($A16,'Valo FX'!$A:$A,0)),0,IF(AU$1&lt;INDEX('Valo FX'!$R:$R,MATCH($A16,'Valo FX'!$A:$A,0)),INDEX(Base!$U:$U,MATCH($A16,Base!$A:$A,0)),IF(AU$1=INDEX('Valo FX'!$R:$R,MATCH($A16,'Valo FX'!$A:$A,0)),INDEX(Base!$V:$V,MATCH($A16,Base!$A:$A,0)),0)))</f>
        <v>11.648244999999999</v>
      </c>
      <c r="AV16" s="21">
        <f>IF(AV$1&lt;INDEX('Valo FX'!$Q:$Q,MATCH($A16,'Valo FX'!$A:$A,0)),0,IF(AV$1&lt;INDEX('Valo FX'!$R:$R,MATCH($A16,'Valo FX'!$A:$A,0)),INDEX(Base!$U:$U,MATCH($A16,Base!$A:$A,0)),IF(AV$1=INDEX('Valo FX'!$R:$R,MATCH($A16,'Valo FX'!$A:$A,0)),INDEX(Base!$V:$V,MATCH($A16,Base!$A:$A,0)),0)))</f>
        <v>11.648244999999999</v>
      </c>
      <c r="AW16" s="21">
        <f>IF(AW$1&lt;INDEX('Valo FX'!$Q:$Q,MATCH($A16,'Valo FX'!$A:$A,0)),0,IF(AW$1&lt;INDEX('Valo FX'!$R:$R,MATCH($A16,'Valo FX'!$A:$A,0)),INDEX(Base!$U:$U,MATCH($A16,Base!$A:$A,0)),IF(AW$1=INDEX('Valo FX'!$R:$R,MATCH($A16,'Valo FX'!$A:$A,0)),INDEX(Base!$V:$V,MATCH($A16,Base!$A:$A,0)),0)))</f>
        <v>11.648244999999999</v>
      </c>
      <c r="AX16" s="21">
        <f>IF(AX$1&lt;INDEX('Valo FX'!$Q:$Q,MATCH($A16,'Valo FX'!$A:$A,0)),0,IF(AX$1&lt;INDEX('Valo FX'!$R:$R,MATCH($A16,'Valo FX'!$A:$A,0)),INDEX(Base!$U:$U,MATCH($A16,Base!$A:$A,0)),IF(AX$1=INDEX('Valo FX'!$R:$R,MATCH($A16,'Valo FX'!$A:$A,0)),INDEX(Base!$V:$V,MATCH($A16,Base!$A:$A,0)),0)))</f>
        <v>11.648244999999999</v>
      </c>
      <c r="AY16" s="21">
        <f>IF(AY$1&lt;INDEX('Valo FX'!$Q:$Q,MATCH($A16,'Valo FX'!$A:$A,0)),0,IF(AY$1&lt;INDEX('Valo FX'!$R:$R,MATCH($A16,'Valo FX'!$A:$A,0)),INDEX(Base!$U:$U,MATCH($A16,Base!$A:$A,0)),IF(AY$1=INDEX('Valo FX'!$R:$R,MATCH($A16,'Valo FX'!$A:$A,0)),INDEX(Base!$V:$V,MATCH($A16,Base!$A:$A,0)),0)))</f>
        <v>11.648244999999999</v>
      </c>
      <c r="AZ16" s="21">
        <f>IF(AZ$1&lt;INDEX('Valo FX'!$Q:$Q,MATCH($A16,'Valo FX'!$A:$A,0)),0,IF(AZ$1&lt;INDEX('Valo FX'!$R:$R,MATCH($A16,'Valo FX'!$A:$A,0)),INDEX(Base!$U:$U,MATCH($A16,Base!$A:$A,0)),IF(AZ$1=INDEX('Valo FX'!$R:$R,MATCH($A16,'Valo FX'!$A:$A,0)),INDEX(Base!$V:$V,MATCH($A16,Base!$A:$A,0)),0)))</f>
        <v>11.648244999999999</v>
      </c>
      <c r="BA16" s="21">
        <f>IF(BA$1&lt;INDEX('Valo FX'!$Q:$Q,MATCH($A16,'Valo FX'!$A:$A,0)),0,IF(BA$1&lt;INDEX('Valo FX'!$R:$R,MATCH($A16,'Valo FX'!$A:$A,0)),INDEX(Base!$U:$U,MATCH($A16,Base!$A:$A,0)),IF(BA$1=INDEX('Valo FX'!$R:$R,MATCH($A16,'Valo FX'!$A:$A,0)),INDEX(Base!$V:$V,MATCH($A16,Base!$A:$A,0)),0)))</f>
        <v>11.648244999999999</v>
      </c>
      <c r="BB16" s="21">
        <f>IF(BB$1&lt;INDEX('Valo FX'!$Q:$Q,MATCH($A16,'Valo FX'!$A:$A,0)),0,IF(BB$1&lt;INDEX('Valo FX'!$R:$R,MATCH($A16,'Valo FX'!$A:$A,0)),INDEX(Base!$U:$U,MATCH($A16,Base!$A:$A,0)),IF(BB$1=INDEX('Valo FX'!$R:$R,MATCH($A16,'Valo FX'!$A:$A,0)),INDEX(Base!$V:$V,MATCH($A16,Base!$A:$A,0)),0)))</f>
        <v>11.648244999999999</v>
      </c>
      <c r="BC16" s="21">
        <f>IF(BC$1&lt;INDEX('Valo FX'!$Q:$Q,MATCH($A16,'Valo FX'!$A:$A,0)),0,IF(BC$1&lt;INDEX('Valo FX'!$R:$R,MATCH($A16,'Valo FX'!$A:$A,0)),INDEX(Base!$U:$U,MATCH($A16,Base!$A:$A,0)),IF(BC$1=INDEX('Valo FX'!$R:$R,MATCH($A16,'Valo FX'!$A:$A,0)),INDEX(Base!$V:$V,MATCH($A16,Base!$A:$A,0)),0)))</f>
        <v>11.648244999999999</v>
      </c>
      <c r="BD16" s="21">
        <f>IF(BD$1&lt;INDEX('Valo FX'!$Q:$Q,MATCH($A16,'Valo FX'!$A:$A,0)),0,IF(BD$1&lt;INDEX('Valo FX'!$R:$R,MATCH($A16,'Valo FX'!$A:$A,0)),INDEX(Base!$U:$U,MATCH($A16,Base!$A:$A,0)),IF(BD$1=INDEX('Valo FX'!$R:$R,MATCH($A16,'Valo FX'!$A:$A,0)),INDEX(Base!$V:$V,MATCH($A16,Base!$A:$A,0)),0)))</f>
        <v>11.648244999999999</v>
      </c>
      <c r="BE16" s="21">
        <f>IF(BE$1&lt;INDEX('Valo FX'!$Q:$Q,MATCH($A16,'Valo FX'!$A:$A,0)),0,IF(BE$1&lt;INDEX('Valo FX'!$R:$R,MATCH($A16,'Valo FX'!$A:$A,0)),INDEX(Base!$U:$U,MATCH($A16,Base!$A:$A,0)),IF(BE$1=INDEX('Valo FX'!$R:$R,MATCH($A16,'Valo FX'!$A:$A,0)),INDEX(Base!$V:$V,MATCH($A16,Base!$A:$A,0)),0)))</f>
        <v>11.648244999999999</v>
      </c>
      <c r="BF16" s="21">
        <f>IF(BF$1&lt;INDEX('Valo FX'!$Q:$Q,MATCH($A16,'Valo FX'!$A:$A,0)),0,IF(BF$1&lt;INDEX('Valo FX'!$R:$R,MATCH($A16,'Valo FX'!$A:$A,0)),INDEX(Base!$U:$U,MATCH($A16,Base!$A:$A,0)),IF(BF$1=INDEX('Valo FX'!$R:$R,MATCH($A16,'Valo FX'!$A:$A,0)),INDEX(Base!$V:$V,MATCH($A16,Base!$A:$A,0)),0)))</f>
        <v>11.648244999999999</v>
      </c>
      <c r="BG16" s="21">
        <f>IF(BG$1&lt;INDEX('Valo FX'!$Q:$Q,MATCH($A16,'Valo FX'!$A:$A,0)),0,IF(BG$1&lt;INDEX('Valo FX'!$R:$R,MATCH($A16,'Valo FX'!$A:$A,0)),INDEX(Base!$U:$U,MATCH($A16,Base!$A:$A,0)),IF(BG$1=INDEX('Valo FX'!$R:$R,MATCH($A16,'Valo FX'!$A:$A,0)),INDEX(Base!$V:$V,MATCH($A16,Base!$A:$A,0)),0)))</f>
        <v>11.648244999999999</v>
      </c>
      <c r="BH16" s="21">
        <f>IF(BH$1&lt;INDEX('Valo FX'!$Q:$Q,MATCH($A16,'Valo FX'!$A:$A,0)),0,IF(BH$1&lt;INDEX('Valo FX'!$R:$R,MATCH($A16,'Valo FX'!$A:$A,0)),INDEX(Base!$U:$U,MATCH($A16,Base!$A:$A,0)),IF(BH$1=INDEX('Valo FX'!$R:$R,MATCH($A16,'Valo FX'!$A:$A,0)),INDEX(Base!$V:$V,MATCH($A16,Base!$A:$A,0)),0)))</f>
        <v>11.648244999999999</v>
      </c>
      <c r="BI16" s="21">
        <f>IF(BI$1&lt;INDEX('Valo FX'!$Q:$Q,MATCH($A16,'Valo FX'!$A:$A,0)),0,IF(BI$1&lt;INDEX('Valo FX'!$R:$R,MATCH($A16,'Valo FX'!$A:$A,0)),INDEX(Base!$U:$U,MATCH($A16,Base!$A:$A,0)),IF(BI$1=INDEX('Valo FX'!$R:$R,MATCH($A16,'Valo FX'!$A:$A,0)),INDEX(Base!$V:$V,MATCH($A16,Base!$A:$A,0)),0)))</f>
        <v>11.648244999999999</v>
      </c>
      <c r="BJ16" s="21">
        <f>IF(BJ$1&lt;INDEX('Valo FX'!$Q:$Q,MATCH($A16,'Valo FX'!$A:$A,0)),0,IF(BJ$1&lt;INDEX('Valo FX'!$R:$R,MATCH($A16,'Valo FX'!$A:$A,0)),INDEX(Base!$U:$U,MATCH($A16,Base!$A:$A,0)),IF(BJ$1=INDEX('Valo FX'!$R:$R,MATCH($A16,'Valo FX'!$A:$A,0)),INDEX(Base!$V:$V,MATCH($A16,Base!$A:$A,0)),0)))</f>
        <v>11.648244999999999</v>
      </c>
      <c r="BK16" s="21">
        <f>IF(BK$1&lt;INDEX('Valo FX'!$Q:$Q,MATCH($A16,'Valo FX'!$A:$A,0)),0,IF(BK$1&lt;INDEX('Valo FX'!$R:$R,MATCH($A16,'Valo FX'!$A:$A,0)),INDEX(Base!$U:$U,MATCH($A16,Base!$A:$A,0)),IF(BK$1=INDEX('Valo FX'!$R:$R,MATCH($A16,'Valo FX'!$A:$A,0)),INDEX(Base!$V:$V,MATCH($A16,Base!$A:$A,0)),0)))</f>
        <v>11.648244999999999</v>
      </c>
      <c r="BL16" s="21">
        <f>IF(BL$1&lt;INDEX('Valo FX'!$Q:$Q,MATCH($A16,'Valo FX'!$A:$A,0)),0,IF(BL$1&lt;INDEX('Valo FX'!$R:$R,MATCH($A16,'Valo FX'!$A:$A,0)),INDEX(Base!$U:$U,MATCH($A16,Base!$A:$A,0)),IF(BL$1=INDEX('Valo FX'!$R:$R,MATCH($A16,'Valo FX'!$A:$A,0)),INDEX(Base!$V:$V,MATCH($A16,Base!$A:$A,0)),0)))</f>
        <v>11.648244999999999</v>
      </c>
      <c r="BM16" s="21">
        <f>IF(BM$1&lt;INDEX('Valo FX'!$Q:$Q,MATCH($A16,'Valo FX'!$A:$A,0)),0,IF(BM$1&lt;INDEX('Valo FX'!$R:$R,MATCH($A16,'Valo FX'!$A:$A,0)),INDEX(Base!$U:$U,MATCH($A16,Base!$A:$A,0)),IF(BM$1=INDEX('Valo FX'!$R:$R,MATCH($A16,'Valo FX'!$A:$A,0)),INDEX(Base!$V:$V,MATCH($A16,Base!$A:$A,0)),0)))</f>
        <v>11.648244999999999</v>
      </c>
      <c r="BN16" s="21">
        <f>IF(BN$1&lt;INDEX('Valo FX'!$Q:$Q,MATCH($A16,'Valo FX'!$A:$A,0)),0,IF(BN$1&lt;INDEX('Valo FX'!$R:$R,MATCH($A16,'Valo FX'!$A:$A,0)),INDEX(Base!$U:$U,MATCH($A16,Base!$A:$A,0)),IF(BN$1=INDEX('Valo FX'!$R:$R,MATCH($A16,'Valo FX'!$A:$A,0)),INDEX(Base!$V:$V,MATCH($A16,Base!$A:$A,0)),0)))</f>
        <v>11.648244999999999</v>
      </c>
      <c r="BO16" s="21">
        <f>IF(BO$1&lt;INDEX('Valo FX'!$Q:$Q,MATCH($A16,'Valo FX'!$A:$A,0)),0,IF(BO$1&lt;INDEX('Valo FX'!$R:$R,MATCH($A16,'Valo FX'!$A:$A,0)),INDEX(Base!$U:$U,MATCH($A16,Base!$A:$A,0)),IF(BO$1=INDEX('Valo FX'!$R:$R,MATCH($A16,'Valo FX'!$A:$A,0)),INDEX(Base!$V:$V,MATCH($A16,Base!$A:$A,0)),0)))</f>
        <v>11.648244999999999</v>
      </c>
      <c r="BP16" s="21">
        <f>IF(BP$1&lt;INDEX('Valo FX'!$Q:$Q,MATCH($A16,'Valo FX'!$A:$A,0)),0,IF(BP$1&lt;INDEX('Valo FX'!$R:$R,MATCH($A16,'Valo FX'!$A:$A,0)),INDEX(Base!$U:$U,MATCH($A16,Base!$A:$A,0)),IF(BP$1=INDEX('Valo FX'!$R:$R,MATCH($A16,'Valo FX'!$A:$A,0)),INDEX(Base!$V:$V,MATCH($A16,Base!$A:$A,0)),0)))</f>
        <v>11.648244999999999</v>
      </c>
      <c r="BQ16" s="21">
        <f>IF(BQ$1&lt;INDEX('Valo FX'!$Q:$Q,MATCH($A16,'Valo FX'!$A:$A,0)),0,IF(BQ$1&lt;INDEX('Valo FX'!$R:$R,MATCH($A16,'Valo FX'!$A:$A,0)),INDEX(Base!$U:$U,MATCH($A16,Base!$A:$A,0)),IF(BQ$1=INDEX('Valo FX'!$R:$R,MATCH($A16,'Valo FX'!$A:$A,0)),INDEX(Base!$V:$V,MATCH($A16,Base!$A:$A,0)),0)))</f>
        <v>11.648244999999999</v>
      </c>
      <c r="BR16" s="21">
        <f>IF(BR$1&lt;INDEX('Valo FX'!$Q:$Q,MATCH($A16,'Valo FX'!$A:$A,0)),0,IF(BR$1&lt;INDEX('Valo FX'!$R:$R,MATCH($A16,'Valo FX'!$A:$A,0)),INDEX(Base!$U:$U,MATCH($A16,Base!$A:$A,0)),IF(BR$1=INDEX('Valo FX'!$R:$R,MATCH($A16,'Valo FX'!$A:$A,0)),INDEX(Base!$V:$V,MATCH($A16,Base!$A:$A,0)),0)))</f>
        <v>11.648244999999999</v>
      </c>
      <c r="BS16" s="21">
        <f>IF(BS$1&lt;INDEX('Valo FX'!$Q:$Q,MATCH($A16,'Valo FX'!$A:$A,0)),0,IF(BS$1&lt;INDEX('Valo FX'!$R:$R,MATCH($A16,'Valo FX'!$A:$A,0)),INDEX(Base!$U:$U,MATCH($A16,Base!$A:$A,0)),IF(BS$1=INDEX('Valo FX'!$R:$R,MATCH($A16,'Valo FX'!$A:$A,0)),INDEX(Base!$V:$V,MATCH($A16,Base!$A:$A,0)),0)))</f>
        <v>11.648244999999999</v>
      </c>
      <c r="BT16" s="21">
        <f>IF(BT$1&lt;INDEX('Valo FX'!$Q:$Q,MATCH($A16,'Valo FX'!$A:$A,0)),0,IF(BT$1&lt;INDEX('Valo FX'!$R:$R,MATCH($A16,'Valo FX'!$A:$A,0)),INDEX(Base!$U:$U,MATCH($A16,Base!$A:$A,0)),IF(BT$1=INDEX('Valo FX'!$R:$R,MATCH($A16,'Valo FX'!$A:$A,0)),INDEX(Base!$V:$V,MATCH($A16,Base!$A:$A,0)),0)))</f>
        <v>11.648244999999999</v>
      </c>
      <c r="BU16" s="21">
        <f>IF(BU$1&lt;INDEX('Valo FX'!$Q:$Q,MATCH($A16,'Valo FX'!$A:$A,0)),0,IF(BU$1&lt;INDEX('Valo FX'!$R:$R,MATCH($A16,'Valo FX'!$A:$A,0)),INDEX(Base!$U:$U,MATCH($A16,Base!$A:$A,0)),IF(BU$1=INDEX('Valo FX'!$R:$R,MATCH($A16,'Valo FX'!$A:$A,0)),INDEX(Base!$V:$V,MATCH($A16,Base!$A:$A,0)),0)))</f>
        <v>11.648244999999999</v>
      </c>
      <c r="BV16" s="21">
        <f>IF(BV$1&lt;INDEX('Valo FX'!$Q:$Q,MATCH($A16,'Valo FX'!$A:$A,0)),0,IF(BV$1&lt;INDEX('Valo FX'!$R:$R,MATCH($A16,'Valo FX'!$A:$A,0)),INDEX(Base!$U:$U,MATCH($A16,Base!$A:$A,0)),IF(BV$1=INDEX('Valo FX'!$R:$R,MATCH($A16,'Valo FX'!$A:$A,0)),INDEX(Base!$V:$V,MATCH($A16,Base!$A:$A,0)),0)))</f>
        <v>11.648244999999999</v>
      </c>
      <c r="BW16" s="21">
        <f>IF(BW$1&lt;INDEX('Valo FX'!$Q:$Q,MATCH($A16,'Valo FX'!$A:$A,0)),0,IF(BW$1&lt;INDEX('Valo FX'!$R:$R,MATCH($A16,'Valo FX'!$A:$A,0)),INDEX(Base!$U:$U,MATCH($A16,Base!$A:$A,0)),IF(BW$1=INDEX('Valo FX'!$R:$R,MATCH($A16,'Valo FX'!$A:$A,0)),INDEX(Base!$V:$V,MATCH($A16,Base!$A:$A,0)),0)))</f>
        <v>11.648244999999999</v>
      </c>
      <c r="BX16" s="21">
        <f>IF(BX$1&lt;INDEX('Valo FX'!$Q:$Q,MATCH($A16,'Valo FX'!$A:$A,0)),0,IF(BX$1&lt;INDEX('Valo FX'!$R:$R,MATCH($A16,'Valo FX'!$A:$A,0)),INDEX(Base!$U:$U,MATCH($A16,Base!$A:$A,0)),IF(BX$1=INDEX('Valo FX'!$R:$R,MATCH($A16,'Valo FX'!$A:$A,0)),INDEX(Base!$V:$V,MATCH($A16,Base!$A:$A,0)),0)))</f>
        <v>11.648244999999999</v>
      </c>
      <c r="BY16" s="21">
        <f>IF(BY$1&lt;INDEX('Valo FX'!$Q:$Q,MATCH($A16,'Valo FX'!$A:$A,0)),0,IF(BY$1&lt;INDEX('Valo FX'!$R:$R,MATCH($A16,'Valo FX'!$A:$A,0)),INDEX(Base!$U:$U,MATCH($A16,Base!$A:$A,0)),IF(BY$1=INDEX('Valo FX'!$R:$R,MATCH($A16,'Valo FX'!$A:$A,0)),INDEX(Base!$V:$V,MATCH($A16,Base!$A:$A,0)),0)))</f>
        <v>11.648244999999999</v>
      </c>
      <c r="BZ16" s="21">
        <f>IF(BZ$1&lt;INDEX('Valo FX'!$Q:$Q,MATCH($A16,'Valo FX'!$A:$A,0)),0,IF(BZ$1&lt;INDEX('Valo FX'!$R:$R,MATCH($A16,'Valo FX'!$A:$A,0)),INDEX(Base!$U:$U,MATCH($A16,Base!$A:$A,0)),IF(BZ$1=INDEX('Valo FX'!$R:$R,MATCH($A16,'Valo FX'!$A:$A,0)),INDEX(Base!$V:$V,MATCH($A16,Base!$A:$A,0)),0)))</f>
        <v>11.648244999999999</v>
      </c>
      <c r="CA16" s="21">
        <f>IF(CA$1&lt;INDEX('Valo FX'!$Q:$Q,MATCH($A16,'Valo FX'!$A:$A,0)),0,IF(CA$1&lt;INDEX('Valo FX'!$R:$R,MATCH($A16,'Valo FX'!$A:$A,0)),INDEX(Base!$U:$U,MATCH($A16,Base!$A:$A,0)),IF(CA$1=INDEX('Valo FX'!$R:$R,MATCH($A16,'Valo FX'!$A:$A,0)),INDEX(Base!$V:$V,MATCH($A16,Base!$A:$A,0)),0)))</f>
        <v>11.648244999999999</v>
      </c>
      <c r="CB16" s="21">
        <f>IF(CB$1&lt;INDEX('Valo FX'!$Q:$Q,MATCH($A16,'Valo FX'!$A:$A,0)),0,IF(CB$1&lt;INDEX('Valo FX'!$R:$R,MATCH($A16,'Valo FX'!$A:$A,0)),INDEX(Base!$U:$U,MATCH($A16,Base!$A:$A,0)),IF(CB$1=INDEX('Valo FX'!$R:$R,MATCH($A16,'Valo FX'!$A:$A,0)),INDEX(Base!$V:$V,MATCH($A16,Base!$A:$A,0)),0)))</f>
        <v>11.648244999999999</v>
      </c>
      <c r="CC16" s="21">
        <f>IF(CC$1&lt;INDEX('Valo FX'!$Q:$Q,MATCH($A16,'Valo FX'!$A:$A,0)),0,IF(CC$1&lt;INDEX('Valo FX'!$R:$R,MATCH($A16,'Valo FX'!$A:$A,0)),INDEX(Base!$U:$U,MATCH($A16,Base!$A:$A,0)),IF(CC$1=INDEX('Valo FX'!$R:$R,MATCH($A16,'Valo FX'!$A:$A,0)),INDEX(Base!$V:$V,MATCH($A16,Base!$A:$A,0)),0)))</f>
        <v>11.648244999999999</v>
      </c>
      <c r="CD16" s="21">
        <f>IF(CD$1&lt;INDEX('Valo FX'!$Q:$Q,MATCH($A16,'Valo FX'!$A:$A,0)),0,IF(CD$1&lt;INDEX('Valo FX'!$R:$R,MATCH($A16,'Valo FX'!$A:$A,0)),INDEX(Base!$U:$U,MATCH($A16,Base!$A:$A,0)),IF(CD$1=INDEX('Valo FX'!$R:$R,MATCH($A16,'Valo FX'!$A:$A,0)),INDEX(Base!$V:$V,MATCH($A16,Base!$A:$A,0)),0)))</f>
        <v>11.648244999999999</v>
      </c>
      <c r="CE16" s="21">
        <f>IF(CE$1&lt;INDEX('Valo FX'!$Q:$Q,MATCH($A16,'Valo FX'!$A:$A,0)),0,IF(CE$1&lt;INDEX('Valo FX'!$R:$R,MATCH($A16,'Valo FX'!$A:$A,0)),INDEX(Base!$U:$U,MATCH($A16,Base!$A:$A,0)),IF(CE$1=INDEX('Valo FX'!$R:$R,MATCH($A16,'Valo FX'!$A:$A,0)),INDEX(Base!$V:$V,MATCH($A16,Base!$A:$A,0)),0)))</f>
        <v>11.648244999999999</v>
      </c>
      <c r="CF16" s="21">
        <f>IF(CF$1&lt;INDEX('Valo FX'!$Q:$Q,MATCH($A16,'Valo FX'!$A:$A,0)),0,IF(CF$1&lt;INDEX('Valo FX'!$R:$R,MATCH($A16,'Valo FX'!$A:$A,0)),INDEX(Base!$U:$U,MATCH($A16,Base!$A:$A,0)),IF(CF$1=INDEX('Valo FX'!$R:$R,MATCH($A16,'Valo FX'!$A:$A,0)),INDEX(Base!$V:$V,MATCH($A16,Base!$A:$A,0)),0)))</f>
        <v>11.648244999999999</v>
      </c>
      <c r="CG16" s="21">
        <f>IF(CG$1&lt;INDEX('Valo FX'!$Q:$Q,MATCH($A16,'Valo FX'!$A:$A,0)),0,IF(CG$1&lt;INDEX('Valo FX'!$R:$R,MATCH($A16,'Valo FX'!$A:$A,0)),INDEX(Base!$U:$U,MATCH($A16,Base!$A:$A,0)),IF(CG$1=INDEX('Valo FX'!$R:$R,MATCH($A16,'Valo FX'!$A:$A,0)),INDEX(Base!$V:$V,MATCH($A16,Base!$A:$A,0)),0)))</f>
        <v>11.648244999999999</v>
      </c>
      <c r="CH16" s="21">
        <f>IF(CH$1&lt;INDEX('Valo FX'!$Q:$Q,MATCH($A16,'Valo FX'!$A:$A,0)),0,IF(CH$1&lt;INDEX('Valo FX'!$R:$R,MATCH($A16,'Valo FX'!$A:$A,0)),INDEX(Base!$U:$U,MATCH($A16,Base!$A:$A,0)),IF(CH$1=INDEX('Valo FX'!$R:$R,MATCH($A16,'Valo FX'!$A:$A,0)),INDEX(Base!$V:$V,MATCH($A16,Base!$A:$A,0)),0)))</f>
        <v>11.648244999999999</v>
      </c>
      <c r="CI16" s="21">
        <f>IF(CI$1&lt;INDEX('Valo FX'!$Q:$Q,MATCH($A16,'Valo FX'!$A:$A,0)),0,IF(CI$1&lt;INDEX('Valo FX'!$R:$R,MATCH($A16,'Valo FX'!$A:$A,0)),INDEX(Base!$U:$U,MATCH($A16,Base!$A:$A,0)),IF(CI$1=INDEX('Valo FX'!$R:$R,MATCH($A16,'Valo FX'!$A:$A,0)),INDEX(Base!$V:$V,MATCH($A16,Base!$A:$A,0)),0)))</f>
        <v>11.648244999999999</v>
      </c>
      <c r="CJ16" s="21">
        <f>IF(CJ$1&lt;INDEX('Valo FX'!$Q:$Q,MATCH($A16,'Valo FX'!$A:$A,0)),0,IF(CJ$1&lt;INDEX('Valo FX'!$R:$R,MATCH($A16,'Valo FX'!$A:$A,0)),INDEX(Base!$U:$U,MATCH($A16,Base!$A:$A,0)),IF(CJ$1=INDEX('Valo FX'!$R:$R,MATCH($A16,'Valo FX'!$A:$A,0)),INDEX(Base!$V:$V,MATCH($A16,Base!$A:$A,0)),0)))</f>
        <v>11.648244999999999</v>
      </c>
      <c r="CK16" s="21">
        <f>IF(CK$1&lt;INDEX('Valo FX'!$Q:$Q,MATCH($A16,'Valo FX'!$A:$A,0)),0,IF(CK$1&lt;INDEX('Valo FX'!$R:$R,MATCH($A16,'Valo FX'!$A:$A,0)),INDEX(Base!$U:$U,MATCH($A16,Base!$A:$A,0)),IF(CK$1=INDEX('Valo FX'!$R:$R,MATCH($A16,'Valo FX'!$A:$A,0)),INDEX(Base!$V:$V,MATCH($A16,Base!$A:$A,0)),0)))</f>
        <v>11.648244999999999</v>
      </c>
      <c r="CL16" s="21">
        <f>IF(CL$1&lt;INDEX('Valo FX'!$Q:$Q,MATCH($A16,'Valo FX'!$A:$A,0)),0,IF(CL$1&lt;INDEX('Valo FX'!$R:$R,MATCH($A16,'Valo FX'!$A:$A,0)),INDEX(Base!$U:$U,MATCH($A16,Base!$A:$A,0)),IF(CL$1=INDEX('Valo FX'!$R:$R,MATCH($A16,'Valo FX'!$A:$A,0)),INDEX(Base!$V:$V,MATCH($A16,Base!$A:$A,0)),0)))</f>
        <v>11.648244999999999</v>
      </c>
      <c r="CM16" s="21">
        <f>IF(CM$1&lt;INDEX('Valo FX'!$Q:$Q,MATCH($A16,'Valo FX'!$A:$A,0)),0,IF(CM$1&lt;INDEX('Valo FX'!$R:$R,MATCH($A16,'Valo FX'!$A:$A,0)),INDEX(Base!$U:$U,MATCH($A16,Base!$A:$A,0)),IF(CM$1=INDEX('Valo FX'!$R:$R,MATCH($A16,'Valo FX'!$A:$A,0)),INDEX(Base!$V:$V,MATCH($A16,Base!$A:$A,0)),0)))</f>
        <v>11.648244999999999</v>
      </c>
      <c r="CN16" s="21">
        <f>IF(CN$1&lt;INDEX('Valo FX'!$Q:$Q,MATCH($A16,'Valo FX'!$A:$A,0)),0,IF(CN$1&lt;INDEX('Valo FX'!$R:$R,MATCH($A16,'Valo FX'!$A:$A,0)),INDEX(Base!$U:$U,MATCH($A16,Base!$A:$A,0)),IF(CN$1=INDEX('Valo FX'!$R:$R,MATCH($A16,'Valo FX'!$A:$A,0)),INDEX(Base!$V:$V,MATCH($A16,Base!$A:$A,0)),0)))</f>
        <v>11.648244999999999</v>
      </c>
      <c r="CO16" s="21">
        <f>IF(CO$1&lt;INDEX('Valo FX'!$Q:$Q,MATCH($A16,'Valo FX'!$A:$A,0)),0,IF(CO$1&lt;INDEX('Valo FX'!$R:$R,MATCH($A16,'Valo FX'!$A:$A,0)),INDEX(Base!$U:$U,MATCH($A16,Base!$A:$A,0)),IF(CO$1=INDEX('Valo FX'!$R:$R,MATCH($A16,'Valo FX'!$A:$A,0)),INDEX(Base!$V:$V,MATCH($A16,Base!$A:$A,0)),0)))</f>
        <v>11.648244999999999</v>
      </c>
      <c r="CP16" s="21">
        <f>IF(CP$1&lt;INDEX('Valo FX'!$Q:$Q,MATCH($A16,'Valo FX'!$A:$A,0)),0,IF(CP$1&lt;INDEX('Valo FX'!$R:$R,MATCH($A16,'Valo FX'!$A:$A,0)),INDEX(Base!$U:$U,MATCH($A16,Base!$A:$A,0)),IF(CP$1=INDEX('Valo FX'!$R:$R,MATCH($A16,'Valo FX'!$A:$A,0)),INDEX(Base!$V:$V,MATCH($A16,Base!$A:$A,0)),0)))</f>
        <v>11.648244999999999</v>
      </c>
      <c r="CQ16" s="21">
        <f>IF(CQ$1&lt;INDEX('Valo FX'!$Q:$Q,MATCH($A16,'Valo FX'!$A:$A,0)),0,IF(CQ$1&lt;INDEX('Valo FX'!$R:$R,MATCH($A16,'Valo FX'!$A:$A,0)),INDEX(Base!$U:$U,MATCH($A16,Base!$A:$A,0)),IF(CQ$1=INDEX('Valo FX'!$R:$R,MATCH($A16,'Valo FX'!$A:$A,0)),INDEX(Base!$V:$V,MATCH($A16,Base!$A:$A,0)),0)))</f>
        <v>11.648244999999999</v>
      </c>
      <c r="CR16" s="21">
        <f>IF(CR$1&lt;INDEX('Valo FX'!$Q:$Q,MATCH($A16,'Valo FX'!$A:$A,0)),0,IF(CR$1&lt;INDEX('Valo FX'!$R:$R,MATCH($A16,'Valo FX'!$A:$A,0)),INDEX(Base!$U:$U,MATCH($A16,Base!$A:$A,0)),IF(CR$1=INDEX('Valo FX'!$R:$R,MATCH($A16,'Valo FX'!$A:$A,0)),INDEX(Base!$V:$V,MATCH($A16,Base!$A:$A,0)),0)))</f>
        <v>11.648244999999999</v>
      </c>
      <c r="CS16" s="21">
        <f>IF(CS$1&lt;INDEX('Valo FX'!$Q:$Q,MATCH($A16,'Valo FX'!$A:$A,0)),0,IF(CS$1&lt;INDEX('Valo FX'!$R:$R,MATCH($A16,'Valo FX'!$A:$A,0)),INDEX(Base!$U:$U,MATCH($A16,Base!$A:$A,0)),IF(CS$1=INDEX('Valo FX'!$R:$R,MATCH($A16,'Valo FX'!$A:$A,0)),INDEX(Base!$V:$V,MATCH($A16,Base!$A:$A,0)),0)))</f>
        <v>11.648244999999999</v>
      </c>
      <c r="CT16" s="21">
        <f>IF(CT$1&lt;INDEX('Valo FX'!$Q:$Q,MATCH($A16,'Valo FX'!$A:$A,0)),0,IF(CT$1&lt;INDEX('Valo FX'!$R:$R,MATCH($A16,'Valo FX'!$A:$A,0)),INDEX(Base!$U:$U,MATCH($A16,Base!$A:$A,0)),IF(CT$1=INDEX('Valo FX'!$R:$R,MATCH($A16,'Valo FX'!$A:$A,0)),INDEX(Base!$V:$V,MATCH($A16,Base!$A:$A,0)),0)))</f>
        <v>11.648244999999999</v>
      </c>
      <c r="CU16" s="21">
        <f>IF(CU$1&lt;INDEX('Valo FX'!$Q:$Q,MATCH($A16,'Valo FX'!$A:$A,0)),0,IF(CU$1&lt;INDEX('Valo FX'!$R:$R,MATCH($A16,'Valo FX'!$A:$A,0)),INDEX(Base!$U:$U,MATCH($A16,Base!$A:$A,0)),IF(CU$1=INDEX('Valo FX'!$R:$R,MATCH($A16,'Valo FX'!$A:$A,0)),INDEX(Base!$V:$V,MATCH($A16,Base!$A:$A,0)),0)))</f>
        <v>11.648244999999999</v>
      </c>
      <c r="CV16" s="21">
        <f>IF(CV$1&lt;INDEX('Valo FX'!$Q:$Q,MATCH($A16,'Valo FX'!$A:$A,0)),0,IF(CV$1&lt;INDEX('Valo FX'!$R:$R,MATCH($A16,'Valo FX'!$A:$A,0)),INDEX(Base!$U:$U,MATCH($A16,Base!$A:$A,0)),IF(CV$1=INDEX('Valo FX'!$R:$R,MATCH($A16,'Valo FX'!$A:$A,0)),INDEX(Base!$V:$V,MATCH($A16,Base!$A:$A,0)),0)))</f>
        <v>11.648244999999999</v>
      </c>
      <c r="CW16" s="21">
        <f>IF(CW$1&lt;INDEX('Valo FX'!$Q:$Q,MATCH($A16,'Valo FX'!$A:$A,0)),0,IF(CW$1&lt;INDEX('Valo FX'!$R:$R,MATCH($A16,'Valo FX'!$A:$A,0)),INDEX(Base!$U:$U,MATCH($A16,Base!$A:$A,0)),IF(CW$1=INDEX('Valo FX'!$R:$R,MATCH($A16,'Valo FX'!$A:$A,0)),INDEX(Base!$V:$V,MATCH($A16,Base!$A:$A,0)),0)))</f>
        <v>11.648244999999999</v>
      </c>
      <c r="CX16" s="21">
        <f>IF(CX$1&lt;INDEX('Valo FX'!$Q:$Q,MATCH($A16,'Valo FX'!$A:$A,0)),0,IF(CX$1&lt;INDEX('Valo FX'!$R:$R,MATCH($A16,'Valo FX'!$A:$A,0)),INDEX(Base!$U:$U,MATCH($A16,Base!$A:$A,0)),IF(CX$1=INDEX('Valo FX'!$R:$R,MATCH($A16,'Valo FX'!$A:$A,0)),INDEX(Base!$V:$V,MATCH($A16,Base!$A:$A,0)),0)))</f>
        <v>11.648244999999999</v>
      </c>
      <c r="CY16" s="21">
        <f>IF(CY$1&lt;INDEX('Valo FX'!$Q:$Q,MATCH($A16,'Valo FX'!$A:$A,0)),0,IF(CY$1&lt;INDEX('Valo FX'!$R:$R,MATCH($A16,'Valo FX'!$A:$A,0)),INDEX(Base!$U:$U,MATCH($A16,Base!$A:$A,0)),IF(CY$1=INDEX('Valo FX'!$R:$R,MATCH($A16,'Valo FX'!$A:$A,0)),INDEX(Base!$V:$V,MATCH($A16,Base!$A:$A,0)),0)))</f>
        <v>11.648244999999999</v>
      </c>
      <c r="CZ16" s="21">
        <f>IF(CZ$1&lt;INDEX('Valo FX'!$Q:$Q,MATCH($A16,'Valo FX'!$A:$A,0)),0,IF(CZ$1&lt;INDEX('Valo FX'!$R:$R,MATCH($A16,'Valo FX'!$A:$A,0)),INDEX(Base!$U:$U,MATCH($A16,Base!$A:$A,0)),IF(CZ$1=INDEX('Valo FX'!$R:$R,MATCH($A16,'Valo FX'!$A:$A,0)),INDEX(Base!$V:$V,MATCH($A16,Base!$A:$A,0)),0)))</f>
        <v>11.648244999999999</v>
      </c>
      <c r="DA16" s="21">
        <f>IF(DA$1&lt;INDEX('Valo FX'!$Q:$Q,MATCH($A16,'Valo FX'!$A:$A,0)),0,IF(DA$1&lt;INDEX('Valo FX'!$R:$R,MATCH($A16,'Valo FX'!$A:$A,0)),INDEX(Base!$U:$U,MATCH($A16,Base!$A:$A,0)),IF(DA$1=INDEX('Valo FX'!$R:$R,MATCH($A16,'Valo FX'!$A:$A,0)),INDEX(Base!$V:$V,MATCH($A16,Base!$A:$A,0)),0)))</f>
        <v>11.648244999999999</v>
      </c>
      <c r="DB16" s="21">
        <f>IF(DB$1&lt;INDEX('Valo FX'!$Q:$Q,MATCH($A16,'Valo FX'!$A:$A,0)),0,IF(DB$1&lt;INDEX('Valo FX'!$R:$R,MATCH($A16,'Valo FX'!$A:$A,0)),INDEX(Base!$U:$U,MATCH($A16,Base!$A:$A,0)),IF(DB$1=INDEX('Valo FX'!$R:$R,MATCH($A16,'Valo FX'!$A:$A,0)),INDEX(Base!$V:$V,MATCH($A16,Base!$A:$A,0)),0)))</f>
        <v>11.648244999999999</v>
      </c>
      <c r="DC16" s="21">
        <f>IF(DC$1&lt;INDEX('Valo FX'!$Q:$Q,MATCH($A16,'Valo FX'!$A:$A,0)),0,IF(DC$1&lt;INDEX('Valo FX'!$R:$R,MATCH($A16,'Valo FX'!$A:$A,0)),INDEX(Base!$U:$U,MATCH($A16,Base!$A:$A,0)),IF(DC$1=INDEX('Valo FX'!$R:$R,MATCH($A16,'Valo FX'!$A:$A,0)),INDEX(Base!$V:$V,MATCH($A16,Base!$A:$A,0)),0)))</f>
        <v>11.648244999999999</v>
      </c>
      <c r="DD16" s="21">
        <f>IF(DD$1&lt;INDEX('Valo FX'!$Q:$Q,MATCH($A16,'Valo FX'!$A:$A,0)),0,IF(DD$1&lt;INDEX('Valo FX'!$R:$R,MATCH($A16,'Valo FX'!$A:$A,0)),INDEX(Base!$U:$U,MATCH($A16,Base!$A:$A,0)),IF(DD$1=INDEX('Valo FX'!$R:$R,MATCH($A16,'Valo FX'!$A:$A,0)),INDEX(Base!$V:$V,MATCH($A16,Base!$A:$A,0)),0)))</f>
        <v>11.648244999999999</v>
      </c>
      <c r="DE16" s="21">
        <f>IF(DE$1&lt;INDEX('Valo FX'!$Q:$Q,MATCH($A16,'Valo FX'!$A:$A,0)),0,IF(DE$1&lt;INDEX('Valo FX'!$R:$R,MATCH($A16,'Valo FX'!$A:$A,0)),INDEX(Base!$U:$U,MATCH($A16,Base!$A:$A,0)),IF(DE$1=INDEX('Valo FX'!$R:$R,MATCH($A16,'Valo FX'!$A:$A,0)),INDEX(Base!$V:$V,MATCH($A16,Base!$A:$A,0)),0)))</f>
        <v>11.648244999999999</v>
      </c>
      <c r="DF16" s="21">
        <f>IF(DF$1&lt;INDEX('Valo FX'!$Q:$Q,MATCH($A16,'Valo FX'!$A:$A,0)),0,IF(DF$1&lt;INDEX('Valo FX'!$R:$R,MATCH($A16,'Valo FX'!$A:$A,0)),INDEX(Base!$U:$U,MATCH($A16,Base!$A:$A,0)),IF(DF$1=INDEX('Valo FX'!$R:$R,MATCH($A16,'Valo FX'!$A:$A,0)),INDEX(Base!$V:$V,MATCH($A16,Base!$A:$A,0)),0)))</f>
        <v>11.648244999999999</v>
      </c>
      <c r="DG16" s="21">
        <f>IF(DG$1&lt;INDEX('Valo FX'!$Q:$Q,MATCH($A16,'Valo FX'!$A:$A,0)),0,IF(DG$1&lt;INDEX('Valo FX'!$R:$R,MATCH($A16,'Valo FX'!$A:$A,0)),INDEX(Base!$U:$U,MATCH($A16,Base!$A:$A,0)),IF(DG$1=INDEX('Valo FX'!$R:$R,MATCH($A16,'Valo FX'!$A:$A,0)),INDEX(Base!$V:$V,MATCH($A16,Base!$A:$A,0)),0)))</f>
        <v>11.648244999999999</v>
      </c>
      <c r="DH16" s="21">
        <f>IF(DH$1&lt;INDEX('Valo FX'!$Q:$Q,MATCH($A16,'Valo FX'!$A:$A,0)),0,IF(DH$1&lt;INDEX('Valo FX'!$R:$R,MATCH($A16,'Valo FX'!$A:$A,0)),INDEX(Base!$U:$U,MATCH($A16,Base!$A:$A,0)),IF(DH$1=INDEX('Valo FX'!$R:$R,MATCH($A16,'Valo FX'!$A:$A,0)),INDEX(Base!$V:$V,MATCH($A16,Base!$A:$A,0)),0)))</f>
        <v>11.648244999999999</v>
      </c>
      <c r="DI16" s="21">
        <f>IF(DI$1&lt;INDEX('Valo FX'!$Q:$Q,MATCH($A16,'Valo FX'!$A:$A,0)),0,IF(DI$1&lt;INDEX('Valo FX'!$R:$R,MATCH($A16,'Valo FX'!$A:$A,0)),INDEX(Base!$U:$U,MATCH($A16,Base!$A:$A,0)),IF(DI$1=INDEX('Valo FX'!$R:$R,MATCH($A16,'Valo FX'!$A:$A,0)),INDEX(Base!$V:$V,MATCH($A16,Base!$A:$A,0)),0)))</f>
        <v>11.648244999999999</v>
      </c>
      <c r="DJ16" s="21">
        <f>IF(DJ$1&lt;INDEX('Valo FX'!$Q:$Q,MATCH($A16,'Valo FX'!$A:$A,0)),0,IF(DJ$1&lt;INDEX('Valo FX'!$R:$R,MATCH($A16,'Valo FX'!$A:$A,0)),INDEX(Base!$U:$U,MATCH($A16,Base!$A:$A,0)),IF(DJ$1=INDEX('Valo FX'!$R:$R,MATCH($A16,'Valo FX'!$A:$A,0)),INDEX(Base!$V:$V,MATCH($A16,Base!$A:$A,0)),0)))</f>
        <v>11.648244999999999</v>
      </c>
      <c r="DK16" s="21">
        <f>IF(DK$1&lt;INDEX('Valo FX'!$Q:$Q,MATCH($A16,'Valo FX'!$A:$A,0)),0,IF(DK$1&lt;INDEX('Valo FX'!$R:$R,MATCH($A16,'Valo FX'!$A:$A,0)),INDEX(Base!$U:$U,MATCH($A16,Base!$A:$A,0)),IF(DK$1=INDEX('Valo FX'!$R:$R,MATCH($A16,'Valo FX'!$A:$A,0)),INDEX(Base!$V:$V,MATCH($A16,Base!$A:$A,0)),0)))</f>
        <v>11.648244999999999</v>
      </c>
      <c r="DL16" s="21">
        <f>IF(DL$1&lt;INDEX('Valo FX'!$Q:$Q,MATCH($A16,'Valo FX'!$A:$A,0)),0,IF(DL$1&lt;INDEX('Valo FX'!$R:$R,MATCH($A16,'Valo FX'!$A:$A,0)),INDEX(Base!$U:$U,MATCH($A16,Base!$A:$A,0)),IF(DL$1=INDEX('Valo FX'!$R:$R,MATCH($A16,'Valo FX'!$A:$A,0)),INDEX(Base!$V:$V,MATCH($A16,Base!$A:$A,0)),0)))</f>
        <v>11.648244999999999</v>
      </c>
      <c r="DM16" s="21">
        <f>IF(DM$1&lt;INDEX('Valo FX'!$Q:$Q,MATCH($A16,'Valo FX'!$A:$A,0)),0,IF(DM$1&lt;INDEX('Valo FX'!$R:$R,MATCH($A16,'Valo FX'!$A:$A,0)),INDEX(Base!$U:$U,MATCH($A16,Base!$A:$A,0)),IF(DM$1=INDEX('Valo FX'!$R:$R,MATCH($A16,'Valo FX'!$A:$A,0)),INDEX(Base!$V:$V,MATCH($A16,Base!$A:$A,0)),0)))</f>
        <v>11.648244999999999</v>
      </c>
      <c r="DN16" s="21">
        <f>IF(DN$1&lt;INDEX('Valo FX'!$Q:$Q,MATCH($A16,'Valo FX'!$A:$A,0)),0,IF(DN$1&lt;INDEX('Valo FX'!$R:$R,MATCH($A16,'Valo FX'!$A:$A,0)),INDEX(Base!$U:$U,MATCH($A16,Base!$A:$A,0)),IF(DN$1=INDEX('Valo FX'!$R:$R,MATCH($A16,'Valo FX'!$A:$A,0)),INDEX(Base!$V:$V,MATCH($A16,Base!$A:$A,0)),0)))</f>
        <v>11.648244999999999</v>
      </c>
      <c r="DO16" s="21">
        <f>IF(DO$1&lt;INDEX('Valo FX'!$Q:$Q,MATCH($A16,'Valo FX'!$A:$A,0)),0,IF(DO$1&lt;INDEX('Valo FX'!$R:$R,MATCH($A16,'Valo FX'!$A:$A,0)),INDEX(Base!$U:$U,MATCH($A16,Base!$A:$A,0)),IF(DO$1=INDEX('Valo FX'!$R:$R,MATCH($A16,'Valo FX'!$A:$A,0)),INDEX(Base!$V:$V,MATCH($A16,Base!$A:$A,0)),0)))</f>
        <v>11.648244999999999</v>
      </c>
      <c r="DP16" s="21">
        <f>IF(DP$1&lt;INDEX('Valo FX'!$Q:$Q,MATCH($A16,'Valo FX'!$A:$A,0)),0,IF(DP$1&lt;INDEX('Valo FX'!$R:$R,MATCH($A16,'Valo FX'!$A:$A,0)),INDEX(Base!$U:$U,MATCH($A16,Base!$A:$A,0)),IF(DP$1=INDEX('Valo FX'!$R:$R,MATCH($A16,'Valo FX'!$A:$A,0)),INDEX(Base!$V:$V,MATCH($A16,Base!$A:$A,0)),0)))</f>
        <v>11.648244999999999</v>
      </c>
      <c r="DQ16" s="21">
        <f>IF(DQ$1&lt;INDEX('Valo FX'!$Q:$Q,MATCH($A16,'Valo FX'!$A:$A,0)),0,IF(DQ$1&lt;INDEX('Valo FX'!$R:$R,MATCH($A16,'Valo FX'!$A:$A,0)),INDEX(Base!$U:$U,MATCH($A16,Base!$A:$A,0)),IF(DQ$1=INDEX('Valo FX'!$R:$R,MATCH($A16,'Valo FX'!$A:$A,0)),INDEX(Base!$V:$V,MATCH($A16,Base!$A:$A,0)),0)))</f>
        <v>11.648244999999999</v>
      </c>
      <c r="DR16" s="21">
        <f>IF(DR$1&lt;INDEX('Valo FX'!$Q:$Q,MATCH($A16,'Valo FX'!$A:$A,0)),0,IF(DR$1&lt;INDEX('Valo FX'!$R:$R,MATCH($A16,'Valo FX'!$A:$A,0)),INDEX(Base!$U:$U,MATCH($A16,Base!$A:$A,0)),IF(DR$1=INDEX('Valo FX'!$R:$R,MATCH($A16,'Valo FX'!$A:$A,0)),INDEX(Base!$V:$V,MATCH($A16,Base!$A:$A,0)),0)))</f>
        <v>11.648244999999999</v>
      </c>
      <c r="DS16" s="21">
        <f>IF(DS$1&lt;INDEX('Valo FX'!$Q:$Q,MATCH($A16,'Valo FX'!$A:$A,0)),0,IF(DS$1&lt;INDEX('Valo FX'!$R:$R,MATCH($A16,'Valo FX'!$A:$A,0)),INDEX(Base!$U:$U,MATCH($A16,Base!$A:$A,0)),IF(DS$1=INDEX('Valo FX'!$R:$R,MATCH($A16,'Valo FX'!$A:$A,0)),INDEX(Base!$V:$V,MATCH($A16,Base!$A:$A,0)),0)))</f>
        <v>11.648244999999999</v>
      </c>
      <c r="DT16" s="21">
        <f>IF(DT$1&lt;INDEX('Valo FX'!$Q:$Q,MATCH($A16,'Valo FX'!$A:$A,0)),0,IF(DT$1&lt;INDEX('Valo FX'!$R:$R,MATCH($A16,'Valo FX'!$A:$A,0)),INDEX(Base!$U:$U,MATCH($A16,Base!$A:$A,0)),IF(DT$1=INDEX('Valo FX'!$R:$R,MATCH($A16,'Valo FX'!$A:$A,0)),INDEX(Base!$V:$V,MATCH($A16,Base!$A:$A,0)),0)))</f>
        <v>11.648244999999999</v>
      </c>
      <c r="DU16" s="21">
        <f>IF(DU$1&lt;INDEX('Valo FX'!$Q:$Q,MATCH($A16,'Valo FX'!$A:$A,0)),0,IF(DU$1&lt;INDEX('Valo FX'!$R:$R,MATCH($A16,'Valo FX'!$A:$A,0)),INDEX(Base!$U:$U,MATCH($A16,Base!$A:$A,0)),IF(DU$1=INDEX('Valo FX'!$R:$R,MATCH($A16,'Valo FX'!$A:$A,0)),INDEX(Base!$V:$V,MATCH($A16,Base!$A:$A,0)),0)))</f>
        <v>11.648244999999999</v>
      </c>
      <c r="DV16" s="21">
        <f>IF(DV$1&lt;INDEX('Valo FX'!$Q:$Q,MATCH($A16,'Valo FX'!$A:$A,0)),0,IF(DV$1&lt;INDEX('Valo FX'!$R:$R,MATCH($A16,'Valo FX'!$A:$A,0)),INDEX(Base!$U:$U,MATCH($A16,Base!$A:$A,0)),IF(DV$1=INDEX('Valo FX'!$R:$R,MATCH($A16,'Valo FX'!$A:$A,0)),INDEX(Base!$V:$V,MATCH($A16,Base!$A:$A,0)),0)))</f>
        <v>11.648244999999999</v>
      </c>
      <c r="DW16" s="21">
        <f>IF(DW$1&lt;INDEX('Valo FX'!$Q:$Q,MATCH($A16,'Valo FX'!$A:$A,0)),0,IF(DW$1&lt;INDEX('Valo FX'!$R:$R,MATCH($A16,'Valo FX'!$A:$A,0)),INDEX(Base!$U:$U,MATCH($A16,Base!$A:$A,0)),IF(DW$1=INDEX('Valo FX'!$R:$R,MATCH($A16,'Valo FX'!$A:$A,0)),INDEX(Base!$V:$V,MATCH($A16,Base!$A:$A,0)),0)))</f>
        <v>11.648244999999999</v>
      </c>
      <c r="DX16" s="21">
        <f>IF(DX$1&lt;INDEX('Valo FX'!$Q:$Q,MATCH($A16,'Valo FX'!$A:$A,0)),0,IF(DX$1&lt;INDEX('Valo FX'!$R:$R,MATCH($A16,'Valo FX'!$A:$A,0)),INDEX(Base!$U:$U,MATCH($A16,Base!$A:$A,0)),IF(DX$1=INDEX('Valo FX'!$R:$R,MATCH($A16,'Valo FX'!$A:$A,0)),INDEX(Base!$V:$V,MATCH($A16,Base!$A:$A,0)),0)))</f>
        <v>11.648244999999999</v>
      </c>
      <c r="DY16" s="21">
        <f>IF(DY$1&lt;INDEX('Valo FX'!$Q:$Q,MATCH($A16,'Valo FX'!$A:$A,0)),0,IF(DY$1&lt;INDEX('Valo FX'!$R:$R,MATCH($A16,'Valo FX'!$A:$A,0)),INDEX(Base!$U:$U,MATCH($A16,Base!$A:$A,0)),IF(DY$1=INDEX('Valo FX'!$R:$R,MATCH($A16,'Valo FX'!$A:$A,0)),INDEX(Base!$V:$V,MATCH($A16,Base!$A:$A,0)),0)))</f>
        <v>11.648244999999999</v>
      </c>
      <c r="DZ16" s="21">
        <f>IF(DZ$1&lt;INDEX('Valo FX'!$Q:$Q,MATCH($A16,'Valo FX'!$A:$A,0)),0,IF(DZ$1&lt;INDEX('Valo FX'!$R:$R,MATCH($A16,'Valo FX'!$A:$A,0)),INDEX(Base!$U:$U,MATCH($A16,Base!$A:$A,0)),IF(DZ$1=INDEX('Valo FX'!$R:$R,MATCH($A16,'Valo FX'!$A:$A,0)),INDEX(Base!$V:$V,MATCH($A16,Base!$A:$A,0)),0)))</f>
        <v>11.648244999999999</v>
      </c>
      <c r="EA16" s="21">
        <f>IF(EA$1&lt;INDEX('Valo FX'!$Q:$Q,MATCH($A16,'Valo FX'!$A:$A,0)),0,IF(EA$1&lt;INDEX('Valo FX'!$R:$R,MATCH($A16,'Valo FX'!$A:$A,0)),INDEX(Base!$U:$U,MATCH($A16,Base!$A:$A,0)),IF(EA$1=INDEX('Valo FX'!$R:$R,MATCH($A16,'Valo FX'!$A:$A,0)),INDEX(Base!$V:$V,MATCH($A16,Base!$A:$A,0)),0)))</f>
        <v>11.648244999999999</v>
      </c>
      <c r="EB16" s="21">
        <f>IF(EB$1&lt;INDEX('Valo FX'!$Q:$Q,MATCH($A16,'Valo FX'!$A:$A,0)),0,IF(EB$1&lt;INDEX('Valo FX'!$R:$R,MATCH($A16,'Valo FX'!$A:$A,0)),INDEX(Base!$U:$U,MATCH($A16,Base!$A:$A,0)),IF(EB$1=INDEX('Valo FX'!$R:$R,MATCH($A16,'Valo FX'!$A:$A,0)),INDEX(Base!$V:$V,MATCH($A16,Base!$A:$A,0)),0)))</f>
        <v>11.648244999999999</v>
      </c>
      <c r="EC16" s="21">
        <f>IF(EC$1&lt;INDEX('Valo FX'!$Q:$Q,MATCH($A16,'Valo FX'!$A:$A,0)),0,IF(EC$1&lt;INDEX('Valo FX'!$R:$R,MATCH($A16,'Valo FX'!$A:$A,0)),INDEX(Base!$U:$U,MATCH($A16,Base!$A:$A,0)),IF(EC$1=INDEX('Valo FX'!$R:$R,MATCH($A16,'Valo FX'!$A:$A,0)),INDEX(Base!$V:$V,MATCH($A16,Base!$A:$A,0)),0)))</f>
        <v>11.648244999999999</v>
      </c>
      <c r="ED16" s="21">
        <f>IF(ED$1&lt;INDEX('Valo FX'!$Q:$Q,MATCH($A16,'Valo FX'!$A:$A,0)),0,IF(ED$1&lt;INDEX('Valo FX'!$R:$R,MATCH($A16,'Valo FX'!$A:$A,0)),INDEX(Base!$U:$U,MATCH($A16,Base!$A:$A,0)),IF(ED$1=INDEX('Valo FX'!$R:$R,MATCH($A16,'Valo FX'!$A:$A,0)),INDEX(Base!$V:$V,MATCH($A16,Base!$A:$A,0)),0)))</f>
        <v>11.648244999999999</v>
      </c>
      <c r="EE16" s="21">
        <f>IF(EE$1&lt;INDEX('Valo FX'!$Q:$Q,MATCH($A16,'Valo FX'!$A:$A,0)),0,IF(EE$1&lt;INDEX('Valo FX'!$R:$R,MATCH($A16,'Valo FX'!$A:$A,0)),INDEX(Base!$U:$U,MATCH($A16,Base!$A:$A,0)),IF(EE$1=INDEX('Valo FX'!$R:$R,MATCH($A16,'Valo FX'!$A:$A,0)),INDEX(Base!$V:$V,MATCH($A16,Base!$A:$A,0)),0)))</f>
        <v>11.648244999999999</v>
      </c>
      <c r="EF16" s="21">
        <f>IF(EF$1&lt;INDEX('Valo FX'!$Q:$Q,MATCH($A16,'Valo FX'!$A:$A,0)),0,IF(EF$1&lt;INDEX('Valo FX'!$R:$R,MATCH($A16,'Valo FX'!$A:$A,0)),INDEX(Base!$U:$U,MATCH($A16,Base!$A:$A,0)),IF(EF$1=INDEX('Valo FX'!$R:$R,MATCH($A16,'Valo FX'!$A:$A,0)),INDEX(Base!$V:$V,MATCH($A16,Base!$A:$A,0)),0)))</f>
        <v>11.648244999999999</v>
      </c>
      <c r="EG16" s="21">
        <f>IF(EG$1&lt;INDEX('Valo FX'!$Q:$Q,MATCH($A16,'Valo FX'!$A:$A,0)),0,IF(EG$1&lt;INDEX('Valo FX'!$R:$R,MATCH($A16,'Valo FX'!$A:$A,0)),INDEX(Base!$U:$U,MATCH($A16,Base!$A:$A,0)),IF(EG$1=INDEX('Valo FX'!$R:$R,MATCH($A16,'Valo FX'!$A:$A,0)),INDEX(Base!$V:$V,MATCH($A16,Base!$A:$A,0)),0)))</f>
        <v>11.648244999999999</v>
      </c>
      <c r="EH16" s="21">
        <f>IF(EH$1&lt;INDEX('Valo FX'!$Q:$Q,MATCH($A16,'Valo FX'!$A:$A,0)),0,IF(EH$1&lt;INDEX('Valo FX'!$R:$R,MATCH($A16,'Valo FX'!$A:$A,0)),INDEX(Base!$U:$U,MATCH($A16,Base!$A:$A,0)),IF(EH$1=INDEX('Valo FX'!$R:$R,MATCH($A16,'Valo FX'!$A:$A,0)),INDEX(Base!$V:$V,MATCH($A16,Base!$A:$A,0)),0)))</f>
        <v>11.648244999999999</v>
      </c>
      <c r="EI16" s="21">
        <f>IF(EI$1&lt;INDEX('Valo FX'!$Q:$Q,MATCH($A16,'Valo FX'!$A:$A,0)),0,IF(EI$1&lt;INDEX('Valo FX'!$R:$R,MATCH($A16,'Valo FX'!$A:$A,0)),INDEX(Base!$U:$U,MATCH($A16,Base!$A:$A,0)),IF(EI$1=INDEX('Valo FX'!$R:$R,MATCH($A16,'Valo FX'!$A:$A,0)),INDEX(Base!$V:$V,MATCH($A16,Base!$A:$A,0)),0)))</f>
        <v>11.648244999999999</v>
      </c>
      <c r="EJ16" s="21">
        <f>IF(EJ$1&lt;INDEX('Valo FX'!$Q:$Q,MATCH($A16,'Valo FX'!$A:$A,0)),0,IF(EJ$1&lt;INDEX('Valo FX'!$R:$R,MATCH($A16,'Valo FX'!$A:$A,0)),INDEX(Base!$U:$U,MATCH($A16,Base!$A:$A,0)),IF(EJ$1=INDEX('Valo FX'!$R:$R,MATCH($A16,'Valo FX'!$A:$A,0)),INDEX(Base!$V:$V,MATCH($A16,Base!$A:$A,0)),0)))</f>
        <v>11.648244999999999</v>
      </c>
      <c r="EK16" s="21">
        <f>IF(EK$1&lt;INDEX('Valo FX'!$Q:$Q,MATCH($A16,'Valo FX'!$A:$A,0)),0,IF(EK$1&lt;INDEX('Valo FX'!$R:$R,MATCH($A16,'Valo FX'!$A:$A,0)),INDEX(Base!$U:$U,MATCH($A16,Base!$A:$A,0)),IF(EK$1=INDEX('Valo FX'!$R:$R,MATCH($A16,'Valo FX'!$A:$A,0)),INDEX(Base!$V:$V,MATCH($A16,Base!$A:$A,0)),0)))</f>
        <v>11.648244999999999</v>
      </c>
      <c r="EL16" s="21">
        <f>IF(EL$1&lt;INDEX('Valo FX'!$Q:$Q,MATCH($A16,'Valo FX'!$A:$A,0)),0,IF(EL$1&lt;INDEX('Valo FX'!$R:$R,MATCH($A16,'Valo FX'!$A:$A,0)),INDEX(Base!$U:$U,MATCH($A16,Base!$A:$A,0)),IF(EL$1=INDEX('Valo FX'!$R:$R,MATCH($A16,'Valo FX'!$A:$A,0)),INDEX(Base!$V:$V,MATCH($A16,Base!$A:$A,0)),0)))</f>
        <v>11.648244999999999</v>
      </c>
      <c r="EM16" s="21">
        <f>IF(EM$1&lt;INDEX('Valo FX'!$Q:$Q,MATCH($A16,'Valo FX'!$A:$A,0)),0,IF(EM$1&lt;INDEX('Valo FX'!$R:$R,MATCH($A16,'Valo FX'!$A:$A,0)),INDEX(Base!$U:$U,MATCH($A16,Base!$A:$A,0)),IF(EM$1=INDEX('Valo FX'!$R:$R,MATCH($A16,'Valo FX'!$A:$A,0)),INDEX(Base!$V:$V,MATCH($A16,Base!$A:$A,0)),0)))</f>
        <v>11.648244999999999</v>
      </c>
      <c r="EN16" s="21">
        <f>IF(EN$1&lt;INDEX('Valo FX'!$Q:$Q,MATCH($A16,'Valo FX'!$A:$A,0)),0,IF(EN$1&lt;INDEX('Valo FX'!$R:$R,MATCH($A16,'Valo FX'!$A:$A,0)),INDEX(Base!$U:$U,MATCH($A16,Base!$A:$A,0)),IF(EN$1=INDEX('Valo FX'!$R:$R,MATCH($A16,'Valo FX'!$A:$A,0)),INDEX(Base!$V:$V,MATCH($A16,Base!$A:$A,0)),0)))</f>
        <v>11.648244999999999</v>
      </c>
      <c r="EO16" s="21">
        <f>IF(EO$1&lt;INDEX('Valo FX'!$Q:$Q,MATCH($A16,'Valo FX'!$A:$A,0)),0,IF(EO$1&lt;INDEX('Valo FX'!$R:$R,MATCH($A16,'Valo FX'!$A:$A,0)),INDEX(Base!$U:$U,MATCH($A16,Base!$A:$A,0)),IF(EO$1=INDEX('Valo FX'!$R:$R,MATCH($A16,'Valo FX'!$A:$A,0)),INDEX(Base!$V:$V,MATCH($A16,Base!$A:$A,0)),0)))</f>
        <v>11.648244999999999</v>
      </c>
      <c r="EP16" s="21">
        <f>IF(EP$1&lt;INDEX('Valo FX'!$Q:$Q,MATCH($A16,'Valo FX'!$A:$A,0)),0,IF(EP$1&lt;INDEX('Valo FX'!$R:$R,MATCH($A16,'Valo FX'!$A:$A,0)),INDEX(Base!$U:$U,MATCH($A16,Base!$A:$A,0)),IF(EP$1=INDEX('Valo FX'!$R:$R,MATCH($A16,'Valo FX'!$A:$A,0)),INDEX(Base!$V:$V,MATCH($A16,Base!$A:$A,0)),0)))</f>
        <v>11.648244999999999</v>
      </c>
      <c r="EQ16" s="21">
        <f>IF(EQ$1&lt;INDEX('Valo FX'!$Q:$Q,MATCH($A16,'Valo FX'!$A:$A,0)),0,IF(EQ$1&lt;INDEX('Valo FX'!$R:$R,MATCH($A16,'Valo FX'!$A:$A,0)),INDEX(Base!$U:$U,MATCH($A16,Base!$A:$A,0)),IF(EQ$1=INDEX('Valo FX'!$R:$R,MATCH($A16,'Valo FX'!$A:$A,0)),INDEX(Base!$V:$V,MATCH($A16,Base!$A:$A,0)),0)))</f>
        <v>11.648244999999999</v>
      </c>
      <c r="ER16" s="21">
        <f>IF(ER$1&lt;INDEX('Valo FX'!$Q:$Q,MATCH($A16,'Valo FX'!$A:$A,0)),0,IF(ER$1&lt;INDEX('Valo FX'!$R:$R,MATCH($A16,'Valo FX'!$A:$A,0)),INDEX(Base!$U:$U,MATCH($A16,Base!$A:$A,0)),IF(ER$1=INDEX('Valo FX'!$R:$R,MATCH($A16,'Valo FX'!$A:$A,0)),INDEX(Base!$V:$V,MATCH($A16,Base!$A:$A,0)),0)))</f>
        <v>11.648244999999999</v>
      </c>
      <c r="ES16" s="21">
        <f>IF(ES$1&lt;INDEX('Valo FX'!$Q:$Q,MATCH($A16,'Valo FX'!$A:$A,0)),0,IF(ES$1&lt;INDEX('Valo FX'!$R:$R,MATCH($A16,'Valo FX'!$A:$A,0)),INDEX(Base!$U:$U,MATCH($A16,Base!$A:$A,0)),IF(ES$1=INDEX('Valo FX'!$R:$R,MATCH($A16,'Valo FX'!$A:$A,0)),INDEX(Base!$V:$V,MATCH($A16,Base!$A:$A,0)),0)))</f>
        <v>11.648244999999999</v>
      </c>
      <c r="ET16" s="21">
        <f>IF(ET$1&lt;INDEX('Valo FX'!$Q:$Q,MATCH($A16,'Valo FX'!$A:$A,0)),0,IF(ET$1&lt;INDEX('Valo FX'!$R:$R,MATCH($A16,'Valo FX'!$A:$A,0)),INDEX(Base!$U:$U,MATCH($A16,Base!$A:$A,0)),IF(ET$1=INDEX('Valo FX'!$R:$R,MATCH($A16,'Valo FX'!$A:$A,0)),INDEX(Base!$V:$V,MATCH($A16,Base!$A:$A,0)),0)))</f>
        <v>11.648244999999999</v>
      </c>
      <c r="EU16" s="21">
        <f>IF(EU$1&lt;INDEX('Valo FX'!$Q:$Q,MATCH($A16,'Valo FX'!$A:$A,0)),0,IF(EU$1&lt;INDEX('Valo FX'!$R:$R,MATCH($A16,'Valo FX'!$A:$A,0)),INDEX(Base!$U:$U,MATCH($A16,Base!$A:$A,0)),IF(EU$1=INDEX('Valo FX'!$R:$R,MATCH($A16,'Valo FX'!$A:$A,0)),INDEX(Base!$V:$V,MATCH($A16,Base!$A:$A,0)),0)))</f>
        <v>11.648244999999999</v>
      </c>
      <c r="EV16" s="21">
        <f>IF(EV$1&lt;INDEX('Valo FX'!$Q:$Q,MATCH($A16,'Valo FX'!$A:$A,0)),0,IF(EV$1&lt;INDEX('Valo FX'!$R:$R,MATCH($A16,'Valo FX'!$A:$A,0)),INDEX(Base!$U:$U,MATCH($A16,Base!$A:$A,0)),IF(EV$1=INDEX('Valo FX'!$R:$R,MATCH($A16,'Valo FX'!$A:$A,0)),INDEX(Base!$V:$V,MATCH($A16,Base!$A:$A,0)),0)))</f>
        <v>11.648244999999999</v>
      </c>
      <c r="EW16" s="21">
        <f>IF(EW$1&lt;INDEX('Valo FX'!$Q:$Q,MATCH($A16,'Valo FX'!$A:$A,0)),0,IF(EW$1&lt;INDEX('Valo FX'!$R:$R,MATCH($A16,'Valo FX'!$A:$A,0)),INDEX(Base!$U:$U,MATCH($A16,Base!$A:$A,0)),IF(EW$1=INDEX('Valo FX'!$R:$R,MATCH($A16,'Valo FX'!$A:$A,0)),INDEX(Base!$V:$V,MATCH($A16,Base!$A:$A,0)),0)))</f>
        <v>11.648244999999999</v>
      </c>
      <c r="EX16" s="21">
        <f>IF(EX$1&lt;INDEX('Valo FX'!$Q:$Q,MATCH($A16,'Valo FX'!$A:$A,0)),0,IF(EX$1&lt;INDEX('Valo FX'!$R:$R,MATCH($A16,'Valo FX'!$A:$A,0)),INDEX(Base!$U:$U,MATCH($A16,Base!$A:$A,0)),IF(EX$1=INDEX('Valo FX'!$R:$R,MATCH($A16,'Valo FX'!$A:$A,0)),INDEX(Base!$V:$V,MATCH($A16,Base!$A:$A,0)),0)))</f>
        <v>11.648244999999999</v>
      </c>
      <c r="EY16" s="21">
        <f>IF(EY$1&lt;INDEX('Valo FX'!$Q:$Q,MATCH($A16,'Valo FX'!$A:$A,0)),0,IF(EY$1&lt;INDEX('Valo FX'!$R:$R,MATCH($A16,'Valo FX'!$A:$A,0)),INDEX(Base!$U:$U,MATCH($A16,Base!$A:$A,0)),IF(EY$1=INDEX('Valo FX'!$R:$R,MATCH($A16,'Valo FX'!$A:$A,0)),INDEX(Base!$V:$V,MATCH($A16,Base!$A:$A,0)),0)))</f>
        <v>11.648244999999999</v>
      </c>
      <c r="EZ16" s="21">
        <f>IF(EZ$1&lt;INDEX('Valo FX'!$Q:$Q,MATCH($A16,'Valo FX'!$A:$A,0)),0,IF(EZ$1&lt;INDEX('Valo FX'!$R:$R,MATCH($A16,'Valo FX'!$A:$A,0)),INDEX(Base!$U:$U,MATCH($A16,Base!$A:$A,0)),IF(EZ$1=INDEX('Valo FX'!$R:$R,MATCH($A16,'Valo FX'!$A:$A,0)),INDEX(Base!$V:$V,MATCH($A16,Base!$A:$A,0)),0)))</f>
        <v>11.648244999999999</v>
      </c>
      <c r="FA16" s="21">
        <f>IF(FA$1&lt;INDEX('Valo FX'!$Q:$Q,MATCH($A16,'Valo FX'!$A:$A,0)),0,IF(FA$1&lt;INDEX('Valo FX'!$R:$R,MATCH($A16,'Valo FX'!$A:$A,0)),INDEX(Base!$U:$U,MATCH($A16,Base!$A:$A,0)),IF(FA$1=INDEX('Valo FX'!$R:$R,MATCH($A16,'Valo FX'!$A:$A,0)),INDEX(Base!$V:$V,MATCH($A16,Base!$A:$A,0)),0)))</f>
        <v>11.648244999999999</v>
      </c>
      <c r="FB16" s="21">
        <f>IF(FB$1&lt;INDEX('Valo FX'!$Q:$Q,MATCH($A16,'Valo FX'!$A:$A,0)),0,IF(FB$1&lt;INDEX('Valo FX'!$R:$R,MATCH($A16,'Valo FX'!$A:$A,0)),INDEX(Base!$U:$U,MATCH($A16,Base!$A:$A,0)),IF(FB$1=INDEX('Valo FX'!$R:$R,MATCH($A16,'Valo FX'!$A:$A,0)),INDEX(Base!$V:$V,MATCH($A16,Base!$A:$A,0)),0)))</f>
        <v>11.648244999999999</v>
      </c>
      <c r="FC16" s="21">
        <f>IF(FC$1&lt;INDEX('Valo FX'!$Q:$Q,MATCH($A16,'Valo FX'!$A:$A,0)),0,IF(FC$1&lt;INDEX('Valo FX'!$R:$R,MATCH($A16,'Valo FX'!$A:$A,0)),INDEX(Base!$U:$U,MATCH($A16,Base!$A:$A,0)),IF(FC$1=INDEX('Valo FX'!$R:$R,MATCH($A16,'Valo FX'!$A:$A,0)),INDEX(Base!$V:$V,MATCH($A16,Base!$A:$A,0)),0)))</f>
        <v>11.648244999999999</v>
      </c>
      <c r="FD16" s="21">
        <f>IF(FD$1&lt;INDEX('Valo FX'!$Q:$Q,MATCH($A16,'Valo FX'!$A:$A,0)),0,IF(FD$1&lt;INDEX('Valo FX'!$R:$R,MATCH($A16,'Valo FX'!$A:$A,0)),INDEX(Base!$U:$U,MATCH($A16,Base!$A:$A,0)),IF(FD$1=INDEX('Valo FX'!$R:$R,MATCH($A16,'Valo FX'!$A:$A,0)),INDEX(Base!$V:$V,MATCH($A16,Base!$A:$A,0)),0)))</f>
        <v>11.648244999999999</v>
      </c>
      <c r="FE16" s="21">
        <f>IF(FE$1&lt;INDEX('Valo FX'!$Q:$Q,MATCH($A16,'Valo FX'!$A:$A,0)),0,IF(FE$1&lt;INDEX('Valo FX'!$R:$R,MATCH($A16,'Valo FX'!$A:$A,0)),INDEX(Base!$U:$U,MATCH($A16,Base!$A:$A,0)),IF(FE$1=INDEX('Valo FX'!$R:$R,MATCH($A16,'Valo FX'!$A:$A,0)),INDEX(Base!$V:$V,MATCH($A16,Base!$A:$A,0)),0)))</f>
        <v>11.648244999999999</v>
      </c>
      <c r="FF16" s="21">
        <f>IF(FF$1&lt;INDEX('Valo FX'!$Q:$Q,MATCH($A16,'Valo FX'!$A:$A,0)),0,IF(FF$1&lt;INDEX('Valo FX'!$R:$R,MATCH($A16,'Valo FX'!$A:$A,0)),INDEX(Base!$U:$U,MATCH($A16,Base!$A:$A,0)),IF(FF$1=INDEX('Valo FX'!$R:$R,MATCH($A16,'Valo FX'!$A:$A,0)),INDEX(Base!$V:$V,MATCH($A16,Base!$A:$A,0)),0)))</f>
        <v>11.648244999999999</v>
      </c>
      <c r="FG16" s="21">
        <f>IF(FG$1&lt;INDEX('Valo FX'!$Q:$Q,MATCH($A16,'Valo FX'!$A:$A,0)),0,IF(FG$1&lt;INDEX('Valo FX'!$R:$R,MATCH($A16,'Valo FX'!$A:$A,0)),INDEX(Base!$U:$U,MATCH($A16,Base!$A:$A,0)),IF(FG$1=INDEX('Valo FX'!$R:$R,MATCH($A16,'Valo FX'!$A:$A,0)),INDEX(Base!$V:$V,MATCH($A16,Base!$A:$A,0)),0)))</f>
        <v>11.648244999999999</v>
      </c>
      <c r="FH16" s="21">
        <f>IF(FH$1&lt;INDEX('Valo FX'!$Q:$Q,MATCH($A16,'Valo FX'!$A:$A,0)),0,IF(FH$1&lt;INDEX('Valo FX'!$R:$R,MATCH($A16,'Valo FX'!$A:$A,0)),INDEX(Base!$U:$U,MATCH($A16,Base!$A:$A,0)),IF(FH$1=INDEX('Valo FX'!$R:$R,MATCH($A16,'Valo FX'!$A:$A,0)),INDEX(Base!$V:$V,MATCH($A16,Base!$A:$A,0)),0)))</f>
        <v>11.648244999999999</v>
      </c>
      <c r="FI16" s="21">
        <f>IF(FI$1&lt;INDEX('Valo FX'!$Q:$Q,MATCH($A16,'Valo FX'!$A:$A,0)),0,IF(FI$1&lt;INDEX('Valo FX'!$R:$R,MATCH($A16,'Valo FX'!$A:$A,0)),INDEX(Base!$U:$U,MATCH($A16,Base!$A:$A,0)),IF(FI$1=INDEX('Valo FX'!$R:$R,MATCH($A16,'Valo FX'!$A:$A,0)),INDEX(Base!$V:$V,MATCH($A16,Base!$A:$A,0)),0)))</f>
        <v>11.648244999999999</v>
      </c>
      <c r="FJ16" s="21">
        <f>IF(FJ$1&lt;INDEX('Valo FX'!$Q:$Q,MATCH($A16,'Valo FX'!$A:$A,0)),0,IF(FJ$1&lt;INDEX('Valo FX'!$R:$R,MATCH($A16,'Valo FX'!$A:$A,0)),INDEX(Base!$U:$U,MATCH($A16,Base!$A:$A,0)),IF(FJ$1=INDEX('Valo FX'!$R:$R,MATCH($A16,'Valo FX'!$A:$A,0)),INDEX(Base!$V:$V,MATCH($A16,Base!$A:$A,0)),0)))</f>
        <v>11.648244999999999</v>
      </c>
      <c r="FK16" s="21">
        <f>IF(FK$1&lt;INDEX('Valo FX'!$Q:$Q,MATCH($A16,'Valo FX'!$A:$A,0)),0,IF(FK$1&lt;INDEX('Valo FX'!$R:$R,MATCH($A16,'Valo FX'!$A:$A,0)),INDEX(Base!$U:$U,MATCH($A16,Base!$A:$A,0)),IF(FK$1=INDEX('Valo FX'!$R:$R,MATCH($A16,'Valo FX'!$A:$A,0)),INDEX(Base!$V:$V,MATCH($A16,Base!$A:$A,0)),0)))</f>
        <v>11.648244999999999</v>
      </c>
      <c r="FL16" s="21">
        <f>IF(FL$1&lt;INDEX('Valo FX'!$Q:$Q,MATCH($A16,'Valo FX'!$A:$A,0)),0,IF(FL$1&lt;INDEX('Valo FX'!$R:$R,MATCH($A16,'Valo FX'!$A:$A,0)),INDEX(Base!$U:$U,MATCH($A16,Base!$A:$A,0)),IF(FL$1=INDEX('Valo FX'!$R:$R,MATCH($A16,'Valo FX'!$A:$A,0)),INDEX(Base!$V:$V,MATCH($A16,Base!$A:$A,0)),0)))</f>
        <v>11.648244999999999</v>
      </c>
      <c r="FM16" s="21">
        <f>IF(FM$1&lt;INDEX('Valo FX'!$Q:$Q,MATCH($A16,'Valo FX'!$A:$A,0)),0,IF(FM$1&lt;INDEX('Valo FX'!$R:$R,MATCH($A16,'Valo FX'!$A:$A,0)),INDEX(Base!$U:$U,MATCH($A16,Base!$A:$A,0)),IF(FM$1=INDEX('Valo FX'!$R:$R,MATCH($A16,'Valo FX'!$A:$A,0)),INDEX(Base!$V:$V,MATCH($A16,Base!$A:$A,0)),0)))</f>
        <v>11.648244999999999</v>
      </c>
      <c r="FN16" s="21">
        <f>IF(FN$1&lt;INDEX('Valo FX'!$Q:$Q,MATCH($A16,'Valo FX'!$A:$A,0)),0,IF(FN$1&lt;INDEX('Valo FX'!$R:$R,MATCH($A16,'Valo FX'!$A:$A,0)),INDEX(Base!$U:$U,MATCH($A16,Base!$A:$A,0)),IF(FN$1=INDEX('Valo FX'!$R:$R,MATCH($A16,'Valo FX'!$A:$A,0)),INDEX(Base!$V:$V,MATCH($A16,Base!$A:$A,0)),0)))</f>
        <v>11.648244999999999</v>
      </c>
      <c r="FO16" s="21">
        <f>IF(FO$1&lt;INDEX('Valo FX'!$Q:$Q,MATCH($A16,'Valo FX'!$A:$A,0)),0,IF(FO$1&lt;INDEX('Valo FX'!$R:$R,MATCH($A16,'Valo FX'!$A:$A,0)),INDEX(Base!$U:$U,MATCH($A16,Base!$A:$A,0)),IF(FO$1=INDEX('Valo FX'!$R:$R,MATCH($A16,'Valo FX'!$A:$A,0)),INDEX(Base!$V:$V,MATCH($A16,Base!$A:$A,0)),0)))</f>
        <v>11.648244999999999</v>
      </c>
      <c r="FP16" s="21">
        <f>IF(FP$1&lt;INDEX('Valo FX'!$Q:$Q,MATCH($A16,'Valo FX'!$A:$A,0)),0,IF(FP$1&lt;INDEX('Valo FX'!$R:$R,MATCH($A16,'Valo FX'!$A:$A,0)),INDEX(Base!$U:$U,MATCH($A16,Base!$A:$A,0)),IF(FP$1=INDEX('Valo FX'!$R:$R,MATCH($A16,'Valo FX'!$A:$A,0)),INDEX(Base!$V:$V,MATCH($A16,Base!$A:$A,0)),0)))</f>
        <v>11.648244999999999</v>
      </c>
      <c r="FQ16" s="21">
        <f>IF(FQ$1&lt;INDEX('Valo FX'!$Q:$Q,MATCH($A16,'Valo FX'!$A:$A,0)),0,IF(FQ$1&lt;INDEX('Valo FX'!$R:$R,MATCH($A16,'Valo FX'!$A:$A,0)),INDEX(Base!$U:$U,MATCH($A16,Base!$A:$A,0)),IF(FQ$1=INDEX('Valo FX'!$R:$R,MATCH($A16,'Valo FX'!$A:$A,0)),INDEX(Base!$V:$V,MATCH($A16,Base!$A:$A,0)),0)))</f>
        <v>11.648244999999999</v>
      </c>
      <c r="FR16" s="21">
        <f>IF(FR$1&lt;INDEX('Valo FX'!$Q:$Q,MATCH($A16,'Valo FX'!$A:$A,0)),0,IF(FR$1&lt;INDEX('Valo FX'!$R:$R,MATCH($A16,'Valo FX'!$A:$A,0)),INDEX(Base!$U:$U,MATCH($A16,Base!$A:$A,0)),IF(FR$1=INDEX('Valo FX'!$R:$R,MATCH($A16,'Valo FX'!$A:$A,0)),INDEX(Base!$V:$V,MATCH($A16,Base!$A:$A,0)),0)))</f>
        <v>11.648244999999999</v>
      </c>
      <c r="FS16" s="21">
        <f>IF(FS$1&lt;INDEX('Valo FX'!$Q:$Q,MATCH($A16,'Valo FX'!$A:$A,0)),0,IF(FS$1&lt;INDEX('Valo FX'!$R:$R,MATCH($A16,'Valo FX'!$A:$A,0)),INDEX(Base!$U:$U,MATCH($A16,Base!$A:$A,0)),IF(FS$1=INDEX('Valo FX'!$R:$R,MATCH($A16,'Valo FX'!$A:$A,0)),INDEX(Base!$V:$V,MATCH($A16,Base!$A:$A,0)),0)))</f>
        <v>11.648244999999999</v>
      </c>
      <c r="FT16" s="21">
        <f>IF(FT$1&lt;INDEX('Valo FX'!$Q:$Q,MATCH($A16,'Valo FX'!$A:$A,0)),0,IF(FT$1&lt;INDEX('Valo FX'!$R:$R,MATCH($A16,'Valo FX'!$A:$A,0)),INDEX(Base!$U:$U,MATCH($A16,Base!$A:$A,0)),IF(FT$1=INDEX('Valo FX'!$R:$R,MATCH($A16,'Valo FX'!$A:$A,0)),INDEX(Base!$V:$V,MATCH($A16,Base!$A:$A,0)),0)))</f>
        <v>11.648244999999999</v>
      </c>
      <c r="FU16" s="21">
        <f>IF(FU$1&lt;INDEX('Valo FX'!$Q:$Q,MATCH($A16,'Valo FX'!$A:$A,0)),0,IF(FU$1&lt;INDEX('Valo FX'!$R:$R,MATCH($A16,'Valo FX'!$A:$A,0)),INDEX(Base!$U:$U,MATCH($A16,Base!$A:$A,0)),IF(FU$1=INDEX('Valo FX'!$R:$R,MATCH($A16,'Valo FX'!$A:$A,0)),INDEX(Base!$V:$V,MATCH($A16,Base!$A:$A,0)),0)))</f>
        <v>11.648244999999999</v>
      </c>
      <c r="FV16" s="21">
        <f>IF(FV$1&lt;INDEX('Valo FX'!$Q:$Q,MATCH($A16,'Valo FX'!$A:$A,0)),0,IF(FV$1&lt;INDEX('Valo FX'!$R:$R,MATCH($A16,'Valo FX'!$A:$A,0)),INDEX(Base!$U:$U,MATCH($A16,Base!$A:$A,0)),IF(FV$1=INDEX('Valo FX'!$R:$R,MATCH($A16,'Valo FX'!$A:$A,0)),INDEX(Base!$V:$V,MATCH($A16,Base!$A:$A,0)),0)))</f>
        <v>11.648244999999999</v>
      </c>
      <c r="FW16" s="21">
        <f>IF(FW$1&lt;INDEX('Valo FX'!$Q:$Q,MATCH($A16,'Valo FX'!$A:$A,0)),0,IF(FW$1&lt;INDEX('Valo FX'!$R:$R,MATCH($A16,'Valo FX'!$A:$A,0)),INDEX(Base!$U:$U,MATCH($A16,Base!$A:$A,0)),IF(FW$1=INDEX('Valo FX'!$R:$R,MATCH($A16,'Valo FX'!$A:$A,0)),INDEX(Base!$V:$V,MATCH($A16,Base!$A:$A,0)),0)))</f>
        <v>11.648244999999999</v>
      </c>
      <c r="FX16" s="21">
        <f>IF(FX$1&lt;INDEX('Valo FX'!$Q:$Q,MATCH($A16,'Valo FX'!$A:$A,0)),0,IF(FX$1&lt;INDEX('Valo FX'!$R:$R,MATCH($A16,'Valo FX'!$A:$A,0)),INDEX(Base!$U:$U,MATCH($A16,Base!$A:$A,0)),IF(FX$1=INDEX('Valo FX'!$R:$R,MATCH($A16,'Valo FX'!$A:$A,0)),INDEX(Base!$V:$V,MATCH($A16,Base!$A:$A,0)),0)))</f>
        <v>11.648244999999999</v>
      </c>
      <c r="FY16" s="21">
        <f>IF(FY$1&lt;INDEX('Valo FX'!$Q:$Q,MATCH($A16,'Valo FX'!$A:$A,0)),0,IF(FY$1&lt;INDEX('Valo FX'!$R:$R,MATCH($A16,'Valo FX'!$A:$A,0)),INDEX(Base!$U:$U,MATCH($A16,Base!$A:$A,0)),IF(FY$1=INDEX('Valo FX'!$R:$R,MATCH($A16,'Valo FX'!$A:$A,0)),INDEX(Base!$V:$V,MATCH($A16,Base!$A:$A,0)),0)))</f>
        <v>11.648244999999999</v>
      </c>
      <c r="FZ16" s="21">
        <f>IF(FZ$1&lt;INDEX('Valo FX'!$Q:$Q,MATCH($A16,'Valo FX'!$A:$A,0)),0,IF(FZ$1&lt;INDEX('Valo FX'!$R:$R,MATCH($A16,'Valo FX'!$A:$A,0)),INDEX(Base!$U:$U,MATCH($A16,Base!$A:$A,0)),IF(FZ$1=INDEX('Valo FX'!$R:$R,MATCH($A16,'Valo FX'!$A:$A,0)),INDEX(Base!$V:$V,MATCH($A16,Base!$A:$A,0)),0)))</f>
        <v>11.648244999999999</v>
      </c>
      <c r="GA16" s="21">
        <f>IF(GA$1&lt;INDEX('Valo FX'!$Q:$Q,MATCH($A16,'Valo FX'!$A:$A,0)),0,IF(GA$1&lt;INDEX('Valo FX'!$R:$R,MATCH($A16,'Valo FX'!$A:$A,0)),INDEX(Base!$U:$U,MATCH($A16,Base!$A:$A,0)),IF(GA$1=INDEX('Valo FX'!$R:$R,MATCH($A16,'Valo FX'!$A:$A,0)),INDEX(Base!$V:$V,MATCH($A16,Base!$A:$A,0)),0)))</f>
        <v>11.648244999999999</v>
      </c>
      <c r="GB16" s="21">
        <f>IF(GB$1&lt;INDEX('Valo FX'!$Q:$Q,MATCH($A16,'Valo FX'!$A:$A,0)),0,IF(GB$1&lt;INDEX('Valo FX'!$R:$R,MATCH($A16,'Valo FX'!$A:$A,0)),INDEX(Base!$U:$U,MATCH($A16,Base!$A:$A,0)),IF(GB$1=INDEX('Valo FX'!$R:$R,MATCH($A16,'Valo FX'!$A:$A,0)),INDEX(Base!$V:$V,MATCH($A16,Base!$A:$A,0)),0)))</f>
        <v>11.648244999999999</v>
      </c>
      <c r="GC16" s="21">
        <f>IF(GC$1&lt;INDEX('Valo FX'!$Q:$Q,MATCH($A16,'Valo FX'!$A:$A,0)),0,IF(GC$1&lt;INDEX('Valo FX'!$R:$R,MATCH($A16,'Valo FX'!$A:$A,0)),INDEX(Base!$U:$U,MATCH($A16,Base!$A:$A,0)),IF(GC$1=INDEX('Valo FX'!$R:$R,MATCH($A16,'Valo FX'!$A:$A,0)),INDEX(Base!$V:$V,MATCH($A16,Base!$A:$A,0)),0)))</f>
        <v>11.648244999999999</v>
      </c>
      <c r="GD16" s="21">
        <f>IF(GD$1&lt;INDEX('Valo FX'!$Q:$Q,MATCH($A16,'Valo FX'!$A:$A,0)),0,IF(GD$1&lt;INDEX('Valo FX'!$R:$R,MATCH($A16,'Valo FX'!$A:$A,0)),INDEX(Base!$U:$U,MATCH($A16,Base!$A:$A,0)),IF(GD$1=INDEX('Valo FX'!$R:$R,MATCH($A16,'Valo FX'!$A:$A,0)),INDEX(Base!$V:$V,MATCH($A16,Base!$A:$A,0)),0)))</f>
        <v>11.648244999999999</v>
      </c>
      <c r="GE16" s="21">
        <f>IF(GE$1&lt;INDEX('Valo FX'!$Q:$Q,MATCH($A16,'Valo FX'!$A:$A,0)),0,IF(GE$1&lt;INDEX('Valo FX'!$R:$R,MATCH($A16,'Valo FX'!$A:$A,0)),INDEX(Base!$U:$U,MATCH($A16,Base!$A:$A,0)),IF(GE$1=INDEX('Valo FX'!$R:$R,MATCH($A16,'Valo FX'!$A:$A,0)),INDEX(Base!$V:$V,MATCH($A16,Base!$A:$A,0)),0)))</f>
        <v>11.648244999999999</v>
      </c>
      <c r="GF16" s="21">
        <f>IF(GF$1&lt;INDEX('Valo FX'!$Q:$Q,MATCH($A16,'Valo FX'!$A:$A,0)),0,IF(GF$1&lt;INDEX('Valo FX'!$R:$R,MATCH($A16,'Valo FX'!$A:$A,0)),INDEX(Base!$U:$U,MATCH($A16,Base!$A:$A,0)),IF(GF$1=INDEX('Valo FX'!$R:$R,MATCH($A16,'Valo FX'!$A:$A,0)),INDEX(Base!$V:$V,MATCH($A16,Base!$A:$A,0)),0)))</f>
        <v>11.648244999999999</v>
      </c>
      <c r="GG16" s="21">
        <f>IF(GG$1&lt;INDEX('Valo FX'!$Q:$Q,MATCH($A16,'Valo FX'!$A:$A,0)),0,IF(GG$1&lt;INDEX('Valo FX'!$R:$R,MATCH($A16,'Valo FX'!$A:$A,0)),INDEX(Base!$U:$U,MATCH($A16,Base!$A:$A,0)),IF(GG$1=INDEX('Valo FX'!$R:$R,MATCH($A16,'Valo FX'!$A:$A,0)),INDEX(Base!$V:$V,MATCH($A16,Base!$A:$A,0)),0)))</f>
        <v>11.648244999999999</v>
      </c>
      <c r="GH16" s="21">
        <f>IF(GH$1&lt;INDEX('Valo FX'!$Q:$Q,MATCH($A16,'Valo FX'!$A:$A,0)),0,IF(GH$1&lt;INDEX('Valo FX'!$R:$R,MATCH($A16,'Valo FX'!$A:$A,0)),INDEX(Base!$U:$U,MATCH($A16,Base!$A:$A,0)),IF(GH$1=INDEX('Valo FX'!$R:$R,MATCH($A16,'Valo FX'!$A:$A,0)),INDEX(Base!$V:$V,MATCH($A16,Base!$A:$A,0)),0)))</f>
        <v>11.648244999999999</v>
      </c>
      <c r="GI16" s="21">
        <f>IF(GI$1&lt;INDEX('Valo FX'!$Q:$Q,MATCH($A16,'Valo FX'!$A:$A,0)),0,IF(GI$1&lt;INDEX('Valo FX'!$R:$R,MATCH($A16,'Valo FX'!$A:$A,0)),INDEX(Base!$U:$U,MATCH($A16,Base!$A:$A,0)),IF(GI$1=INDEX('Valo FX'!$R:$R,MATCH($A16,'Valo FX'!$A:$A,0)),INDEX(Base!$V:$V,MATCH($A16,Base!$A:$A,0)),0)))</f>
        <v>11.648244999999999</v>
      </c>
      <c r="GJ16" s="21">
        <f>IF(GJ$1&lt;INDEX('Valo FX'!$Q:$Q,MATCH($A16,'Valo FX'!$A:$A,0)),0,IF(GJ$1&lt;INDEX('Valo FX'!$R:$R,MATCH($A16,'Valo FX'!$A:$A,0)),INDEX(Base!$U:$U,MATCH($A16,Base!$A:$A,0)),IF(GJ$1=INDEX('Valo FX'!$R:$R,MATCH($A16,'Valo FX'!$A:$A,0)),INDEX(Base!$V:$V,MATCH($A16,Base!$A:$A,0)),0)))</f>
        <v>11.648244999999999</v>
      </c>
      <c r="GK16" s="21">
        <f>IF(GK$1&lt;INDEX('Valo FX'!$Q:$Q,MATCH($A16,'Valo FX'!$A:$A,0)),0,IF(GK$1&lt;INDEX('Valo FX'!$R:$R,MATCH($A16,'Valo FX'!$A:$A,0)),INDEX(Base!$U:$U,MATCH($A16,Base!$A:$A,0)),IF(GK$1=INDEX('Valo FX'!$R:$R,MATCH($A16,'Valo FX'!$A:$A,0)),INDEX(Base!$V:$V,MATCH($A16,Base!$A:$A,0)),0)))</f>
        <v>11.648244999999999</v>
      </c>
      <c r="GL16" s="21">
        <f>IF(GL$1&lt;INDEX('Valo FX'!$Q:$Q,MATCH($A16,'Valo FX'!$A:$A,0)),0,IF(GL$1&lt;INDEX('Valo FX'!$R:$R,MATCH($A16,'Valo FX'!$A:$A,0)),INDEX(Base!$U:$U,MATCH($A16,Base!$A:$A,0)),IF(GL$1=INDEX('Valo FX'!$R:$R,MATCH($A16,'Valo FX'!$A:$A,0)),INDEX(Base!$V:$V,MATCH($A16,Base!$A:$A,0)),0)))</f>
        <v>11.648244999999999</v>
      </c>
      <c r="GM16" s="21">
        <f>IF(GM$1&lt;INDEX('Valo FX'!$Q:$Q,MATCH($A16,'Valo FX'!$A:$A,0)),0,IF(GM$1&lt;INDEX('Valo FX'!$R:$R,MATCH($A16,'Valo FX'!$A:$A,0)),INDEX(Base!$U:$U,MATCH($A16,Base!$A:$A,0)),IF(GM$1=INDEX('Valo FX'!$R:$R,MATCH($A16,'Valo FX'!$A:$A,0)),INDEX(Base!$V:$V,MATCH($A16,Base!$A:$A,0)),0)))</f>
        <v>11.648244999999999</v>
      </c>
      <c r="GN16" s="21">
        <f>IF(GN$1&lt;INDEX('Valo FX'!$Q:$Q,MATCH($A16,'Valo FX'!$A:$A,0)),0,IF(GN$1&lt;INDEX('Valo FX'!$R:$R,MATCH($A16,'Valo FX'!$A:$A,0)),INDEX(Base!$U:$U,MATCH($A16,Base!$A:$A,0)),IF(GN$1=INDEX('Valo FX'!$R:$R,MATCH($A16,'Valo FX'!$A:$A,0)),INDEX(Base!$V:$V,MATCH($A16,Base!$A:$A,0)),0)))</f>
        <v>11.648244999999999</v>
      </c>
      <c r="GO16" s="21">
        <f>IF(GO$1&lt;INDEX('Valo FX'!$Q:$Q,MATCH($A16,'Valo FX'!$A:$A,0)),0,IF(GO$1&lt;INDEX('Valo FX'!$R:$R,MATCH($A16,'Valo FX'!$A:$A,0)),INDEX(Base!$U:$U,MATCH($A16,Base!$A:$A,0)),IF(GO$1=INDEX('Valo FX'!$R:$R,MATCH($A16,'Valo FX'!$A:$A,0)),INDEX(Base!$V:$V,MATCH($A16,Base!$A:$A,0)),0)))</f>
        <v>11.648244999999999</v>
      </c>
      <c r="GP16" s="21">
        <f>IF(GP$1&lt;INDEX('Valo FX'!$Q:$Q,MATCH($A16,'Valo FX'!$A:$A,0)),0,IF(GP$1&lt;INDEX('Valo FX'!$R:$R,MATCH($A16,'Valo FX'!$A:$A,0)),INDEX(Base!$U:$U,MATCH($A16,Base!$A:$A,0)),IF(GP$1=INDEX('Valo FX'!$R:$R,MATCH($A16,'Valo FX'!$A:$A,0)),INDEX(Base!$V:$V,MATCH($A16,Base!$A:$A,0)),0)))</f>
        <v>11.648244999999999</v>
      </c>
      <c r="GQ16" s="21">
        <f>IF(GQ$1&lt;INDEX('Valo FX'!$Q:$Q,MATCH($A16,'Valo FX'!$A:$A,0)),0,IF(GQ$1&lt;INDEX('Valo FX'!$R:$R,MATCH($A16,'Valo FX'!$A:$A,0)),INDEX(Base!$U:$U,MATCH($A16,Base!$A:$A,0)),IF(GQ$1=INDEX('Valo FX'!$R:$R,MATCH($A16,'Valo FX'!$A:$A,0)),INDEX(Base!$V:$V,MATCH($A16,Base!$A:$A,0)),0)))</f>
        <v>11.648244999999999</v>
      </c>
      <c r="GR16" s="21">
        <f>IF(GR$1&lt;INDEX('Valo FX'!$Q:$Q,MATCH($A16,'Valo FX'!$A:$A,0)),0,IF(GR$1&lt;INDEX('Valo FX'!$R:$R,MATCH($A16,'Valo FX'!$A:$A,0)),INDEX(Base!$U:$U,MATCH($A16,Base!$A:$A,0)),IF(GR$1=INDEX('Valo FX'!$R:$R,MATCH($A16,'Valo FX'!$A:$A,0)),INDEX(Base!$V:$V,MATCH($A16,Base!$A:$A,0)),0)))</f>
        <v>11.648244999999999</v>
      </c>
      <c r="GS16" s="21">
        <f>IF(GS$1&lt;INDEX('Valo FX'!$Q:$Q,MATCH($A16,'Valo FX'!$A:$A,0)),0,IF(GS$1&lt;INDEX('Valo FX'!$R:$R,MATCH($A16,'Valo FX'!$A:$A,0)),INDEX(Base!$U:$U,MATCH($A16,Base!$A:$A,0)),IF(GS$1=INDEX('Valo FX'!$R:$R,MATCH($A16,'Valo FX'!$A:$A,0)),INDEX(Base!$V:$V,MATCH($A16,Base!$A:$A,0)),0)))</f>
        <v>11.648244999999999</v>
      </c>
      <c r="GT16" s="21">
        <f>IF(GT$1&lt;INDEX('Valo FX'!$Q:$Q,MATCH($A16,'Valo FX'!$A:$A,0)),0,IF(GT$1&lt;INDEX('Valo FX'!$R:$R,MATCH($A16,'Valo FX'!$A:$A,0)),INDEX(Base!$U:$U,MATCH($A16,Base!$A:$A,0)),IF(GT$1=INDEX('Valo FX'!$R:$R,MATCH($A16,'Valo FX'!$A:$A,0)),INDEX(Base!$V:$V,MATCH($A16,Base!$A:$A,0)),0)))</f>
        <v>11.648244999999999</v>
      </c>
      <c r="GU16" s="21">
        <f>IF(GU$1&lt;INDEX('Valo FX'!$Q:$Q,MATCH($A16,'Valo FX'!$A:$A,0)),0,IF(GU$1&lt;INDEX('Valo FX'!$R:$R,MATCH($A16,'Valo FX'!$A:$A,0)),INDEX(Base!$U:$U,MATCH($A16,Base!$A:$A,0)),IF(GU$1=INDEX('Valo FX'!$R:$R,MATCH($A16,'Valo FX'!$A:$A,0)),INDEX(Base!$V:$V,MATCH($A16,Base!$A:$A,0)),0)))</f>
        <v>11.648244999999999</v>
      </c>
      <c r="GV16" s="21">
        <f>IF(GV$1&lt;INDEX('Valo FX'!$Q:$Q,MATCH($A16,'Valo FX'!$A:$A,0)),0,IF(GV$1&lt;INDEX('Valo FX'!$R:$R,MATCH($A16,'Valo FX'!$A:$A,0)),INDEX(Base!$U:$U,MATCH($A16,Base!$A:$A,0)),IF(GV$1=INDEX('Valo FX'!$R:$R,MATCH($A16,'Valo FX'!$A:$A,0)),INDEX(Base!$V:$V,MATCH($A16,Base!$A:$A,0)),0)))</f>
        <v>11.648244999999999</v>
      </c>
      <c r="GW16" s="21">
        <f>IF(GW$1&lt;INDEX('Valo FX'!$Q:$Q,MATCH($A16,'Valo FX'!$A:$A,0)),0,IF(GW$1&lt;INDEX('Valo FX'!$R:$R,MATCH($A16,'Valo FX'!$A:$A,0)),INDEX(Base!$U:$U,MATCH($A16,Base!$A:$A,0)),IF(GW$1=INDEX('Valo FX'!$R:$R,MATCH($A16,'Valo FX'!$A:$A,0)),INDEX(Base!$V:$V,MATCH($A16,Base!$A:$A,0)),0)))</f>
        <v>11.648244999999999</v>
      </c>
      <c r="GX16" s="21">
        <f>IF(GX$1&lt;INDEX('Valo FX'!$Q:$Q,MATCH($A16,'Valo FX'!$A:$A,0)),0,IF(GX$1&lt;INDEX('Valo FX'!$R:$R,MATCH($A16,'Valo FX'!$A:$A,0)),INDEX(Base!$U:$U,MATCH($A16,Base!$A:$A,0)),IF(GX$1=INDEX('Valo FX'!$R:$R,MATCH($A16,'Valo FX'!$A:$A,0)),INDEX(Base!$V:$V,MATCH($A16,Base!$A:$A,0)),0)))</f>
        <v>11.648244999999999</v>
      </c>
      <c r="GY16" s="21">
        <f>IF(GY$1&lt;INDEX('Valo FX'!$Q:$Q,MATCH($A16,'Valo FX'!$A:$A,0)),0,IF(GY$1&lt;INDEX('Valo FX'!$R:$R,MATCH($A16,'Valo FX'!$A:$A,0)),INDEX(Base!$U:$U,MATCH($A16,Base!$A:$A,0)),IF(GY$1=INDEX('Valo FX'!$R:$R,MATCH($A16,'Valo FX'!$A:$A,0)),INDEX(Base!$V:$V,MATCH($A16,Base!$A:$A,0)),0)))</f>
        <v>11.648244999999999</v>
      </c>
      <c r="GZ16" s="21">
        <f>IF(GZ$1&lt;INDEX('Valo FX'!$Q:$Q,MATCH($A16,'Valo FX'!$A:$A,0)),0,IF(GZ$1&lt;INDEX('Valo FX'!$R:$R,MATCH($A16,'Valo FX'!$A:$A,0)),INDEX(Base!$U:$U,MATCH($A16,Base!$A:$A,0)),IF(GZ$1=INDEX('Valo FX'!$R:$R,MATCH($A16,'Valo FX'!$A:$A,0)),INDEX(Base!$V:$V,MATCH($A16,Base!$A:$A,0)),0)))</f>
        <v>11.648244999999999</v>
      </c>
      <c r="HA16" s="21">
        <f>IF(HA$1&lt;INDEX('Valo FX'!$Q:$Q,MATCH($A16,'Valo FX'!$A:$A,0)),0,IF(HA$1&lt;INDEX('Valo FX'!$R:$R,MATCH($A16,'Valo FX'!$A:$A,0)),INDEX(Base!$U:$U,MATCH($A16,Base!$A:$A,0)),IF(HA$1=INDEX('Valo FX'!$R:$R,MATCH($A16,'Valo FX'!$A:$A,0)),INDEX(Base!$V:$V,MATCH($A16,Base!$A:$A,0)),0)))</f>
        <v>11.648244999999999</v>
      </c>
      <c r="HB16" s="21">
        <f>IF(HB$1&lt;INDEX('Valo FX'!$Q:$Q,MATCH($A16,'Valo FX'!$A:$A,0)),0,IF(HB$1&lt;INDEX('Valo FX'!$R:$R,MATCH($A16,'Valo FX'!$A:$A,0)),INDEX(Base!$U:$U,MATCH($A16,Base!$A:$A,0)),IF(HB$1=INDEX('Valo FX'!$R:$R,MATCH($A16,'Valo FX'!$A:$A,0)),INDEX(Base!$V:$V,MATCH($A16,Base!$A:$A,0)),0)))</f>
        <v>11.648244999999999</v>
      </c>
      <c r="HC16" s="21">
        <f>IF(HC$1&lt;INDEX('Valo FX'!$Q:$Q,MATCH($A16,'Valo FX'!$A:$A,0)),0,IF(HC$1&lt;INDEX('Valo FX'!$R:$R,MATCH($A16,'Valo FX'!$A:$A,0)),INDEX(Base!$U:$U,MATCH($A16,Base!$A:$A,0)),IF(HC$1=INDEX('Valo FX'!$R:$R,MATCH($A16,'Valo FX'!$A:$A,0)),INDEX(Base!$V:$V,MATCH($A16,Base!$A:$A,0)),0)))</f>
        <v>11.648244999999999</v>
      </c>
      <c r="HD16" s="21">
        <f>IF(HD$1&lt;INDEX('Valo FX'!$Q:$Q,MATCH($A16,'Valo FX'!$A:$A,0)),0,IF(HD$1&lt;INDEX('Valo FX'!$R:$R,MATCH($A16,'Valo FX'!$A:$A,0)),INDEX(Base!$U:$U,MATCH($A16,Base!$A:$A,0)),IF(HD$1=INDEX('Valo FX'!$R:$R,MATCH($A16,'Valo FX'!$A:$A,0)),INDEX(Base!$V:$V,MATCH($A16,Base!$A:$A,0)),0)))</f>
        <v>11.648244999999999</v>
      </c>
      <c r="HE16" s="21">
        <f>IF(HE$1&lt;INDEX('Valo FX'!$Q:$Q,MATCH($A16,'Valo FX'!$A:$A,0)),0,IF(HE$1&lt;INDEX('Valo FX'!$R:$R,MATCH($A16,'Valo FX'!$A:$A,0)),INDEX(Base!$U:$U,MATCH($A16,Base!$A:$A,0)),IF(HE$1=INDEX('Valo FX'!$R:$R,MATCH($A16,'Valo FX'!$A:$A,0)),INDEX(Base!$V:$V,MATCH($A16,Base!$A:$A,0)),0)))</f>
        <v>11.648244999999999</v>
      </c>
      <c r="HF16" s="21">
        <f>IF(HF$1&lt;INDEX('Valo FX'!$Q:$Q,MATCH($A16,'Valo FX'!$A:$A,0)),0,IF(HF$1&lt;INDEX('Valo FX'!$R:$R,MATCH($A16,'Valo FX'!$A:$A,0)),INDEX(Base!$U:$U,MATCH($A16,Base!$A:$A,0)),IF(HF$1=INDEX('Valo FX'!$R:$R,MATCH($A16,'Valo FX'!$A:$A,0)),INDEX(Base!$V:$V,MATCH($A16,Base!$A:$A,0)),0)))</f>
        <v>11.648244999999999</v>
      </c>
      <c r="HG16" s="21">
        <f>IF(HG$1&lt;INDEX('Valo FX'!$Q:$Q,MATCH($A16,'Valo FX'!$A:$A,0)),0,IF(HG$1&lt;INDEX('Valo FX'!$R:$R,MATCH($A16,'Valo FX'!$A:$A,0)),INDEX(Base!$U:$U,MATCH($A16,Base!$A:$A,0)),IF(HG$1=INDEX('Valo FX'!$R:$R,MATCH($A16,'Valo FX'!$A:$A,0)),INDEX(Base!$V:$V,MATCH($A16,Base!$A:$A,0)),0)))</f>
        <v>11.648244999999999</v>
      </c>
      <c r="HH16" s="21">
        <f>IF(HH$1&lt;INDEX('Valo FX'!$Q:$Q,MATCH($A16,'Valo FX'!$A:$A,0)),0,IF(HH$1&lt;INDEX('Valo FX'!$R:$R,MATCH($A16,'Valo FX'!$A:$A,0)),INDEX(Base!$U:$U,MATCH($A16,Base!$A:$A,0)),IF(HH$1=INDEX('Valo FX'!$R:$R,MATCH($A16,'Valo FX'!$A:$A,0)),INDEX(Base!$V:$V,MATCH($A16,Base!$A:$A,0)),0)))</f>
        <v>11.648244999999999</v>
      </c>
      <c r="HI16" s="21">
        <f>IF(HI$1&lt;INDEX('Valo FX'!$Q:$Q,MATCH($A16,'Valo FX'!$A:$A,0)),0,IF(HI$1&lt;INDEX('Valo FX'!$R:$R,MATCH($A16,'Valo FX'!$A:$A,0)),INDEX(Base!$U:$U,MATCH($A16,Base!$A:$A,0)),IF(HI$1=INDEX('Valo FX'!$R:$R,MATCH($A16,'Valo FX'!$A:$A,0)),INDEX(Base!$V:$V,MATCH($A16,Base!$A:$A,0)),0)))</f>
        <v>11.648244999999999</v>
      </c>
      <c r="HJ16" s="21">
        <f>IF(HJ$1&lt;INDEX('Valo FX'!$Q:$Q,MATCH($A16,'Valo FX'!$A:$A,0)),0,IF(HJ$1&lt;INDEX('Valo FX'!$R:$R,MATCH($A16,'Valo FX'!$A:$A,0)),INDEX(Base!$U:$U,MATCH($A16,Base!$A:$A,0)),IF(HJ$1=INDEX('Valo FX'!$R:$R,MATCH($A16,'Valo FX'!$A:$A,0)),INDEX(Base!$V:$V,MATCH($A16,Base!$A:$A,0)),0)))</f>
        <v>11.648244999999999</v>
      </c>
      <c r="HK16" s="21">
        <f>IF(HK$1&lt;INDEX('Valo FX'!$Q:$Q,MATCH($A16,'Valo FX'!$A:$A,0)),0,IF(HK$1&lt;INDEX('Valo FX'!$R:$R,MATCH($A16,'Valo FX'!$A:$A,0)),INDEX(Base!$U:$U,MATCH($A16,Base!$A:$A,0)),IF(HK$1=INDEX('Valo FX'!$R:$R,MATCH($A16,'Valo FX'!$A:$A,0)),INDEX(Base!$V:$V,MATCH($A16,Base!$A:$A,0)),0)))</f>
        <v>11.648244999999999</v>
      </c>
      <c r="HL16" s="21">
        <f>IF(HL$1&lt;INDEX('Valo FX'!$Q:$Q,MATCH($A16,'Valo FX'!$A:$A,0)),0,IF(HL$1&lt;INDEX('Valo FX'!$R:$R,MATCH($A16,'Valo FX'!$A:$A,0)),INDEX(Base!$U:$U,MATCH($A16,Base!$A:$A,0)),IF(HL$1=INDEX('Valo FX'!$R:$R,MATCH($A16,'Valo FX'!$A:$A,0)),INDEX(Base!$V:$V,MATCH($A16,Base!$A:$A,0)),0)))</f>
        <v>11.648244999999999</v>
      </c>
      <c r="HM16" s="21">
        <f>IF(HM$1&lt;INDEX('Valo FX'!$Q:$Q,MATCH($A16,'Valo FX'!$A:$A,0)),0,IF(HM$1&lt;INDEX('Valo FX'!$R:$R,MATCH($A16,'Valo FX'!$A:$A,0)),INDEX(Base!$U:$U,MATCH($A16,Base!$A:$A,0)),IF(HM$1=INDEX('Valo FX'!$R:$R,MATCH($A16,'Valo FX'!$A:$A,0)),INDEX(Base!$V:$V,MATCH($A16,Base!$A:$A,0)),0)))</f>
        <v>11.648244999999999</v>
      </c>
      <c r="HN16" s="21">
        <f>IF(HN$1&lt;INDEX('Valo FX'!$Q:$Q,MATCH($A16,'Valo FX'!$A:$A,0)),0,IF(HN$1&lt;INDEX('Valo FX'!$R:$R,MATCH($A16,'Valo FX'!$A:$A,0)),INDEX(Base!$U:$U,MATCH($A16,Base!$A:$A,0)),IF(HN$1=INDEX('Valo FX'!$R:$R,MATCH($A16,'Valo FX'!$A:$A,0)),INDEX(Base!$V:$V,MATCH($A16,Base!$A:$A,0)),0)))</f>
        <v>11.648244999999999</v>
      </c>
      <c r="HO16" s="21">
        <f>IF(HO$1&lt;INDEX('Valo FX'!$Q:$Q,MATCH($A16,'Valo FX'!$A:$A,0)),0,IF(HO$1&lt;INDEX('Valo FX'!$R:$R,MATCH($A16,'Valo FX'!$A:$A,0)),INDEX(Base!$U:$U,MATCH($A16,Base!$A:$A,0)),IF(HO$1=INDEX('Valo FX'!$R:$R,MATCH($A16,'Valo FX'!$A:$A,0)),INDEX(Base!$V:$V,MATCH($A16,Base!$A:$A,0)),0)))</f>
        <v>11.648244999999999</v>
      </c>
      <c r="HP16" s="21">
        <f>IF(HP$1&lt;INDEX('Valo FX'!$Q:$Q,MATCH($A16,'Valo FX'!$A:$A,0)),0,IF(HP$1&lt;INDEX('Valo FX'!$R:$R,MATCH($A16,'Valo FX'!$A:$A,0)),INDEX(Base!$U:$U,MATCH($A16,Base!$A:$A,0)),IF(HP$1=INDEX('Valo FX'!$R:$R,MATCH($A16,'Valo FX'!$A:$A,0)),INDEX(Base!$V:$V,MATCH($A16,Base!$A:$A,0)),0)))</f>
        <v>11.648244999999999</v>
      </c>
      <c r="HQ16" s="21">
        <f>IF(HQ$1&lt;INDEX('Valo FX'!$Q:$Q,MATCH($A16,'Valo FX'!$A:$A,0)),0,IF(HQ$1&lt;INDEX('Valo FX'!$R:$R,MATCH($A16,'Valo FX'!$A:$A,0)),INDEX(Base!$U:$U,MATCH($A16,Base!$A:$A,0)),IF(HQ$1=INDEX('Valo FX'!$R:$R,MATCH($A16,'Valo FX'!$A:$A,0)),INDEX(Base!$V:$V,MATCH($A16,Base!$A:$A,0)),0)))</f>
        <v>11.648244999999999</v>
      </c>
      <c r="HR16" s="21">
        <f>IF(HR$1&lt;INDEX('Valo FX'!$Q:$Q,MATCH($A16,'Valo FX'!$A:$A,0)),0,IF(HR$1&lt;INDEX('Valo FX'!$R:$R,MATCH($A16,'Valo FX'!$A:$A,0)),INDEX(Base!$U:$U,MATCH($A16,Base!$A:$A,0)),IF(HR$1=INDEX('Valo FX'!$R:$R,MATCH($A16,'Valo FX'!$A:$A,0)),INDEX(Base!$V:$V,MATCH($A16,Base!$A:$A,0)),0)))</f>
        <v>11.648244999999999</v>
      </c>
      <c r="HS16" s="21">
        <f>IF(HS$1&lt;INDEX('Valo FX'!$Q:$Q,MATCH($A16,'Valo FX'!$A:$A,0)),0,IF(HS$1&lt;INDEX('Valo FX'!$R:$R,MATCH($A16,'Valo FX'!$A:$A,0)),INDEX(Base!$U:$U,MATCH($A16,Base!$A:$A,0)),IF(HS$1=INDEX('Valo FX'!$R:$R,MATCH($A16,'Valo FX'!$A:$A,0)),INDEX(Base!$V:$V,MATCH($A16,Base!$A:$A,0)),0)))</f>
        <v>11.648244999999999</v>
      </c>
      <c r="HT16" s="21">
        <f>IF(HT$1&lt;INDEX('Valo FX'!$Q:$Q,MATCH($A16,'Valo FX'!$A:$A,0)),0,IF(HT$1&lt;INDEX('Valo FX'!$R:$R,MATCH($A16,'Valo FX'!$A:$A,0)),INDEX(Base!$U:$U,MATCH($A16,Base!$A:$A,0)),IF(HT$1=INDEX('Valo FX'!$R:$R,MATCH($A16,'Valo FX'!$A:$A,0)),INDEX(Base!$V:$V,MATCH($A16,Base!$A:$A,0)),0)))</f>
        <v>11.648244999999999</v>
      </c>
      <c r="HU16" s="21">
        <f>IF(HU$1&lt;INDEX('Valo FX'!$Q:$Q,MATCH($A16,'Valo FX'!$A:$A,0)),0,IF(HU$1&lt;INDEX('Valo FX'!$R:$R,MATCH($A16,'Valo FX'!$A:$A,0)),INDEX(Base!$U:$U,MATCH($A16,Base!$A:$A,0)),IF(HU$1=INDEX('Valo FX'!$R:$R,MATCH($A16,'Valo FX'!$A:$A,0)),INDEX(Base!$V:$V,MATCH($A16,Base!$A:$A,0)),0)))</f>
        <v>11.648244999999999</v>
      </c>
      <c r="HV16" s="21">
        <f>IF(HV$1&lt;INDEX('Valo FX'!$Q:$Q,MATCH($A16,'Valo FX'!$A:$A,0)),0,IF(HV$1&lt;INDEX('Valo FX'!$R:$R,MATCH($A16,'Valo FX'!$A:$A,0)),INDEX(Base!$U:$U,MATCH($A16,Base!$A:$A,0)),IF(HV$1=INDEX('Valo FX'!$R:$R,MATCH($A16,'Valo FX'!$A:$A,0)),INDEX(Base!$V:$V,MATCH($A16,Base!$A:$A,0)),0)))</f>
        <v>11.648244999999999</v>
      </c>
      <c r="HW16" s="21">
        <f>IF(HW$1&lt;INDEX('Valo FX'!$Q:$Q,MATCH($A16,'Valo FX'!$A:$A,0)),0,IF(HW$1&lt;INDEX('Valo FX'!$R:$R,MATCH($A16,'Valo FX'!$A:$A,0)),INDEX(Base!$U:$U,MATCH($A16,Base!$A:$A,0)),IF(HW$1=INDEX('Valo FX'!$R:$R,MATCH($A16,'Valo FX'!$A:$A,0)),INDEX(Base!$V:$V,MATCH($A16,Base!$A:$A,0)),0)))</f>
        <v>11.648244999999999</v>
      </c>
      <c r="HX16" s="21">
        <f>IF(HX$1&lt;INDEX('Valo FX'!$Q:$Q,MATCH($A16,'Valo FX'!$A:$A,0)),0,IF(HX$1&lt;INDEX('Valo FX'!$R:$R,MATCH($A16,'Valo FX'!$A:$A,0)),INDEX(Base!$U:$U,MATCH($A16,Base!$A:$A,0)),IF(HX$1=INDEX('Valo FX'!$R:$R,MATCH($A16,'Valo FX'!$A:$A,0)),INDEX(Base!$V:$V,MATCH($A16,Base!$A:$A,0)),0)))</f>
        <v>11.648244999999999</v>
      </c>
      <c r="HY16" s="21">
        <f>IF(HY$1&lt;INDEX('Valo FX'!$Q:$Q,MATCH($A16,'Valo FX'!$A:$A,0)),0,IF(HY$1&lt;INDEX('Valo FX'!$R:$R,MATCH($A16,'Valo FX'!$A:$A,0)),INDEX(Base!$U:$U,MATCH($A16,Base!$A:$A,0)),IF(HY$1=INDEX('Valo FX'!$R:$R,MATCH($A16,'Valo FX'!$A:$A,0)),INDEX(Base!$V:$V,MATCH($A16,Base!$A:$A,0)),0)))</f>
        <v>11.648244999999999</v>
      </c>
      <c r="HZ16" s="21">
        <f>IF(HZ$1&lt;INDEX('Valo FX'!$Q:$Q,MATCH($A16,'Valo FX'!$A:$A,0)),0,IF(HZ$1&lt;INDEX('Valo FX'!$R:$R,MATCH($A16,'Valo FX'!$A:$A,0)),INDEX(Base!$U:$U,MATCH($A16,Base!$A:$A,0)),IF(HZ$1=INDEX('Valo FX'!$R:$R,MATCH($A16,'Valo FX'!$A:$A,0)),INDEX(Base!$V:$V,MATCH($A16,Base!$A:$A,0)),0)))</f>
        <v>11.648244999999999</v>
      </c>
      <c r="IA16" s="21">
        <f>IF(IA$1&lt;INDEX('Valo FX'!$Q:$Q,MATCH($A16,'Valo FX'!$A:$A,0)),0,IF(IA$1&lt;INDEX('Valo FX'!$R:$R,MATCH($A16,'Valo FX'!$A:$A,0)),INDEX(Base!$U:$U,MATCH($A16,Base!$A:$A,0)),IF(IA$1=INDEX('Valo FX'!$R:$R,MATCH($A16,'Valo FX'!$A:$A,0)),INDEX(Base!$V:$V,MATCH($A16,Base!$A:$A,0)),0)))</f>
        <v>11.648244999999999</v>
      </c>
      <c r="IB16" s="21">
        <f>IF(IB$1&lt;INDEX('Valo FX'!$Q:$Q,MATCH($A16,'Valo FX'!$A:$A,0)),0,IF(IB$1&lt;INDEX('Valo FX'!$R:$R,MATCH($A16,'Valo FX'!$A:$A,0)),INDEX(Base!$U:$U,MATCH($A16,Base!$A:$A,0)),IF(IB$1=INDEX('Valo FX'!$R:$R,MATCH($A16,'Valo FX'!$A:$A,0)),INDEX(Base!$V:$V,MATCH($A16,Base!$A:$A,0)),0)))</f>
        <v>11.648244999999999</v>
      </c>
      <c r="IC16" s="21">
        <f>IF(IC$1&lt;INDEX('Valo FX'!$Q:$Q,MATCH($A16,'Valo FX'!$A:$A,0)),0,IF(IC$1&lt;INDEX('Valo FX'!$R:$R,MATCH($A16,'Valo FX'!$A:$A,0)),INDEX(Base!$U:$U,MATCH($A16,Base!$A:$A,0)),IF(IC$1=INDEX('Valo FX'!$R:$R,MATCH($A16,'Valo FX'!$A:$A,0)),INDEX(Base!$V:$V,MATCH($A16,Base!$A:$A,0)),0)))</f>
        <v>11.648244999999999</v>
      </c>
      <c r="ID16" s="21">
        <f>IF(ID$1&lt;INDEX('Valo FX'!$Q:$Q,MATCH($A16,'Valo FX'!$A:$A,0)),0,IF(ID$1&lt;INDEX('Valo FX'!$R:$R,MATCH($A16,'Valo FX'!$A:$A,0)),INDEX(Base!$U:$U,MATCH($A16,Base!$A:$A,0)),IF(ID$1=INDEX('Valo FX'!$R:$R,MATCH($A16,'Valo FX'!$A:$A,0)),INDEX(Base!$V:$V,MATCH($A16,Base!$A:$A,0)),0)))</f>
        <v>11.648244999999999</v>
      </c>
      <c r="IE16" s="21">
        <f>IF(IE$1&lt;INDEX('Valo FX'!$Q:$Q,MATCH($A16,'Valo FX'!$A:$A,0)),0,IF(IE$1&lt;INDEX('Valo FX'!$R:$R,MATCH($A16,'Valo FX'!$A:$A,0)),INDEX(Base!$U:$U,MATCH($A16,Base!$A:$A,0)),IF(IE$1=INDEX('Valo FX'!$R:$R,MATCH($A16,'Valo FX'!$A:$A,0)),INDEX(Base!$V:$V,MATCH($A16,Base!$A:$A,0)),0)))</f>
        <v>11.648244999999999</v>
      </c>
      <c r="IF16" s="21">
        <f>IF(IF$1&lt;INDEX('Valo FX'!$Q:$Q,MATCH($A16,'Valo FX'!$A:$A,0)),0,IF(IF$1&lt;INDEX('Valo FX'!$R:$R,MATCH($A16,'Valo FX'!$A:$A,0)),INDEX(Base!$U:$U,MATCH($A16,Base!$A:$A,0)),IF(IF$1=INDEX('Valo FX'!$R:$R,MATCH($A16,'Valo FX'!$A:$A,0)),INDEX(Base!$V:$V,MATCH($A16,Base!$A:$A,0)),0)))</f>
        <v>11.648244999999999</v>
      </c>
      <c r="IG16" s="21">
        <f>IF(IG$1&lt;INDEX('Valo FX'!$Q:$Q,MATCH($A16,'Valo FX'!$A:$A,0)),0,IF(IG$1&lt;INDEX('Valo FX'!$R:$R,MATCH($A16,'Valo FX'!$A:$A,0)),INDEX(Base!$U:$U,MATCH($A16,Base!$A:$A,0)),IF(IG$1=INDEX('Valo FX'!$R:$R,MATCH($A16,'Valo FX'!$A:$A,0)),INDEX(Base!$V:$V,MATCH($A16,Base!$A:$A,0)),0)))</f>
        <v>11.648244999999999</v>
      </c>
      <c r="IH16" s="21">
        <f>IF(IH$1&lt;INDEX('Valo FX'!$Q:$Q,MATCH($A16,'Valo FX'!$A:$A,0)),0,IF(IH$1&lt;INDEX('Valo FX'!$R:$R,MATCH($A16,'Valo FX'!$A:$A,0)),INDEX(Base!$U:$U,MATCH($A16,Base!$A:$A,0)),IF(IH$1=INDEX('Valo FX'!$R:$R,MATCH($A16,'Valo FX'!$A:$A,0)),INDEX(Base!$V:$V,MATCH($A16,Base!$A:$A,0)),0)))</f>
        <v>11.648244999999999</v>
      </c>
      <c r="II16" s="21">
        <f>IF(II$1&lt;INDEX('Valo FX'!$Q:$Q,MATCH($A16,'Valo FX'!$A:$A,0)),0,IF(II$1&lt;INDEX('Valo FX'!$R:$R,MATCH($A16,'Valo FX'!$A:$A,0)),INDEX(Base!$U:$U,MATCH($A16,Base!$A:$A,0)),IF(II$1=INDEX('Valo FX'!$R:$R,MATCH($A16,'Valo FX'!$A:$A,0)),INDEX(Base!$V:$V,MATCH($A16,Base!$A:$A,0)),0)))</f>
        <v>11.648244999999999</v>
      </c>
      <c r="IJ16" s="21">
        <f>IF(IJ$1&lt;INDEX('Valo FX'!$Q:$Q,MATCH($A16,'Valo FX'!$A:$A,0)),0,IF(IJ$1&lt;INDEX('Valo FX'!$R:$R,MATCH($A16,'Valo FX'!$A:$A,0)),INDEX(Base!$U:$U,MATCH($A16,Base!$A:$A,0)),IF(IJ$1=INDEX('Valo FX'!$R:$R,MATCH($A16,'Valo FX'!$A:$A,0)),INDEX(Base!$V:$V,MATCH($A16,Base!$A:$A,0)),0)))</f>
        <v>11.648244999999999</v>
      </c>
      <c r="IK16" s="21">
        <f>IF(IK$1&lt;INDEX('Valo FX'!$Q:$Q,MATCH($A16,'Valo FX'!$A:$A,0)),0,IF(IK$1&lt;INDEX('Valo FX'!$R:$R,MATCH($A16,'Valo FX'!$A:$A,0)),INDEX(Base!$U:$U,MATCH($A16,Base!$A:$A,0)),IF(IK$1=INDEX('Valo FX'!$R:$R,MATCH($A16,'Valo FX'!$A:$A,0)),INDEX(Base!$V:$V,MATCH($A16,Base!$A:$A,0)),0)))</f>
        <v>11.648244999999999</v>
      </c>
      <c r="IL16" s="21">
        <f>IF(IL$1&lt;INDEX('Valo FX'!$Q:$Q,MATCH($A16,'Valo FX'!$A:$A,0)),0,IF(IL$1&lt;INDEX('Valo FX'!$R:$R,MATCH($A16,'Valo FX'!$A:$A,0)),INDEX(Base!$U:$U,MATCH($A16,Base!$A:$A,0)),IF(IL$1=INDEX('Valo FX'!$R:$R,MATCH($A16,'Valo FX'!$A:$A,0)),INDEX(Base!$V:$V,MATCH($A16,Base!$A:$A,0)),0)))</f>
        <v>11.648244999999999</v>
      </c>
      <c r="IM16" s="21">
        <f>IF(IM$1&lt;INDEX('Valo FX'!$Q:$Q,MATCH($A16,'Valo FX'!$A:$A,0)),0,IF(IM$1&lt;INDEX('Valo FX'!$R:$R,MATCH($A16,'Valo FX'!$A:$A,0)),INDEX(Base!$U:$U,MATCH($A16,Base!$A:$A,0)),IF(IM$1=INDEX('Valo FX'!$R:$R,MATCH($A16,'Valo FX'!$A:$A,0)),INDEX(Base!$V:$V,MATCH($A16,Base!$A:$A,0)),0)))</f>
        <v>11.648244999999999</v>
      </c>
      <c r="IN16" s="21">
        <f>IF(IN$1&lt;INDEX('Valo FX'!$Q:$Q,MATCH($A16,'Valo FX'!$A:$A,0)),0,IF(IN$1&lt;INDEX('Valo FX'!$R:$R,MATCH($A16,'Valo FX'!$A:$A,0)),INDEX(Base!$U:$U,MATCH($A16,Base!$A:$A,0)),IF(IN$1=INDEX('Valo FX'!$R:$R,MATCH($A16,'Valo FX'!$A:$A,0)),INDEX(Base!$V:$V,MATCH($A16,Base!$A:$A,0)),0)))</f>
        <v>11.648244999999999</v>
      </c>
      <c r="IO16" s="21">
        <f>IF(IO$1&lt;INDEX('Valo FX'!$Q:$Q,MATCH($A16,'Valo FX'!$A:$A,0)),0,IF(IO$1&lt;INDEX('Valo FX'!$R:$R,MATCH($A16,'Valo FX'!$A:$A,0)),INDEX(Base!$U:$U,MATCH($A16,Base!$A:$A,0)),IF(IO$1=INDEX('Valo FX'!$R:$R,MATCH($A16,'Valo FX'!$A:$A,0)),INDEX(Base!$V:$V,MATCH($A16,Base!$A:$A,0)),0)))</f>
        <v>11.648244999999999</v>
      </c>
      <c r="IP16" s="21">
        <f>IF(IP$1&lt;INDEX('Valo FX'!$Q:$Q,MATCH($A16,'Valo FX'!$A:$A,0)),0,IF(IP$1&lt;INDEX('Valo FX'!$R:$R,MATCH($A16,'Valo FX'!$A:$A,0)),INDEX(Base!$U:$U,MATCH($A16,Base!$A:$A,0)),IF(IP$1=INDEX('Valo FX'!$R:$R,MATCH($A16,'Valo FX'!$A:$A,0)),INDEX(Base!$V:$V,MATCH($A16,Base!$A:$A,0)),0)))</f>
        <v>11.648244999999999</v>
      </c>
      <c r="IQ16" s="21">
        <f>IF(IQ$1&lt;INDEX('Valo FX'!$Q:$Q,MATCH($A16,'Valo FX'!$A:$A,0)),0,IF(IQ$1&lt;INDEX('Valo FX'!$R:$R,MATCH($A16,'Valo FX'!$A:$A,0)),INDEX(Base!$U:$U,MATCH($A16,Base!$A:$A,0)),IF(IQ$1=INDEX('Valo FX'!$R:$R,MATCH($A16,'Valo FX'!$A:$A,0)),INDEX(Base!$V:$V,MATCH($A16,Base!$A:$A,0)),0)))</f>
        <v>11.648244999999999</v>
      </c>
      <c r="IR16" s="21">
        <f>IF(IR$1&lt;INDEX('Valo FX'!$Q:$Q,MATCH($A16,'Valo FX'!$A:$A,0)),0,IF(IR$1&lt;INDEX('Valo FX'!$R:$R,MATCH($A16,'Valo FX'!$A:$A,0)),INDEX(Base!$U:$U,MATCH($A16,Base!$A:$A,0)),IF(IR$1=INDEX('Valo FX'!$R:$R,MATCH($A16,'Valo FX'!$A:$A,0)),INDEX(Base!$V:$V,MATCH($A16,Base!$A:$A,0)),0)))</f>
        <v>11.648244999999999</v>
      </c>
      <c r="IS16" s="21">
        <f>IF(IS$1&lt;INDEX('Valo FX'!$Q:$Q,MATCH($A16,'Valo FX'!$A:$A,0)),0,IF(IS$1&lt;INDEX('Valo FX'!$R:$R,MATCH($A16,'Valo FX'!$A:$A,0)),INDEX(Base!$U:$U,MATCH($A16,Base!$A:$A,0)),IF(IS$1=INDEX('Valo FX'!$R:$R,MATCH($A16,'Valo FX'!$A:$A,0)),INDEX(Base!$V:$V,MATCH($A16,Base!$A:$A,0)),0)))</f>
        <v>11.648244999999999</v>
      </c>
      <c r="IT16" s="21">
        <f>IF(IT$1&lt;INDEX('Valo FX'!$Q:$Q,MATCH($A16,'Valo FX'!$A:$A,0)),0,IF(IT$1&lt;INDEX('Valo FX'!$R:$R,MATCH($A16,'Valo FX'!$A:$A,0)),INDEX(Base!$U:$U,MATCH($A16,Base!$A:$A,0)),IF(IT$1=INDEX('Valo FX'!$R:$R,MATCH($A16,'Valo FX'!$A:$A,0)),INDEX(Base!$V:$V,MATCH($A16,Base!$A:$A,0)),0)))</f>
        <v>11.648244999999999</v>
      </c>
      <c r="IU16" s="21">
        <f>IF(IU$1&lt;INDEX('Valo FX'!$Q:$Q,MATCH($A16,'Valo FX'!$A:$A,0)),0,IF(IU$1&lt;INDEX('Valo FX'!$R:$R,MATCH($A16,'Valo FX'!$A:$A,0)),INDEX(Base!$U:$U,MATCH($A16,Base!$A:$A,0)),IF(IU$1=INDEX('Valo FX'!$R:$R,MATCH($A16,'Valo FX'!$A:$A,0)),INDEX(Base!$V:$V,MATCH($A16,Base!$A:$A,0)),0)))</f>
        <v>11.648244999999999</v>
      </c>
      <c r="IV16" s="21">
        <f>IF(IV$1&lt;INDEX('Valo FX'!$Q:$Q,MATCH($A16,'Valo FX'!$A:$A,0)),0,IF(IV$1&lt;INDEX('Valo FX'!$R:$R,MATCH($A16,'Valo FX'!$A:$A,0)),INDEX(Base!$U:$U,MATCH($A16,Base!$A:$A,0)),IF(IV$1=INDEX('Valo FX'!$R:$R,MATCH($A16,'Valo FX'!$A:$A,0)),INDEX(Base!$V:$V,MATCH($A16,Base!$A:$A,0)),0)))</f>
        <v>11.648244999999999</v>
      </c>
      <c r="IW16" s="21">
        <f>IF(IW$1&lt;INDEX('Valo FX'!$Q:$Q,MATCH($A16,'Valo FX'!$A:$A,0)),0,IF(IW$1&lt;INDEX('Valo FX'!$R:$R,MATCH($A16,'Valo FX'!$A:$A,0)),INDEX(Base!$U:$U,MATCH($A16,Base!$A:$A,0)),IF(IW$1=INDEX('Valo FX'!$R:$R,MATCH($A16,'Valo FX'!$A:$A,0)),INDEX(Base!$V:$V,MATCH($A16,Base!$A:$A,0)),0)))</f>
        <v>11.648244999999999</v>
      </c>
      <c r="IX16" s="21">
        <f>IF(IX$1&lt;INDEX('Valo FX'!$Q:$Q,MATCH($A16,'Valo FX'!$A:$A,0)),0,IF(IX$1&lt;INDEX('Valo FX'!$R:$R,MATCH($A16,'Valo FX'!$A:$A,0)),INDEX(Base!$U:$U,MATCH($A16,Base!$A:$A,0)),IF(IX$1=INDEX('Valo FX'!$R:$R,MATCH($A16,'Valo FX'!$A:$A,0)),INDEX(Base!$V:$V,MATCH($A16,Base!$A:$A,0)),0)))</f>
        <v>11.648244999999999</v>
      </c>
      <c r="IY16" s="21">
        <f>IF(IY$1&lt;INDEX('Valo FX'!$Q:$Q,MATCH($A16,'Valo FX'!$A:$A,0)),0,IF(IY$1&lt;INDEX('Valo FX'!$R:$R,MATCH($A16,'Valo FX'!$A:$A,0)),INDEX(Base!$U:$U,MATCH($A16,Base!$A:$A,0)),IF(IY$1=INDEX('Valo FX'!$R:$R,MATCH($A16,'Valo FX'!$A:$A,0)),INDEX(Base!$V:$V,MATCH($A16,Base!$A:$A,0)),0)))</f>
        <v>11.648244999999999</v>
      </c>
      <c r="IZ16" s="21">
        <f>IF(IZ$1&lt;INDEX('Valo FX'!$Q:$Q,MATCH($A16,'Valo FX'!$A:$A,0)),0,IF(IZ$1&lt;INDEX('Valo FX'!$R:$R,MATCH($A16,'Valo FX'!$A:$A,0)),INDEX(Base!$U:$U,MATCH($A16,Base!$A:$A,0)),IF(IZ$1=INDEX('Valo FX'!$R:$R,MATCH($A16,'Valo FX'!$A:$A,0)),INDEX(Base!$V:$V,MATCH($A16,Base!$A:$A,0)),0)))</f>
        <v>11.648244999999999</v>
      </c>
      <c r="JA16" s="21">
        <f>IF(JA$1&lt;INDEX('Valo FX'!$Q:$Q,MATCH($A16,'Valo FX'!$A:$A,0)),0,IF(JA$1&lt;INDEX('Valo FX'!$R:$R,MATCH($A16,'Valo FX'!$A:$A,0)),INDEX(Base!$U:$U,MATCH($A16,Base!$A:$A,0)),IF(JA$1=INDEX('Valo FX'!$R:$R,MATCH($A16,'Valo FX'!$A:$A,0)),INDEX(Base!$V:$V,MATCH($A16,Base!$A:$A,0)),0)))</f>
        <v>11.648244999999999</v>
      </c>
      <c r="JB16" s="21">
        <f>IF(JB$1&lt;INDEX('Valo FX'!$Q:$Q,MATCH($A16,'Valo FX'!$A:$A,0)),0,IF(JB$1&lt;INDEX('Valo FX'!$R:$R,MATCH($A16,'Valo FX'!$A:$A,0)),INDEX(Base!$U:$U,MATCH($A16,Base!$A:$A,0)),IF(JB$1=INDEX('Valo FX'!$R:$R,MATCH($A16,'Valo FX'!$A:$A,0)),INDEX(Base!$V:$V,MATCH($A16,Base!$A:$A,0)),0)))</f>
        <v>11.648244999999999</v>
      </c>
      <c r="JC16" s="21">
        <f>IF(JC$1&lt;INDEX('Valo FX'!$Q:$Q,MATCH($A16,'Valo FX'!$A:$A,0)),0,IF(JC$1&lt;INDEX('Valo FX'!$R:$R,MATCH($A16,'Valo FX'!$A:$A,0)),INDEX(Base!$U:$U,MATCH($A16,Base!$A:$A,0)),IF(JC$1=INDEX('Valo FX'!$R:$R,MATCH($A16,'Valo FX'!$A:$A,0)),INDEX(Base!$V:$V,MATCH($A16,Base!$A:$A,0)),0)))</f>
        <v>11.648244999999999</v>
      </c>
      <c r="JD16" s="21">
        <f>IF(JD$1&lt;INDEX('Valo FX'!$Q:$Q,MATCH($A16,'Valo FX'!$A:$A,0)),0,IF(JD$1&lt;INDEX('Valo FX'!$R:$R,MATCH($A16,'Valo FX'!$A:$A,0)),INDEX(Base!$U:$U,MATCH($A16,Base!$A:$A,0)),IF(JD$1=INDEX('Valo FX'!$R:$R,MATCH($A16,'Valo FX'!$A:$A,0)),INDEX(Base!$V:$V,MATCH($A16,Base!$A:$A,0)),0)))</f>
        <v>11.648244999999999</v>
      </c>
      <c r="JE16" s="21">
        <f>IF(JE$1&lt;INDEX('Valo FX'!$Q:$Q,MATCH($A16,'Valo FX'!$A:$A,0)),0,IF(JE$1&lt;INDEX('Valo FX'!$R:$R,MATCH($A16,'Valo FX'!$A:$A,0)),INDEX(Base!$U:$U,MATCH($A16,Base!$A:$A,0)),IF(JE$1=INDEX('Valo FX'!$R:$R,MATCH($A16,'Valo FX'!$A:$A,0)),INDEX(Base!$V:$V,MATCH($A16,Base!$A:$A,0)),0)))</f>
        <v>11.648244999999999</v>
      </c>
      <c r="JF16" s="21">
        <f>IF(JF$1&lt;INDEX('Valo FX'!$Q:$Q,MATCH($A16,'Valo FX'!$A:$A,0)),0,IF(JF$1&lt;INDEX('Valo FX'!$R:$R,MATCH($A16,'Valo FX'!$A:$A,0)),INDEX(Base!$U:$U,MATCH($A16,Base!$A:$A,0)),IF(JF$1=INDEX('Valo FX'!$R:$R,MATCH($A16,'Valo FX'!$A:$A,0)),INDEX(Base!$V:$V,MATCH($A16,Base!$A:$A,0)),0)))</f>
        <v>11.648244999999999</v>
      </c>
      <c r="JG16" s="21">
        <f>IF(JG$1&lt;INDEX('Valo FX'!$Q:$Q,MATCH($A16,'Valo FX'!$A:$A,0)),0,IF(JG$1&lt;INDEX('Valo FX'!$R:$R,MATCH($A16,'Valo FX'!$A:$A,0)),INDEX(Base!$U:$U,MATCH($A16,Base!$A:$A,0)),IF(JG$1=INDEX('Valo FX'!$R:$R,MATCH($A16,'Valo FX'!$A:$A,0)),INDEX(Base!$V:$V,MATCH($A16,Base!$A:$A,0)),0)))</f>
        <v>11.648244999999999</v>
      </c>
      <c r="JH16" s="21">
        <f>IF(JH$1&lt;INDEX('Valo FX'!$Q:$Q,MATCH($A16,'Valo FX'!$A:$A,0)),0,IF(JH$1&lt;INDEX('Valo FX'!$R:$R,MATCH($A16,'Valo FX'!$A:$A,0)),INDEX(Base!$U:$U,MATCH($A16,Base!$A:$A,0)),IF(JH$1=INDEX('Valo FX'!$R:$R,MATCH($A16,'Valo FX'!$A:$A,0)),INDEX(Base!$V:$V,MATCH($A16,Base!$A:$A,0)),0)))</f>
        <v>11.648244999999999</v>
      </c>
      <c r="JI16" s="21">
        <f>IF(JI$1&lt;INDEX('Valo FX'!$Q:$Q,MATCH($A16,'Valo FX'!$A:$A,0)),0,IF(JI$1&lt;INDEX('Valo FX'!$R:$R,MATCH($A16,'Valo FX'!$A:$A,0)),INDEX(Base!$U:$U,MATCH($A16,Base!$A:$A,0)),IF(JI$1=INDEX('Valo FX'!$R:$R,MATCH($A16,'Valo FX'!$A:$A,0)),INDEX(Base!$V:$V,MATCH($A16,Base!$A:$A,0)),0)))</f>
        <v>11.648244999999999</v>
      </c>
      <c r="JJ16" s="21">
        <f>IF(JJ$1&lt;INDEX('Valo FX'!$Q:$Q,MATCH($A16,'Valo FX'!$A:$A,0)),0,IF(JJ$1&lt;INDEX('Valo FX'!$R:$R,MATCH($A16,'Valo FX'!$A:$A,0)),INDEX(Base!$U:$U,MATCH($A16,Base!$A:$A,0)),IF(JJ$1=INDEX('Valo FX'!$R:$R,MATCH($A16,'Valo FX'!$A:$A,0)),INDEX(Base!$V:$V,MATCH($A16,Base!$A:$A,0)),0)))</f>
        <v>11.648244999999999</v>
      </c>
      <c r="JK16" s="21">
        <f>IF(JK$1&lt;INDEX('Valo FX'!$Q:$Q,MATCH($A16,'Valo FX'!$A:$A,0)),0,IF(JK$1&lt;INDEX('Valo FX'!$R:$R,MATCH($A16,'Valo FX'!$A:$A,0)),INDEX(Base!$U:$U,MATCH($A16,Base!$A:$A,0)),IF(JK$1=INDEX('Valo FX'!$R:$R,MATCH($A16,'Valo FX'!$A:$A,0)),INDEX(Base!$V:$V,MATCH($A16,Base!$A:$A,0)),0)))</f>
        <v>11.648244999999999</v>
      </c>
      <c r="JL16" s="21">
        <f>IF(JL$1&lt;INDEX('Valo FX'!$Q:$Q,MATCH($A16,'Valo FX'!$A:$A,0)),0,IF(JL$1&lt;INDEX('Valo FX'!$R:$R,MATCH($A16,'Valo FX'!$A:$A,0)),INDEX(Base!$U:$U,MATCH($A16,Base!$A:$A,0)),IF(JL$1=INDEX('Valo FX'!$R:$R,MATCH($A16,'Valo FX'!$A:$A,0)),INDEX(Base!$V:$V,MATCH($A16,Base!$A:$A,0)),0)))</f>
        <v>11.648244999999999</v>
      </c>
      <c r="JM16" s="21">
        <f>IF(JM$1&lt;INDEX('Valo FX'!$Q:$Q,MATCH($A16,'Valo FX'!$A:$A,0)),0,IF(JM$1&lt;INDEX('Valo FX'!$R:$R,MATCH($A16,'Valo FX'!$A:$A,0)),INDEX(Base!$U:$U,MATCH($A16,Base!$A:$A,0)),IF(JM$1=INDEX('Valo FX'!$R:$R,MATCH($A16,'Valo FX'!$A:$A,0)),INDEX(Base!$V:$V,MATCH($A16,Base!$A:$A,0)),0)))</f>
        <v>11.648244999999999</v>
      </c>
      <c r="JN16" s="21">
        <f>IF(JN$1&lt;INDEX('Valo FX'!$Q:$Q,MATCH($A16,'Valo FX'!$A:$A,0)),0,IF(JN$1&lt;INDEX('Valo FX'!$R:$R,MATCH($A16,'Valo FX'!$A:$A,0)),INDEX(Base!$U:$U,MATCH($A16,Base!$A:$A,0)),IF(JN$1=INDEX('Valo FX'!$R:$R,MATCH($A16,'Valo FX'!$A:$A,0)),INDEX(Base!$V:$V,MATCH($A16,Base!$A:$A,0)),0)))</f>
        <v>11.648244999999999</v>
      </c>
      <c r="JO16" s="21">
        <f>IF(JO$1&lt;INDEX('Valo FX'!$Q:$Q,MATCH($A16,'Valo FX'!$A:$A,0)),0,IF(JO$1&lt;INDEX('Valo FX'!$R:$R,MATCH($A16,'Valo FX'!$A:$A,0)),INDEX(Base!$U:$U,MATCH($A16,Base!$A:$A,0)),IF(JO$1=INDEX('Valo FX'!$R:$R,MATCH($A16,'Valo FX'!$A:$A,0)),INDEX(Base!$V:$V,MATCH($A16,Base!$A:$A,0)),0)))</f>
        <v>11.648244999999999</v>
      </c>
      <c r="JP16" s="21">
        <f>IF(JP$1&lt;INDEX('Valo FX'!$Q:$Q,MATCH($A16,'Valo FX'!$A:$A,0)),0,IF(JP$1&lt;INDEX('Valo FX'!$R:$R,MATCH($A16,'Valo FX'!$A:$A,0)),INDEX(Base!$U:$U,MATCH($A16,Base!$A:$A,0)),IF(JP$1=INDEX('Valo FX'!$R:$R,MATCH($A16,'Valo FX'!$A:$A,0)),INDEX(Base!$V:$V,MATCH($A16,Base!$A:$A,0)),0)))</f>
        <v>11.648244999999999</v>
      </c>
      <c r="JQ16" s="21">
        <f>IF(JQ$1&lt;INDEX('Valo FX'!$Q:$Q,MATCH($A16,'Valo FX'!$A:$A,0)),0,IF(JQ$1&lt;INDEX('Valo FX'!$R:$R,MATCH($A16,'Valo FX'!$A:$A,0)),INDEX(Base!$U:$U,MATCH($A16,Base!$A:$A,0)),IF(JQ$1=INDEX('Valo FX'!$R:$R,MATCH($A16,'Valo FX'!$A:$A,0)),INDEX(Base!$V:$V,MATCH($A16,Base!$A:$A,0)),0)))</f>
        <v>11.648244999999999</v>
      </c>
      <c r="JR16" s="21">
        <f>IF(JR$1&lt;INDEX('Valo FX'!$Q:$Q,MATCH($A16,'Valo FX'!$A:$A,0)),0,IF(JR$1&lt;INDEX('Valo FX'!$R:$R,MATCH($A16,'Valo FX'!$A:$A,0)),INDEX(Base!$U:$U,MATCH($A16,Base!$A:$A,0)),IF(JR$1=INDEX('Valo FX'!$R:$R,MATCH($A16,'Valo FX'!$A:$A,0)),INDEX(Base!$V:$V,MATCH($A16,Base!$A:$A,0)),0)))</f>
        <v>11.648244999999999</v>
      </c>
      <c r="JS16" s="21">
        <f>IF(JS$1&lt;INDEX('Valo FX'!$Q:$Q,MATCH($A16,'Valo FX'!$A:$A,0)),0,IF(JS$1&lt;INDEX('Valo FX'!$R:$R,MATCH($A16,'Valo FX'!$A:$A,0)),INDEX(Base!$U:$U,MATCH($A16,Base!$A:$A,0)),IF(JS$1=INDEX('Valo FX'!$R:$R,MATCH($A16,'Valo FX'!$A:$A,0)),INDEX(Base!$V:$V,MATCH($A16,Base!$A:$A,0)),0)))</f>
        <v>11.648244999999999</v>
      </c>
      <c r="JT16" s="21">
        <f>IF(JT$1&lt;INDEX('Valo FX'!$Q:$Q,MATCH($A16,'Valo FX'!$A:$A,0)),0,IF(JT$1&lt;INDEX('Valo FX'!$R:$R,MATCH($A16,'Valo FX'!$A:$A,0)),INDEX(Base!$U:$U,MATCH($A16,Base!$A:$A,0)),IF(JT$1=INDEX('Valo FX'!$R:$R,MATCH($A16,'Valo FX'!$A:$A,0)),INDEX(Base!$V:$V,MATCH($A16,Base!$A:$A,0)),0)))</f>
        <v>11.648244999999999</v>
      </c>
      <c r="JU16" s="21">
        <f>IF(JU$1&lt;INDEX('Valo FX'!$Q:$Q,MATCH($A16,'Valo FX'!$A:$A,0)),0,IF(JU$1&lt;INDEX('Valo FX'!$R:$R,MATCH($A16,'Valo FX'!$A:$A,0)),INDEX(Base!$U:$U,MATCH($A16,Base!$A:$A,0)),IF(JU$1=INDEX('Valo FX'!$R:$R,MATCH($A16,'Valo FX'!$A:$A,0)),INDEX(Base!$V:$V,MATCH($A16,Base!$A:$A,0)),0)))</f>
        <v>11.648244999999999</v>
      </c>
      <c r="JV16" s="21">
        <f>IF(JV$1&lt;INDEX('Valo FX'!$Q:$Q,MATCH($A16,'Valo FX'!$A:$A,0)),0,IF(JV$1&lt;INDEX('Valo FX'!$R:$R,MATCH($A16,'Valo FX'!$A:$A,0)),INDEX(Base!$U:$U,MATCH($A16,Base!$A:$A,0)),IF(JV$1=INDEX('Valo FX'!$R:$R,MATCH($A16,'Valo FX'!$A:$A,0)),INDEX(Base!$V:$V,MATCH($A16,Base!$A:$A,0)),0)))</f>
        <v>11.648244999999999</v>
      </c>
      <c r="JW16" s="21">
        <f>IF(JW$1&lt;INDEX('Valo FX'!$Q:$Q,MATCH($A16,'Valo FX'!$A:$A,0)),0,IF(JW$1&lt;INDEX('Valo FX'!$R:$R,MATCH($A16,'Valo FX'!$A:$A,0)),INDEX(Base!$U:$U,MATCH($A16,Base!$A:$A,0)),IF(JW$1=INDEX('Valo FX'!$R:$R,MATCH($A16,'Valo FX'!$A:$A,0)),INDEX(Base!$V:$V,MATCH($A16,Base!$A:$A,0)),0)))</f>
        <v>11.648244999999999</v>
      </c>
      <c r="JX16" s="21">
        <f>IF(JX$1&lt;INDEX('Valo FX'!$Q:$Q,MATCH($A16,'Valo FX'!$A:$A,0)),0,IF(JX$1&lt;INDEX('Valo FX'!$R:$R,MATCH($A16,'Valo FX'!$A:$A,0)),INDEX(Base!$U:$U,MATCH($A16,Base!$A:$A,0)),IF(JX$1=INDEX('Valo FX'!$R:$R,MATCH($A16,'Valo FX'!$A:$A,0)),INDEX(Base!$V:$V,MATCH($A16,Base!$A:$A,0)),0)))</f>
        <v>11.648244999999999</v>
      </c>
      <c r="JY16" s="21">
        <f>IF(JY$1&lt;INDEX('Valo FX'!$Q:$Q,MATCH($A16,'Valo FX'!$A:$A,0)),0,IF(JY$1&lt;INDEX('Valo FX'!$R:$R,MATCH($A16,'Valo FX'!$A:$A,0)),INDEX(Base!$U:$U,MATCH($A16,Base!$A:$A,0)),IF(JY$1=INDEX('Valo FX'!$R:$R,MATCH($A16,'Valo FX'!$A:$A,0)),INDEX(Base!$V:$V,MATCH($A16,Base!$A:$A,0)),0)))</f>
        <v>11.648244999999999</v>
      </c>
      <c r="JZ16" s="21">
        <f>IF(JZ$1&lt;INDEX('Valo FX'!$Q:$Q,MATCH($A16,'Valo FX'!$A:$A,0)),0,IF(JZ$1&lt;INDEX('Valo FX'!$R:$R,MATCH($A16,'Valo FX'!$A:$A,0)),INDEX(Base!$U:$U,MATCH($A16,Base!$A:$A,0)),IF(JZ$1=INDEX('Valo FX'!$R:$R,MATCH($A16,'Valo FX'!$A:$A,0)),INDEX(Base!$V:$V,MATCH($A16,Base!$A:$A,0)),0)))</f>
        <v>11.648244999999999</v>
      </c>
      <c r="KA16" s="21">
        <f>IF(KA$1&lt;INDEX('Valo FX'!$Q:$Q,MATCH($A16,'Valo FX'!$A:$A,0)),0,IF(KA$1&lt;INDEX('Valo FX'!$R:$R,MATCH($A16,'Valo FX'!$A:$A,0)),INDEX(Base!$U:$U,MATCH($A16,Base!$A:$A,0)),IF(KA$1=INDEX('Valo FX'!$R:$R,MATCH($A16,'Valo FX'!$A:$A,0)),INDEX(Base!$V:$V,MATCH($A16,Base!$A:$A,0)),0)))</f>
        <v>11.648244999999999</v>
      </c>
      <c r="KB16" s="21">
        <f>IF(KB$1&lt;INDEX('Valo FX'!$Q:$Q,MATCH($A16,'Valo FX'!$A:$A,0)),0,IF(KB$1&lt;INDEX('Valo FX'!$R:$R,MATCH($A16,'Valo FX'!$A:$A,0)),INDEX(Base!$U:$U,MATCH($A16,Base!$A:$A,0)),IF(KB$1=INDEX('Valo FX'!$R:$R,MATCH($A16,'Valo FX'!$A:$A,0)),INDEX(Base!$V:$V,MATCH($A16,Base!$A:$A,0)),0)))</f>
        <v>11.648244999999999</v>
      </c>
      <c r="KC16" s="21">
        <f>IF(KC$1&lt;INDEX('Valo FX'!$Q:$Q,MATCH($A16,'Valo FX'!$A:$A,0)),0,IF(KC$1&lt;INDEX('Valo FX'!$R:$R,MATCH($A16,'Valo FX'!$A:$A,0)),INDEX(Base!$U:$U,MATCH($A16,Base!$A:$A,0)),IF(KC$1=INDEX('Valo FX'!$R:$R,MATCH($A16,'Valo FX'!$A:$A,0)),INDEX(Base!$V:$V,MATCH($A16,Base!$A:$A,0)),0)))</f>
        <v>11.648244999999999</v>
      </c>
      <c r="KD16" s="21">
        <f>IF(KD$1&lt;INDEX('Valo FX'!$Q:$Q,MATCH($A16,'Valo FX'!$A:$A,0)),0,IF(KD$1&lt;INDEX('Valo FX'!$R:$R,MATCH($A16,'Valo FX'!$A:$A,0)),INDEX(Base!$U:$U,MATCH($A16,Base!$A:$A,0)),IF(KD$1=INDEX('Valo FX'!$R:$R,MATCH($A16,'Valo FX'!$A:$A,0)),INDEX(Base!$V:$V,MATCH($A16,Base!$A:$A,0)),0)))</f>
        <v>11.648244999999999</v>
      </c>
      <c r="KE16" s="21">
        <f>IF(KE$1&lt;INDEX('Valo FX'!$Q:$Q,MATCH($A16,'Valo FX'!$A:$A,0)),0,IF(KE$1&lt;INDEX('Valo FX'!$R:$R,MATCH($A16,'Valo FX'!$A:$A,0)),INDEX(Base!$U:$U,MATCH($A16,Base!$A:$A,0)),IF(KE$1=INDEX('Valo FX'!$R:$R,MATCH($A16,'Valo FX'!$A:$A,0)),INDEX(Base!$V:$V,MATCH($A16,Base!$A:$A,0)),0)))</f>
        <v>11.648244999999999</v>
      </c>
      <c r="KF16" s="21">
        <f>IF(KF$1&lt;INDEX('Valo FX'!$Q:$Q,MATCH($A16,'Valo FX'!$A:$A,0)),0,IF(KF$1&lt;INDEX('Valo FX'!$R:$R,MATCH($A16,'Valo FX'!$A:$A,0)),INDEX(Base!$U:$U,MATCH($A16,Base!$A:$A,0)),IF(KF$1=INDEX('Valo FX'!$R:$R,MATCH($A16,'Valo FX'!$A:$A,0)),INDEX(Base!$V:$V,MATCH($A16,Base!$A:$A,0)),0)))</f>
        <v>11.648244999999999</v>
      </c>
      <c r="KG16" s="21">
        <f>IF(KG$1&lt;INDEX('Valo FX'!$Q:$Q,MATCH($A16,'Valo FX'!$A:$A,0)),0,IF(KG$1&lt;INDEX('Valo FX'!$R:$R,MATCH($A16,'Valo FX'!$A:$A,0)),INDEX(Base!$U:$U,MATCH($A16,Base!$A:$A,0)),IF(KG$1=INDEX('Valo FX'!$R:$R,MATCH($A16,'Valo FX'!$A:$A,0)),INDEX(Base!$V:$V,MATCH($A16,Base!$A:$A,0)),0)))</f>
        <v>11.648244999999999</v>
      </c>
      <c r="KH16" s="21">
        <f>IF(KH$1&lt;INDEX('Valo FX'!$Q:$Q,MATCH($A16,'Valo FX'!$A:$A,0)),0,IF(KH$1&lt;INDEX('Valo FX'!$R:$R,MATCH($A16,'Valo FX'!$A:$A,0)),INDEX(Base!$U:$U,MATCH($A16,Base!$A:$A,0)),IF(KH$1=INDEX('Valo FX'!$R:$R,MATCH($A16,'Valo FX'!$A:$A,0)),INDEX(Base!$V:$V,MATCH($A16,Base!$A:$A,0)),0)))</f>
        <v>11.648244999999999</v>
      </c>
      <c r="KI16" s="21">
        <f>IF(KI$1&lt;INDEX('Valo FX'!$Q:$Q,MATCH($A16,'Valo FX'!$A:$A,0)),0,IF(KI$1&lt;INDEX('Valo FX'!$R:$R,MATCH($A16,'Valo FX'!$A:$A,0)),INDEX(Base!$U:$U,MATCH($A16,Base!$A:$A,0)),IF(KI$1=INDEX('Valo FX'!$R:$R,MATCH($A16,'Valo FX'!$A:$A,0)),INDEX(Base!$V:$V,MATCH($A16,Base!$A:$A,0)),0)))</f>
        <v>11.648244999999999</v>
      </c>
      <c r="KJ16" s="21">
        <f>IF(KJ$1&lt;INDEX('Valo FX'!$Q:$Q,MATCH($A16,'Valo FX'!$A:$A,0)),0,IF(KJ$1&lt;INDEX('Valo FX'!$R:$R,MATCH($A16,'Valo FX'!$A:$A,0)),INDEX(Base!$U:$U,MATCH($A16,Base!$A:$A,0)),IF(KJ$1=INDEX('Valo FX'!$R:$R,MATCH($A16,'Valo FX'!$A:$A,0)),INDEX(Base!$V:$V,MATCH($A16,Base!$A:$A,0)),0)))</f>
        <v>11.648244999999999</v>
      </c>
      <c r="KK16" s="21">
        <f>IF(KK$1&lt;INDEX('Valo FX'!$Q:$Q,MATCH($A16,'Valo FX'!$A:$A,0)),0,IF(KK$1&lt;INDEX('Valo FX'!$R:$R,MATCH($A16,'Valo FX'!$A:$A,0)),INDEX(Base!$U:$U,MATCH($A16,Base!$A:$A,0)),IF(KK$1=INDEX('Valo FX'!$R:$R,MATCH($A16,'Valo FX'!$A:$A,0)),INDEX(Base!$V:$V,MATCH($A16,Base!$A:$A,0)),0)))</f>
        <v>11.648244999999999</v>
      </c>
      <c r="KL16" s="21">
        <f>IF(KL$1&lt;INDEX('Valo FX'!$Q:$Q,MATCH($A16,'Valo FX'!$A:$A,0)),0,IF(KL$1&lt;INDEX('Valo FX'!$R:$R,MATCH($A16,'Valo FX'!$A:$A,0)),INDEX(Base!$U:$U,MATCH($A16,Base!$A:$A,0)),IF(KL$1=INDEX('Valo FX'!$R:$R,MATCH($A16,'Valo FX'!$A:$A,0)),INDEX(Base!$V:$V,MATCH($A16,Base!$A:$A,0)),0)))</f>
        <v>11.648244999999999</v>
      </c>
      <c r="KM16" s="21">
        <f>IF(KM$1&lt;INDEX('Valo FX'!$Q:$Q,MATCH($A16,'Valo FX'!$A:$A,0)),0,IF(KM$1&lt;INDEX('Valo FX'!$R:$R,MATCH($A16,'Valo FX'!$A:$A,0)),INDEX(Base!$U:$U,MATCH($A16,Base!$A:$A,0)),IF(KM$1=INDEX('Valo FX'!$R:$R,MATCH($A16,'Valo FX'!$A:$A,0)),INDEX(Base!$V:$V,MATCH($A16,Base!$A:$A,0)),0)))</f>
        <v>11.648244999999999</v>
      </c>
      <c r="KN16" s="21">
        <f>IF(KN$1&lt;INDEX('Valo FX'!$Q:$Q,MATCH($A16,'Valo FX'!$A:$A,0)),0,IF(KN$1&lt;INDEX('Valo FX'!$R:$R,MATCH($A16,'Valo FX'!$A:$A,0)),INDEX(Base!$U:$U,MATCH($A16,Base!$A:$A,0)),IF(KN$1=INDEX('Valo FX'!$R:$R,MATCH($A16,'Valo FX'!$A:$A,0)),INDEX(Base!$V:$V,MATCH($A16,Base!$A:$A,0)),0)))</f>
        <v>11.648244999999999</v>
      </c>
      <c r="KO16" s="21">
        <f>IF(KO$1&lt;INDEX('Valo FX'!$Q:$Q,MATCH($A16,'Valo FX'!$A:$A,0)),0,IF(KO$1&lt;INDEX('Valo FX'!$R:$R,MATCH($A16,'Valo FX'!$A:$A,0)),INDEX(Base!$U:$U,MATCH($A16,Base!$A:$A,0)),IF(KO$1=INDEX('Valo FX'!$R:$R,MATCH($A16,'Valo FX'!$A:$A,0)),INDEX(Base!$V:$V,MATCH($A16,Base!$A:$A,0)),0)))</f>
        <v>11.648244999999999</v>
      </c>
      <c r="KP16" s="21">
        <f>IF(KP$1&lt;INDEX('Valo FX'!$Q:$Q,MATCH($A16,'Valo FX'!$A:$A,0)),0,IF(KP$1&lt;INDEX('Valo FX'!$R:$R,MATCH($A16,'Valo FX'!$A:$A,0)),INDEX(Base!$U:$U,MATCH($A16,Base!$A:$A,0)),IF(KP$1=INDEX('Valo FX'!$R:$R,MATCH($A16,'Valo FX'!$A:$A,0)),INDEX(Base!$V:$V,MATCH($A16,Base!$A:$A,0)),0)))</f>
        <v>11.648244999999999</v>
      </c>
      <c r="KQ16" s="21">
        <f>IF(KQ$1&lt;INDEX('Valo FX'!$Q:$Q,MATCH($A16,'Valo FX'!$A:$A,0)),0,IF(KQ$1&lt;INDEX('Valo FX'!$R:$R,MATCH($A16,'Valo FX'!$A:$A,0)),INDEX(Base!$U:$U,MATCH($A16,Base!$A:$A,0)),IF(KQ$1=INDEX('Valo FX'!$R:$R,MATCH($A16,'Valo FX'!$A:$A,0)),INDEX(Base!$V:$V,MATCH($A16,Base!$A:$A,0)),0)))</f>
        <v>11.648244999999999</v>
      </c>
      <c r="KR16" s="21">
        <f>IF(KR$1&lt;INDEX('Valo FX'!$Q:$Q,MATCH($A16,'Valo FX'!$A:$A,0)),0,IF(KR$1&lt;INDEX('Valo FX'!$R:$R,MATCH($A16,'Valo FX'!$A:$A,0)),INDEX(Base!$U:$U,MATCH($A16,Base!$A:$A,0)),IF(KR$1=INDEX('Valo FX'!$R:$R,MATCH($A16,'Valo FX'!$A:$A,0)),INDEX(Base!$V:$V,MATCH($A16,Base!$A:$A,0)),0)))</f>
        <v>11.648244999999999</v>
      </c>
      <c r="KS16" s="21">
        <f>IF(KS$1&lt;INDEX('Valo FX'!$Q:$Q,MATCH($A16,'Valo FX'!$A:$A,0)),0,IF(KS$1&lt;INDEX('Valo FX'!$R:$R,MATCH($A16,'Valo FX'!$A:$A,0)),INDEX(Base!$U:$U,MATCH($A16,Base!$A:$A,0)),IF(KS$1=INDEX('Valo FX'!$R:$R,MATCH($A16,'Valo FX'!$A:$A,0)),INDEX(Base!$V:$V,MATCH($A16,Base!$A:$A,0)),0)))</f>
        <v>11.648244999999999</v>
      </c>
      <c r="KT16" s="21">
        <f>IF(KT$1&lt;INDEX('Valo FX'!$Q:$Q,MATCH($A16,'Valo FX'!$A:$A,0)),0,IF(KT$1&lt;INDEX('Valo FX'!$R:$R,MATCH($A16,'Valo FX'!$A:$A,0)),INDEX(Base!$U:$U,MATCH($A16,Base!$A:$A,0)),IF(KT$1=INDEX('Valo FX'!$R:$R,MATCH($A16,'Valo FX'!$A:$A,0)),INDEX(Base!$V:$V,MATCH($A16,Base!$A:$A,0)),0)))</f>
        <v>11.648244999999999</v>
      </c>
      <c r="KU16" s="21">
        <f>IF(KU$1&lt;INDEX('Valo FX'!$Q:$Q,MATCH($A16,'Valo FX'!$A:$A,0)),0,IF(KU$1&lt;INDEX('Valo FX'!$R:$R,MATCH($A16,'Valo FX'!$A:$A,0)),INDEX(Base!$U:$U,MATCH($A16,Base!$A:$A,0)),IF(KU$1=INDEX('Valo FX'!$R:$R,MATCH($A16,'Valo FX'!$A:$A,0)),INDEX(Base!$V:$V,MATCH($A16,Base!$A:$A,0)),0)))</f>
        <v>11.648244999999999</v>
      </c>
      <c r="KV16" s="21">
        <f>IF(KV$1&lt;INDEX('Valo FX'!$Q:$Q,MATCH($A16,'Valo FX'!$A:$A,0)),0,IF(KV$1&lt;INDEX('Valo FX'!$R:$R,MATCH($A16,'Valo FX'!$A:$A,0)),INDEX(Base!$U:$U,MATCH($A16,Base!$A:$A,0)),IF(KV$1=INDEX('Valo FX'!$R:$R,MATCH($A16,'Valo FX'!$A:$A,0)),INDEX(Base!$V:$V,MATCH($A16,Base!$A:$A,0)),0)))</f>
        <v>11.648244999999999</v>
      </c>
      <c r="KW16" s="21">
        <f>IF(KW$1&lt;INDEX('Valo FX'!$Q:$Q,MATCH($A16,'Valo FX'!$A:$A,0)),0,IF(KW$1&lt;INDEX('Valo FX'!$R:$R,MATCH($A16,'Valo FX'!$A:$A,0)),INDEX(Base!$U:$U,MATCH($A16,Base!$A:$A,0)),IF(KW$1=INDEX('Valo FX'!$R:$R,MATCH($A16,'Valo FX'!$A:$A,0)),INDEX(Base!$V:$V,MATCH($A16,Base!$A:$A,0)),0)))</f>
        <v>11.648244999999999</v>
      </c>
      <c r="KX16" s="21">
        <f>IF(KX$1&lt;INDEX('Valo FX'!$Q:$Q,MATCH($A16,'Valo FX'!$A:$A,0)),0,IF(KX$1&lt;INDEX('Valo FX'!$R:$R,MATCH($A16,'Valo FX'!$A:$A,0)),INDEX(Base!$U:$U,MATCH($A16,Base!$A:$A,0)),IF(KX$1=INDEX('Valo FX'!$R:$R,MATCH($A16,'Valo FX'!$A:$A,0)),INDEX(Base!$V:$V,MATCH($A16,Base!$A:$A,0)),0)))</f>
        <v>11.648244999999999</v>
      </c>
      <c r="KY16" s="21">
        <f>IF(KY$1&lt;INDEX('Valo FX'!$Q:$Q,MATCH($A16,'Valo FX'!$A:$A,0)),0,IF(KY$1&lt;INDEX('Valo FX'!$R:$R,MATCH($A16,'Valo FX'!$A:$A,0)),INDEX(Base!$U:$U,MATCH($A16,Base!$A:$A,0)),IF(KY$1=INDEX('Valo FX'!$R:$R,MATCH($A16,'Valo FX'!$A:$A,0)),INDEX(Base!$V:$V,MATCH($A16,Base!$A:$A,0)),0)))</f>
        <v>11.648244999999999</v>
      </c>
      <c r="KZ16" s="21">
        <f>IF(KZ$1&lt;INDEX('Valo FX'!$Q:$Q,MATCH($A16,'Valo FX'!$A:$A,0)),0,IF(KZ$1&lt;INDEX('Valo FX'!$R:$R,MATCH($A16,'Valo FX'!$A:$A,0)),INDEX(Base!$U:$U,MATCH($A16,Base!$A:$A,0)),IF(KZ$1=INDEX('Valo FX'!$R:$R,MATCH($A16,'Valo FX'!$A:$A,0)),INDEX(Base!$V:$V,MATCH($A16,Base!$A:$A,0)),0)))</f>
        <v>11.648244999999999</v>
      </c>
      <c r="LA16" s="21">
        <f>IF(LA$1&lt;INDEX('Valo FX'!$Q:$Q,MATCH($A16,'Valo FX'!$A:$A,0)),0,IF(LA$1&lt;INDEX('Valo FX'!$R:$R,MATCH($A16,'Valo FX'!$A:$A,0)),INDEX(Base!$U:$U,MATCH($A16,Base!$A:$A,0)),IF(LA$1=INDEX('Valo FX'!$R:$R,MATCH($A16,'Valo FX'!$A:$A,0)),INDEX(Base!$V:$V,MATCH($A16,Base!$A:$A,0)),0)))</f>
        <v>11.648244999999999</v>
      </c>
      <c r="LB16" s="21">
        <f>IF(LB$1&lt;INDEX('Valo FX'!$Q:$Q,MATCH($A16,'Valo FX'!$A:$A,0)),0,IF(LB$1&lt;INDEX('Valo FX'!$R:$R,MATCH($A16,'Valo FX'!$A:$A,0)),INDEX(Base!$U:$U,MATCH($A16,Base!$A:$A,0)),IF(LB$1=INDEX('Valo FX'!$R:$R,MATCH($A16,'Valo FX'!$A:$A,0)),INDEX(Base!$V:$V,MATCH($A16,Base!$A:$A,0)),0)))</f>
        <v>11.648244999999999</v>
      </c>
      <c r="LC16" s="21">
        <f>IF(LC$1&lt;INDEX('Valo FX'!$Q:$Q,MATCH($A16,'Valo FX'!$A:$A,0)),0,IF(LC$1&lt;INDEX('Valo FX'!$R:$R,MATCH($A16,'Valo FX'!$A:$A,0)),INDEX(Base!$U:$U,MATCH($A16,Base!$A:$A,0)),IF(LC$1=INDEX('Valo FX'!$R:$R,MATCH($A16,'Valo FX'!$A:$A,0)),INDEX(Base!$V:$V,MATCH($A16,Base!$A:$A,0)),0)))</f>
        <v>11.648244999999999</v>
      </c>
      <c r="LD16" s="21">
        <f>IF(LD$1&lt;INDEX('Valo FX'!$Q:$Q,MATCH($A16,'Valo FX'!$A:$A,0)),0,IF(LD$1&lt;INDEX('Valo FX'!$R:$R,MATCH($A16,'Valo FX'!$A:$A,0)),INDEX(Base!$U:$U,MATCH($A16,Base!$A:$A,0)),IF(LD$1=INDEX('Valo FX'!$R:$R,MATCH($A16,'Valo FX'!$A:$A,0)),INDEX(Base!$V:$V,MATCH($A16,Base!$A:$A,0)),0)))</f>
        <v>11.648244999999999</v>
      </c>
      <c r="LE16" s="21">
        <f>IF(LE$1&lt;INDEX('Valo FX'!$Q:$Q,MATCH($A16,'Valo FX'!$A:$A,0)),0,IF(LE$1&lt;INDEX('Valo FX'!$R:$R,MATCH($A16,'Valo FX'!$A:$A,0)),INDEX(Base!$U:$U,MATCH($A16,Base!$A:$A,0)),IF(LE$1=INDEX('Valo FX'!$R:$R,MATCH($A16,'Valo FX'!$A:$A,0)),INDEX(Base!$V:$V,MATCH($A16,Base!$A:$A,0)),0)))</f>
        <v>11.648244999999999</v>
      </c>
      <c r="LF16" s="21">
        <f>IF(LF$1&lt;INDEX('Valo FX'!$Q:$Q,MATCH($A16,'Valo FX'!$A:$A,0)),0,IF(LF$1&lt;INDEX('Valo FX'!$R:$R,MATCH($A16,'Valo FX'!$A:$A,0)),INDEX(Base!$U:$U,MATCH($A16,Base!$A:$A,0)),IF(LF$1=INDEX('Valo FX'!$R:$R,MATCH($A16,'Valo FX'!$A:$A,0)),INDEX(Base!$V:$V,MATCH($A16,Base!$A:$A,0)),0)))</f>
        <v>11.648244999999999</v>
      </c>
      <c r="LG16" s="21">
        <f>IF(LG$1&lt;INDEX('Valo FX'!$Q:$Q,MATCH($A16,'Valo FX'!$A:$A,0)),0,IF(LG$1&lt;INDEX('Valo FX'!$R:$R,MATCH($A16,'Valo FX'!$A:$A,0)),INDEX(Base!$U:$U,MATCH($A16,Base!$A:$A,0)),IF(LG$1=INDEX('Valo FX'!$R:$R,MATCH($A16,'Valo FX'!$A:$A,0)),INDEX(Base!$V:$V,MATCH($A16,Base!$A:$A,0)),0)))</f>
        <v>11.648244999999999</v>
      </c>
      <c r="LH16" s="21">
        <f>IF(LH$1&lt;INDEX('Valo FX'!$Q:$Q,MATCH($A16,'Valo FX'!$A:$A,0)),0,IF(LH$1&lt;INDEX('Valo FX'!$R:$R,MATCH($A16,'Valo FX'!$A:$A,0)),INDEX(Base!$U:$U,MATCH($A16,Base!$A:$A,0)),IF(LH$1=INDEX('Valo FX'!$R:$R,MATCH($A16,'Valo FX'!$A:$A,0)),INDEX(Base!$V:$V,MATCH($A16,Base!$A:$A,0)),0)))</f>
        <v>11.648244999999999</v>
      </c>
      <c r="LI16" s="21">
        <f>IF(LI$1&lt;INDEX('Valo FX'!$Q:$Q,MATCH($A16,'Valo FX'!$A:$A,0)),0,IF(LI$1&lt;INDEX('Valo FX'!$R:$R,MATCH($A16,'Valo FX'!$A:$A,0)),INDEX(Base!$U:$U,MATCH($A16,Base!$A:$A,0)),IF(LI$1=INDEX('Valo FX'!$R:$R,MATCH($A16,'Valo FX'!$A:$A,0)),INDEX(Base!$V:$V,MATCH($A16,Base!$A:$A,0)),0)))</f>
        <v>11.648244999999999</v>
      </c>
      <c r="LJ16" s="21">
        <f>IF(LJ$1&lt;INDEX('Valo FX'!$Q:$Q,MATCH($A16,'Valo FX'!$A:$A,0)),0,IF(LJ$1&lt;INDEX('Valo FX'!$R:$R,MATCH($A16,'Valo FX'!$A:$A,0)),INDEX(Base!$U:$U,MATCH($A16,Base!$A:$A,0)),IF(LJ$1=INDEX('Valo FX'!$R:$R,MATCH($A16,'Valo FX'!$A:$A,0)),INDEX(Base!$V:$V,MATCH($A16,Base!$A:$A,0)),0)))</f>
        <v>11.648244999999999</v>
      </c>
      <c r="LK16" s="21">
        <f>IF(LK$1&lt;INDEX('Valo FX'!$Q:$Q,MATCH($A16,'Valo FX'!$A:$A,0)),0,IF(LK$1&lt;INDEX('Valo FX'!$R:$R,MATCH($A16,'Valo FX'!$A:$A,0)),INDEX(Base!$U:$U,MATCH($A16,Base!$A:$A,0)),IF(LK$1=INDEX('Valo FX'!$R:$R,MATCH($A16,'Valo FX'!$A:$A,0)),INDEX(Base!$V:$V,MATCH($A16,Base!$A:$A,0)),0)))</f>
        <v>11.648244999999999</v>
      </c>
      <c r="LL16" s="21">
        <f>IF(LL$1&lt;INDEX('Valo FX'!$Q:$Q,MATCH($A16,'Valo FX'!$A:$A,0)),0,IF(LL$1&lt;INDEX('Valo FX'!$R:$R,MATCH($A16,'Valo FX'!$A:$A,0)),INDEX(Base!$U:$U,MATCH($A16,Base!$A:$A,0)),IF(LL$1=INDEX('Valo FX'!$R:$R,MATCH($A16,'Valo FX'!$A:$A,0)),INDEX(Base!$V:$V,MATCH($A16,Base!$A:$A,0)),0)))</f>
        <v>11.648244999999999</v>
      </c>
      <c r="LM16" s="21">
        <f>IF(LM$1&lt;INDEX('Valo FX'!$Q:$Q,MATCH($A16,'Valo FX'!$A:$A,0)),0,IF(LM$1&lt;INDEX('Valo FX'!$R:$R,MATCH($A16,'Valo FX'!$A:$A,0)),INDEX(Base!$U:$U,MATCH($A16,Base!$A:$A,0)),IF(LM$1=INDEX('Valo FX'!$R:$R,MATCH($A16,'Valo FX'!$A:$A,0)),INDEX(Base!$V:$V,MATCH($A16,Base!$A:$A,0)),0)))</f>
        <v>11.648244999999999</v>
      </c>
      <c r="LN16" s="21">
        <f>IF(LN$1&lt;INDEX('Valo FX'!$Q:$Q,MATCH($A16,'Valo FX'!$A:$A,0)),0,IF(LN$1&lt;INDEX('Valo FX'!$R:$R,MATCH($A16,'Valo FX'!$A:$A,0)),INDEX(Base!$U:$U,MATCH($A16,Base!$A:$A,0)),IF(LN$1=INDEX('Valo FX'!$R:$R,MATCH($A16,'Valo FX'!$A:$A,0)),INDEX(Base!$V:$V,MATCH($A16,Base!$A:$A,0)),0)))</f>
        <v>11.648244999999999</v>
      </c>
      <c r="LO16" s="21">
        <f>IF(LO$1&lt;INDEX('Valo FX'!$Q:$Q,MATCH($A16,'Valo FX'!$A:$A,0)),0,IF(LO$1&lt;INDEX('Valo FX'!$R:$R,MATCH($A16,'Valo FX'!$A:$A,0)),INDEX(Base!$U:$U,MATCH($A16,Base!$A:$A,0)),IF(LO$1=INDEX('Valo FX'!$R:$R,MATCH($A16,'Valo FX'!$A:$A,0)),INDEX(Base!$V:$V,MATCH($A16,Base!$A:$A,0)),0)))</f>
        <v>11.648244999999999</v>
      </c>
      <c r="LP16" s="21">
        <f>IF(LP$1&lt;INDEX('Valo FX'!$Q:$Q,MATCH($A16,'Valo FX'!$A:$A,0)),0,IF(LP$1&lt;INDEX('Valo FX'!$R:$R,MATCH($A16,'Valo FX'!$A:$A,0)),INDEX(Base!$U:$U,MATCH($A16,Base!$A:$A,0)),IF(LP$1=INDEX('Valo FX'!$R:$R,MATCH($A16,'Valo FX'!$A:$A,0)),INDEX(Base!$V:$V,MATCH($A16,Base!$A:$A,0)),0)))</f>
        <v>11.648244999999999</v>
      </c>
      <c r="LQ16" s="21">
        <f>IF(LQ$1&lt;INDEX('Valo FX'!$Q:$Q,MATCH($A16,'Valo FX'!$A:$A,0)),0,IF(LQ$1&lt;INDEX('Valo FX'!$R:$R,MATCH($A16,'Valo FX'!$A:$A,0)),INDEX(Base!$U:$U,MATCH($A16,Base!$A:$A,0)),IF(LQ$1=INDEX('Valo FX'!$R:$R,MATCH($A16,'Valo FX'!$A:$A,0)),INDEX(Base!$V:$V,MATCH($A16,Base!$A:$A,0)),0)))</f>
        <v>11.648244999999999</v>
      </c>
      <c r="LR16" s="21">
        <f>IF(LR$1&lt;INDEX('Valo FX'!$Q:$Q,MATCH($A16,'Valo FX'!$A:$A,0)),0,IF(LR$1&lt;INDEX('Valo FX'!$R:$R,MATCH($A16,'Valo FX'!$A:$A,0)),INDEX(Base!$U:$U,MATCH($A16,Base!$A:$A,0)),IF(LR$1=INDEX('Valo FX'!$R:$R,MATCH($A16,'Valo FX'!$A:$A,0)),INDEX(Base!$V:$V,MATCH($A16,Base!$A:$A,0)),0)))</f>
        <v>11.648244999999999</v>
      </c>
      <c r="LS16" s="21">
        <f>IF(LS$1&lt;INDEX('Valo FX'!$Q:$Q,MATCH($A16,'Valo FX'!$A:$A,0)),0,IF(LS$1&lt;INDEX('Valo FX'!$R:$R,MATCH($A16,'Valo FX'!$A:$A,0)),INDEX(Base!$U:$U,MATCH($A16,Base!$A:$A,0)),IF(LS$1=INDEX('Valo FX'!$R:$R,MATCH($A16,'Valo FX'!$A:$A,0)),INDEX(Base!$V:$V,MATCH($A16,Base!$A:$A,0)),0)))</f>
        <v>11.648244999999999</v>
      </c>
      <c r="LT16" s="21">
        <f>IF(LT$1&lt;INDEX('Valo FX'!$Q:$Q,MATCH($A16,'Valo FX'!$A:$A,0)),0,IF(LT$1&lt;INDEX('Valo FX'!$R:$R,MATCH($A16,'Valo FX'!$A:$A,0)),INDEX(Base!$U:$U,MATCH($A16,Base!$A:$A,0)),IF(LT$1=INDEX('Valo FX'!$R:$R,MATCH($A16,'Valo FX'!$A:$A,0)),INDEX(Base!$V:$V,MATCH($A16,Base!$A:$A,0)),0)))</f>
        <v>11.648244999999999</v>
      </c>
      <c r="LU16" s="21">
        <f>IF(LU$1&lt;INDEX('Valo FX'!$Q:$Q,MATCH($A16,'Valo FX'!$A:$A,0)),0,IF(LU$1&lt;INDEX('Valo FX'!$R:$R,MATCH($A16,'Valo FX'!$A:$A,0)),INDEX(Base!$U:$U,MATCH($A16,Base!$A:$A,0)),IF(LU$1=INDEX('Valo FX'!$R:$R,MATCH($A16,'Valo FX'!$A:$A,0)),INDEX(Base!$V:$V,MATCH($A16,Base!$A:$A,0)),0)))</f>
        <v>11.648244999999999</v>
      </c>
      <c r="LV16" s="21">
        <f>IF(LV$1&lt;INDEX('Valo FX'!$Q:$Q,MATCH($A16,'Valo FX'!$A:$A,0)),0,IF(LV$1&lt;INDEX('Valo FX'!$R:$R,MATCH($A16,'Valo FX'!$A:$A,0)),INDEX(Base!$U:$U,MATCH($A16,Base!$A:$A,0)),IF(LV$1=INDEX('Valo FX'!$R:$R,MATCH($A16,'Valo FX'!$A:$A,0)),INDEX(Base!$V:$V,MATCH($A16,Base!$A:$A,0)),0)))</f>
        <v>11.648244999999999</v>
      </c>
      <c r="LW16" s="21">
        <f>IF(LW$1&lt;INDEX('Valo FX'!$Q:$Q,MATCH($A16,'Valo FX'!$A:$A,0)),0,IF(LW$1&lt;INDEX('Valo FX'!$R:$R,MATCH($A16,'Valo FX'!$A:$A,0)),INDEX(Base!$U:$U,MATCH($A16,Base!$A:$A,0)),IF(LW$1=INDEX('Valo FX'!$R:$R,MATCH($A16,'Valo FX'!$A:$A,0)),INDEX(Base!$V:$V,MATCH($A16,Base!$A:$A,0)),0)))</f>
        <v>11.648244999999999</v>
      </c>
      <c r="LX16" s="21">
        <f>IF(LX$1&lt;INDEX('Valo FX'!$Q:$Q,MATCH($A16,'Valo FX'!$A:$A,0)),0,IF(LX$1&lt;INDEX('Valo FX'!$R:$R,MATCH($A16,'Valo FX'!$A:$A,0)),INDEX(Base!$U:$U,MATCH($A16,Base!$A:$A,0)),IF(LX$1=INDEX('Valo FX'!$R:$R,MATCH($A16,'Valo FX'!$A:$A,0)),INDEX(Base!$V:$V,MATCH($A16,Base!$A:$A,0)),0)))</f>
        <v>11.648244999999999</v>
      </c>
      <c r="LY16" s="21">
        <f>IF(LY$1&lt;INDEX('Valo FX'!$Q:$Q,MATCH($A16,'Valo FX'!$A:$A,0)),0,IF(LY$1&lt;INDEX('Valo FX'!$R:$R,MATCH($A16,'Valo FX'!$A:$A,0)),INDEX(Base!$U:$U,MATCH($A16,Base!$A:$A,0)),IF(LY$1=INDEX('Valo FX'!$R:$R,MATCH($A16,'Valo FX'!$A:$A,0)),INDEX(Base!$V:$V,MATCH($A16,Base!$A:$A,0)),0)))</f>
        <v>11.648244999999999</v>
      </c>
      <c r="LZ16" s="21">
        <f>IF(LZ$1&lt;INDEX('Valo FX'!$Q:$Q,MATCH($A16,'Valo FX'!$A:$A,0)),0,IF(LZ$1&lt;INDEX('Valo FX'!$R:$R,MATCH($A16,'Valo FX'!$A:$A,0)),INDEX(Base!$U:$U,MATCH($A16,Base!$A:$A,0)),IF(LZ$1=INDEX('Valo FX'!$R:$R,MATCH($A16,'Valo FX'!$A:$A,0)),INDEX(Base!$V:$V,MATCH($A16,Base!$A:$A,0)),0)))</f>
        <v>11.648244999999999</v>
      </c>
      <c r="MA16" s="21">
        <f>IF(MA$1&lt;INDEX('Valo FX'!$Q:$Q,MATCH($A16,'Valo FX'!$A:$A,0)),0,IF(MA$1&lt;INDEX('Valo FX'!$R:$R,MATCH($A16,'Valo FX'!$A:$A,0)),INDEX(Base!$U:$U,MATCH($A16,Base!$A:$A,0)),IF(MA$1=INDEX('Valo FX'!$R:$R,MATCH($A16,'Valo FX'!$A:$A,0)),INDEX(Base!$V:$V,MATCH($A16,Base!$A:$A,0)),0)))</f>
        <v>11.648244999999999</v>
      </c>
      <c r="MB16" s="21">
        <f>IF(MB$1&lt;INDEX('Valo FX'!$Q:$Q,MATCH($A16,'Valo FX'!$A:$A,0)),0,IF(MB$1&lt;INDEX('Valo FX'!$R:$R,MATCH($A16,'Valo FX'!$A:$A,0)),INDEX(Base!$U:$U,MATCH($A16,Base!$A:$A,0)),IF(MB$1=INDEX('Valo FX'!$R:$R,MATCH($A16,'Valo FX'!$A:$A,0)),INDEX(Base!$V:$V,MATCH($A16,Base!$A:$A,0)),0)))</f>
        <v>11.648244999999999</v>
      </c>
      <c r="MC16" s="21">
        <f>IF(MC$1&lt;INDEX('Valo FX'!$Q:$Q,MATCH($A16,'Valo FX'!$A:$A,0)),0,IF(MC$1&lt;INDEX('Valo FX'!$R:$R,MATCH($A16,'Valo FX'!$A:$A,0)),INDEX(Base!$U:$U,MATCH($A16,Base!$A:$A,0)),IF(MC$1=INDEX('Valo FX'!$R:$R,MATCH($A16,'Valo FX'!$A:$A,0)),INDEX(Base!$V:$V,MATCH($A16,Base!$A:$A,0)),0)))</f>
        <v>11.648244999999999</v>
      </c>
      <c r="MD16" s="21">
        <f>IF(MD$1&lt;INDEX('Valo FX'!$Q:$Q,MATCH($A16,'Valo FX'!$A:$A,0)),0,IF(MD$1&lt;INDEX('Valo FX'!$R:$R,MATCH($A16,'Valo FX'!$A:$A,0)),INDEX(Base!$U:$U,MATCH($A16,Base!$A:$A,0)),IF(MD$1=INDEX('Valo FX'!$R:$R,MATCH($A16,'Valo FX'!$A:$A,0)),INDEX(Base!$V:$V,MATCH($A16,Base!$A:$A,0)),0)))</f>
        <v>11.648244999999999</v>
      </c>
      <c r="ME16" s="21">
        <f>IF(ME$1&lt;INDEX('Valo FX'!$Q:$Q,MATCH($A16,'Valo FX'!$A:$A,0)),0,IF(ME$1&lt;INDEX('Valo FX'!$R:$R,MATCH($A16,'Valo FX'!$A:$A,0)),INDEX(Base!$U:$U,MATCH($A16,Base!$A:$A,0)),IF(ME$1=INDEX('Valo FX'!$R:$R,MATCH($A16,'Valo FX'!$A:$A,0)),INDEX(Base!$V:$V,MATCH($A16,Base!$A:$A,0)),0)))</f>
        <v>11.648244999999999</v>
      </c>
      <c r="MF16" s="21">
        <f>IF(MF$1&lt;INDEX('Valo FX'!$Q:$Q,MATCH($A16,'Valo FX'!$A:$A,0)),0,IF(MF$1&lt;INDEX('Valo FX'!$R:$R,MATCH($A16,'Valo FX'!$A:$A,0)),INDEX(Base!$U:$U,MATCH($A16,Base!$A:$A,0)),IF(MF$1=INDEX('Valo FX'!$R:$R,MATCH($A16,'Valo FX'!$A:$A,0)),INDEX(Base!$V:$V,MATCH($A16,Base!$A:$A,0)),0)))</f>
        <v>11.648244999999999</v>
      </c>
      <c r="MG16" s="21">
        <f>IF(MG$1&lt;INDEX('Valo FX'!$Q:$Q,MATCH($A16,'Valo FX'!$A:$A,0)),0,IF(MG$1&lt;INDEX('Valo FX'!$R:$R,MATCH($A16,'Valo FX'!$A:$A,0)),INDEX(Base!$U:$U,MATCH($A16,Base!$A:$A,0)),IF(MG$1=INDEX('Valo FX'!$R:$R,MATCH($A16,'Valo FX'!$A:$A,0)),INDEX(Base!$V:$V,MATCH($A16,Base!$A:$A,0)),0)))</f>
        <v>11.648244999999999</v>
      </c>
      <c r="MH16" s="21">
        <f>IF(MH$1&lt;INDEX('Valo FX'!$Q:$Q,MATCH($A16,'Valo FX'!$A:$A,0)),0,IF(MH$1&lt;INDEX('Valo FX'!$R:$R,MATCH($A16,'Valo FX'!$A:$A,0)),INDEX(Base!$U:$U,MATCH($A16,Base!$A:$A,0)),IF(MH$1=INDEX('Valo FX'!$R:$R,MATCH($A16,'Valo FX'!$A:$A,0)),INDEX(Base!$V:$V,MATCH($A16,Base!$A:$A,0)),0)))</f>
        <v>11.648244999999999</v>
      </c>
      <c r="MI16" s="21">
        <f>IF(MI$1&lt;INDEX('Valo FX'!$Q:$Q,MATCH($A16,'Valo FX'!$A:$A,0)),0,IF(MI$1&lt;INDEX('Valo FX'!$R:$R,MATCH($A16,'Valo FX'!$A:$A,0)),INDEX(Base!$U:$U,MATCH($A16,Base!$A:$A,0)),IF(MI$1=INDEX('Valo FX'!$R:$R,MATCH($A16,'Valo FX'!$A:$A,0)),INDEX(Base!$V:$V,MATCH($A16,Base!$A:$A,0)),0)))</f>
        <v>11.648244999999999</v>
      </c>
      <c r="MJ16" s="21">
        <f>IF(MJ$1&lt;INDEX('Valo FX'!$Q:$Q,MATCH($A16,'Valo FX'!$A:$A,0)),0,IF(MJ$1&lt;INDEX('Valo FX'!$R:$R,MATCH($A16,'Valo FX'!$A:$A,0)),INDEX(Base!$U:$U,MATCH($A16,Base!$A:$A,0)),IF(MJ$1=INDEX('Valo FX'!$R:$R,MATCH($A16,'Valo FX'!$A:$A,0)),INDEX(Base!$V:$V,MATCH($A16,Base!$A:$A,0)),0)))</f>
        <v>11.648244999999999</v>
      </c>
      <c r="MK16" s="21">
        <f>IF(MK$1&lt;INDEX('Valo FX'!$Q:$Q,MATCH($A16,'Valo FX'!$A:$A,0)),0,IF(MK$1&lt;INDEX('Valo FX'!$R:$R,MATCH($A16,'Valo FX'!$A:$A,0)),INDEX(Base!$U:$U,MATCH($A16,Base!$A:$A,0)),IF(MK$1=INDEX('Valo FX'!$R:$R,MATCH($A16,'Valo FX'!$A:$A,0)),INDEX(Base!$V:$V,MATCH($A16,Base!$A:$A,0)),0)))</f>
        <v>11.648244999999999</v>
      </c>
      <c r="ML16" s="21">
        <f>IF(ML$1&lt;INDEX('Valo FX'!$Q:$Q,MATCH($A16,'Valo FX'!$A:$A,0)),0,IF(ML$1&lt;INDEX('Valo FX'!$R:$R,MATCH($A16,'Valo FX'!$A:$A,0)),INDEX(Base!$U:$U,MATCH($A16,Base!$A:$A,0)),IF(ML$1=INDEX('Valo FX'!$R:$R,MATCH($A16,'Valo FX'!$A:$A,0)),INDEX(Base!$V:$V,MATCH($A16,Base!$A:$A,0)),0)))</f>
        <v>11.648244999999999</v>
      </c>
      <c r="MM16" s="21">
        <f>IF(MM$1&lt;INDEX('Valo FX'!$Q:$Q,MATCH($A16,'Valo FX'!$A:$A,0)),0,IF(MM$1&lt;INDEX('Valo FX'!$R:$R,MATCH($A16,'Valo FX'!$A:$A,0)),INDEX(Base!$U:$U,MATCH($A16,Base!$A:$A,0)),IF(MM$1=INDEX('Valo FX'!$R:$R,MATCH($A16,'Valo FX'!$A:$A,0)),INDEX(Base!$V:$V,MATCH($A16,Base!$A:$A,0)),0)))</f>
        <v>11.648244999999999</v>
      </c>
      <c r="MN16" s="21">
        <f>IF(MN$1&lt;INDEX('Valo FX'!$Q:$Q,MATCH($A16,'Valo FX'!$A:$A,0)),0,IF(MN$1&lt;INDEX('Valo FX'!$R:$R,MATCH($A16,'Valo FX'!$A:$A,0)),INDEX(Base!$U:$U,MATCH($A16,Base!$A:$A,0)),IF(MN$1=INDEX('Valo FX'!$R:$R,MATCH($A16,'Valo FX'!$A:$A,0)),INDEX(Base!$V:$V,MATCH($A16,Base!$A:$A,0)),0)))</f>
        <v>11.648244999999999</v>
      </c>
      <c r="MO16" s="21">
        <f>IF(MO$1&lt;INDEX('Valo FX'!$Q:$Q,MATCH($A16,'Valo FX'!$A:$A,0)),0,IF(MO$1&lt;INDEX('Valo FX'!$R:$R,MATCH($A16,'Valo FX'!$A:$A,0)),INDEX(Base!$U:$U,MATCH($A16,Base!$A:$A,0)),IF(MO$1=INDEX('Valo FX'!$R:$R,MATCH($A16,'Valo FX'!$A:$A,0)),INDEX(Base!$V:$V,MATCH($A16,Base!$A:$A,0)),0)))</f>
        <v>11.648244999999999</v>
      </c>
      <c r="MP16" s="21">
        <f>IF(MP$1&lt;INDEX('Valo FX'!$Q:$Q,MATCH($A16,'Valo FX'!$A:$A,0)),0,IF(MP$1&lt;INDEX('Valo FX'!$R:$R,MATCH($A16,'Valo FX'!$A:$A,0)),INDEX(Base!$U:$U,MATCH($A16,Base!$A:$A,0)),IF(MP$1=INDEX('Valo FX'!$R:$R,MATCH($A16,'Valo FX'!$A:$A,0)),INDEX(Base!$V:$V,MATCH($A16,Base!$A:$A,0)),0)))</f>
        <v>11.648244999999999</v>
      </c>
      <c r="MQ16" s="21">
        <f>IF(MQ$1&lt;INDEX('Valo FX'!$Q:$Q,MATCH($A16,'Valo FX'!$A:$A,0)),0,IF(MQ$1&lt;INDEX('Valo FX'!$R:$R,MATCH($A16,'Valo FX'!$A:$A,0)),INDEX(Base!$U:$U,MATCH($A16,Base!$A:$A,0)),IF(MQ$1=INDEX('Valo FX'!$R:$R,MATCH($A16,'Valo FX'!$A:$A,0)),INDEX(Base!$V:$V,MATCH($A16,Base!$A:$A,0)),0)))</f>
        <v>11.648244999999999</v>
      </c>
      <c r="MR16" s="21">
        <f>IF(MR$1&lt;INDEX('Valo FX'!$Q:$Q,MATCH($A16,'Valo FX'!$A:$A,0)),0,IF(MR$1&lt;INDEX('Valo FX'!$R:$R,MATCH($A16,'Valo FX'!$A:$A,0)),INDEX(Base!$U:$U,MATCH($A16,Base!$A:$A,0)),IF(MR$1=INDEX('Valo FX'!$R:$R,MATCH($A16,'Valo FX'!$A:$A,0)),INDEX(Base!$V:$V,MATCH($A16,Base!$A:$A,0)),0)))</f>
        <v>11.648244999999999</v>
      </c>
      <c r="MS16" s="21">
        <f>IF(MS$1&lt;INDEX('Valo FX'!$Q:$Q,MATCH($A16,'Valo FX'!$A:$A,0)),0,IF(MS$1&lt;INDEX('Valo FX'!$R:$R,MATCH($A16,'Valo FX'!$A:$A,0)),INDEX(Base!$U:$U,MATCH($A16,Base!$A:$A,0)),IF(MS$1=INDEX('Valo FX'!$R:$R,MATCH($A16,'Valo FX'!$A:$A,0)),INDEX(Base!$V:$V,MATCH($A16,Base!$A:$A,0)),0)))</f>
        <v>11.648244999999999</v>
      </c>
      <c r="MT16" s="21">
        <f>IF(MT$1&lt;INDEX('Valo FX'!$Q:$Q,MATCH($A16,'Valo FX'!$A:$A,0)),0,IF(MT$1&lt;INDEX('Valo FX'!$R:$R,MATCH($A16,'Valo FX'!$A:$A,0)),INDEX(Base!$U:$U,MATCH($A16,Base!$A:$A,0)),IF(MT$1=INDEX('Valo FX'!$R:$R,MATCH($A16,'Valo FX'!$A:$A,0)),INDEX(Base!$V:$V,MATCH($A16,Base!$A:$A,0)),0)))</f>
        <v>11.648244999999999</v>
      </c>
      <c r="MU16" s="21">
        <f>IF(MU$1&lt;INDEX('Valo FX'!$Q:$Q,MATCH($A16,'Valo FX'!$A:$A,0)),0,IF(MU$1&lt;INDEX('Valo FX'!$R:$R,MATCH($A16,'Valo FX'!$A:$A,0)),INDEX(Base!$U:$U,MATCH($A16,Base!$A:$A,0)),IF(MU$1=INDEX('Valo FX'!$R:$R,MATCH($A16,'Valo FX'!$A:$A,0)),INDEX(Base!$V:$V,MATCH($A16,Base!$A:$A,0)),0)))</f>
        <v>11.648244999999999</v>
      </c>
      <c r="MV16" s="21">
        <f>IF(MV$1&lt;INDEX('Valo FX'!$Q:$Q,MATCH($A16,'Valo FX'!$A:$A,0)),0,IF(MV$1&lt;INDEX('Valo FX'!$R:$R,MATCH($A16,'Valo FX'!$A:$A,0)),INDEX(Base!$U:$U,MATCH($A16,Base!$A:$A,0)),IF(MV$1=INDEX('Valo FX'!$R:$R,MATCH($A16,'Valo FX'!$A:$A,0)),INDEX(Base!$V:$V,MATCH($A16,Base!$A:$A,0)),0)))</f>
        <v>11.648244999999999</v>
      </c>
      <c r="MW16" s="21">
        <f>IF(MW$1&lt;INDEX('Valo FX'!$Q:$Q,MATCH($A16,'Valo FX'!$A:$A,0)),0,IF(MW$1&lt;INDEX('Valo FX'!$R:$R,MATCH($A16,'Valo FX'!$A:$A,0)),INDEX(Base!$U:$U,MATCH($A16,Base!$A:$A,0)),IF(MW$1=INDEX('Valo FX'!$R:$R,MATCH($A16,'Valo FX'!$A:$A,0)),INDEX(Base!$V:$V,MATCH($A16,Base!$A:$A,0)),0)))</f>
        <v>11.648244999999999</v>
      </c>
      <c r="MX16" s="21">
        <f>IF(MX$1&lt;INDEX('Valo FX'!$Q:$Q,MATCH($A16,'Valo FX'!$A:$A,0)),0,IF(MX$1&lt;INDEX('Valo FX'!$R:$R,MATCH($A16,'Valo FX'!$A:$A,0)),INDEX(Base!$U:$U,MATCH($A16,Base!$A:$A,0)),IF(MX$1=INDEX('Valo FX'!$R:$R,MATCH($A16,'Valo FX'!$A:$A,0)),INDEX(Base!$V:$V,MATCH($A16,Base!$A:$A,0)),0)))</f>
        <v>11.648244999999999</v>
      </c>
      <c r="MY16" s="21">
        <f>IF(MY$1&lt;INDEX('Valo FX'!$Q:$Q,MATCH($A16,'Valo FX'!$A:$A,0)),0,IF(MY$1&lt;INDEX('Valo FX'!$R:$R,MATCH($A16,'Valo FX'!$A:$A,0)),INDEX(Base!$U:$U,MATCH($A16,Base!$A:$A,0)),IF(MY$1=INDEX('Valo FX'!$R:$R,MATCH($A16,'Valo FX'!$A:$A,0)),INDEX(Base!$V:$V,MATCH($A16,Base!$A:$A,0)),0)))</f>
        <v>11.957504999999999</v>
      </c>
    </row>
    <row r="17" spans="1:363" x14ac:dyDescent="0.2">
      <c r="A17" s="7">
        <f>+'Valo FX'!A18</f>
        <v>15</v>
      </c>
      <c r="B17" s="58">
        <f>-'Valo FX'!T18</f>
        <v>-1923.2742030310446</v>
      </c>
      <c r="C17" s="21">
        <f>IF(C$1&lt;INDEX('Valo FX'!$Q:$Q,MATCH($A17,'Valo FX'!$A:$A,0)),0,IF(C$1&lt;INDEX('Valo FX'!$R:$R,MATCH($A17,'Valo FX'!$A:$A,0)),INDEX(Base!$U:$U,MATCH($A17,Base!$A:$A,0)),IF(C$1=INDEX('Valo FX'!$R:$R,MATCH($A17,'Valo FX'!$A:$A,0)),INDEX(Base!$V:$V,MATCH($A17,Base!$A:$A,0)),0)))</f>
        <v>0</v>
      </c>
      <c r="D17" s="21">
        <f>IF(D$1&lt;INDEX('Valo FX'!$Q:$Q,MATCH($A17,'Valo FX'!$A:$A,0)),0,IF(D$1&lt;INDEX('Valo FX'!$R:$R,MATCH($A17,'Valo FX'!$A:$A,0)),INDEX(Base!$U:$U,MATCH($A17,Base!$A:$A,0)),IF(D$1=INDEX('Valo FX'!$R:$R,MATCH($A17,'Valo FX'!$A:$A,0)),INDEX(Base!$V:$V,MATCH($A17,Base!$A:$A,0)),0)))</f>
        <v>0</v>
      </c>
      <c r="E17" s="21">
        <f>IF(E$1&lt;INDEX('Valo FX'!$Q:$Q,MATCH($A17,'Valo FX'!$A:$A,0)),0,IF(E$1&lt;INDEX('Valo FX'!$R:$R,MATCH($A17,'Valo FX'!$A:$A,0)),INDEX(Base!$U:$U,MATCH($A17,Base!$A:$A,0)),IF(E$1=INDEX('Valo FX'!$R:$R,MATCH($A17,'Valo FX'!$A:$A,0)),INDEX(Base!$V:$V,MATCH($A17,Base!$A:$A,0)),0)))</f>
        <v>0</v>
      </c>
      <c r="F17" s="21">
        <f>IF(F$1&lt;INDEX('Valo FX'!$Q:$Q,MATCH($A17,'Valo FX'!$A:$A,0)),0,IF(F$1&lt;INDEX('Valo FX'!$R:$R,MATCH($A17,'Valo FX'!$A:$A,0)),INDEX(Base!$U:$U,MATCH($A17,Base!$A:$A,0)),IF(F$1=INDEX('Valo FX'!$R:$R,MATCH($A17,'Valo FX'!$A:$A,0)),INDEX(Base!$V:$V,MATCH($A17,Base!$A:$A,0)),0)))</f>
        <v>0</v>
      </c>
      <c r="G17" s="21">
        <f>IF(G$1&lt;INDEX('Valo FX'!$Q:$Q,MATCH($A17,'Valo FX'!$A:$A,0)),0,IF(G$1&lt;INDEX('Valo FX'!$R:$R,MATCH($A17,'Valo FX'!$A:$A,0)),INDEX(Base!$U:$U,MATCH($A17,Base!$A:$A,0)),IF(G$1=INDEX('Valo FX'!$R:$R,MATCH($A17,'Valo FX'!$A:$A,0)),INDEX(Base!$V:$V,MATCH($A17,Base!$A:$A,0)),0)))</f>
        <v>0</v>
      </c>
      <c r="H17" s="21">
        <f>IF(H$1&lt;INDEX('Valo FX'!$Q:$Q,MATCH($A17,'Valo FX'!$A:$A,0)),0,IF(H$1&lt;INDEX('Valo FX'!$R:$R,MATCH($A17,'Valo FX'!$A:$A,0)),INDEX(Base!$U:$U,MATCH($A17,Base!$A:$A,0)),IF(H$1=INDEX('Valo FX'!$R:$R,MATCH($A17,'Valo FX'!$A:$A,0)),INDEX(Base!$V:$V,MATCH($A17,Base!$A:$A,0)),0)))</f>
        <v>0</v>
      </c>
      <c r="I17" s="21">
        <f>IF(I$1&lt;INDEX('Valo FX'!$Q:$Q,MATCH($A17,'Valo FX'!$A:$A,0)),0,IF(I$1&lt;INDEX('Valo FX'!$R:$R,MATCH($A17,'Valo FX'!$A:$A,0)),INDEX(Base!$U:$U,MATCH($A17,Base!$A:$A,0)),IF(I$1=INDEX('Valo FX'!$R:$R,MATCH($A17,'Valo FX'!$A:$A,0)),INDEX(Base!$V:$V,MATCH($A17,Base!$A:$A,0)),0)))</f>
        <v>13.09985</v>
      </c>
      <c r="J17" s="21">
        <f>IF(J$1&lt;INDEX('Valo FX'!$Q:$Q,MATCH($A17,'Valo FX'!$A:$A,0)),0,IF(J$1&lt;INDEX('Valo FX'!$R:$R,MATCH($A17,'Valo FX'!$A:$A,0)),INDEX(Base!$U:$U,MATCH($A17,Base!$A:$A,0)),IF(J$1=INDEX('Valo FX'!$R:$R,MATCH($A17,'Valo FX'!$A:$A,0)),INDEX(Base!$V:$V,MATCH($A17,Base!$A:$A,0)),0)))</f>
        <v>13.09985</v>
      </c>
      <c r="K17" s="21">
        <f>IF(K$1&lt;INDEX('Valo FX'!$Q:$Q,MATCH($A17,'Valo FX'!$A:$A,0)),0,IF(K$1&lt;INDEX('Valo FX'!$R:$R,MATCH($A17,'Valo FX'!$A:$A,0)),INDEX(Base!$U:$U,MATCH($A17,Base!$A:$A,0)),IF(K$1=INDEX('Valo FX'!$R:$R,MATCH($A17,'Valo FX'!$A:$A,0)),INDEX(Base!$V:$V,MATCH($A17,Base!$A:$A,0)),0)))</f>
        <v>13.09985</v>
      </c>
      <c r="L17" s="21">
        <f>IF(L$1&lt;INDEX('Valo FX'!$Q:$Q,MATCH($A17,'Valo FX'!$A:$A,0)),0,IF(L$1&lt;INDEX('Valo FX'!$R:$R,MATCH($A17,'Valo FX'!$A:$A,0)),INDEX(Base!$U:$U,MATCH($A17,Base!$A:$A,0)),IF(L$1=INDEX('Valo FX'!$R:$R,MATCH($A17,'Valo FX'!$A:$A,0)),INDEX(Base!$V:$V,MATCH($A17,Base!$A:$A,0)),0)))</f>
        <v>13.09985</v>
      </c>
      <c r="M17" s="21">
        <f>IF(M$1&lt;INDEX('Valo FX'!$Q:$Q,MATCH($A17,'Valo FX'!$A:$A,0)),0,IF(M$1&lt;INDEX('Valo FX'!$R:$R,MATCH($A17,'Valo FX'!$A:$A,0)),INDEX(Base!$U:$U,MATCH($A17,Base!$A:$A,0)),IF(M$1=INDEX('Valo FX'!$R:$R,MATCH($A17,'Valo FX'!$A:$A,0)),INDEX(Base!$V:$V,MATCH($A17,Base!$A:$A,0)),0)))</f>
        <v>13.09985</v>
      </c>
      <c r="N17" s="21">
        <f>IF(N$1&lt;INDEX('Valo FX'!$Q:$Q,MATCH($A17,'Valo FX'!$A:$A,0)),0,IF(N$1&lt;INDEX('Valo FX'!$R:$R,MATCH($A17,'Valo FX'!$A:$A,0)),INDEX(Base!$U:$U,MATCH($A17,Base!$A:$A,0)),IF(N$1=INDEX('Valo FX'!$R:$R,MATCH($A17,'Valo FX'!$A:$A,0)),INDEX(Base!$V:$V,MATCH($A17,Base!$A:$A,0)),0)))</f>
        <v>13.09985</v>
      </c>
      <c r="O17" s="21">
        <f>IF(O$1&lt;INDEX('Valo FX'!$Q:$Q,MATCH($A17,'Valo FX'!$A:$A,0)),0,IF(O$1&lt;INDEX('Valo FX'!$R:$R,MATCH($A17,'Valo FX'!$A:$A,0)),INDEX(Base!$U:$U,MATCH($A17,Base!$A:$A,0)),IF(O$1=INDEX('Valo FX'!$R:$R,MATCH($A17,'Valo FX'!$A:$A,0)),INDEX(Base!$V:$V,MATCH($A17,Base!$A:$A,0)),0)))</f>
        <v>13.09985</v>
      </c>
      <c r="P17" s="21">
        <f>IF(P$1&lt;INDEX('Valo FX'!$Q:$Q,MATCH($A17,'Valo FX'!$A:$A,0)),0,IF(P$1&lt;INDEX('Valo FX'!$R:$R,MATCH($A17,'Valo FX'!$A:$A,0)),INDEX(Base!$U:$U,MATCH($A17,Base!$A:$A,0)),IF(P$1=INDEX('Valo FX'!$R:$R,MATCH($A17,'Valo FX'!$A:$A,0)),INDEX(Base!$V:$V,MATCH($A17,Base!$A:$A,0)),0)))</f>
        <v>13.09985</v>
      </c>
      <c r="Q17" s="21">
        <f>IF(Q$1&lt;INDEX('Valo FX'!$Q:$Q,MATCH($A17,'Valo FX'!$A:$A,0)),0,IF(Q$1&lt;INDEX('Valo FX'!$R:$R,MATCH($A17,'Valo FX'!$A:$A,0)),INDEX(Base!$U:$U,MATCH($A17,Base!$A:$A,0)),IF(Q$1=INDEX('Valo FX'!$R:$R,MATCH($A17,'Valo FX'!$A:$A,0)),INDEX(Base!$V:$V,MATCH($A17,Base!$A:$A,0)),0)))</f>
        <v>13.09985</v>
      </c>
      <c r="R17" s="21">
        <f>IF(R$1&lt;INDEX('Valo FX'!$Q:$Q,MATCH($A17,'Valo FX'!$A:$A,0)),0,IF(R$1&lt;INDEX('Valo FX'!$R:$R,MATCH($A17,'Valo FX'!$A:$A,0)),INDEX(Base!$U:$U,MATCH($A17,Base!$A:$A,0)),IF(R$1=INDEX('Valo FX'!$R:$R,MATCH($A17,'Valo FX'!$A:$A,0)),INDEX(Base!$V:$V,MATCH($A17,Base!$A:$A,0)),0)))</f>
        <v>13.09985</v>
      </c>
      <c r="S17" s="21">
        <f>IF(S$1&lt;INDEX('Valo FX'!$Q:$Q,MATCH($A17,'Valo FX'!$A:$A,0)),0,IF(S$1&lt;INDEX('Valo FX'!$R:$R,MATCH($A17,'Valo FX'!$A:$A,0)),INDEX(Base!$U:$U,MATCH($A17,Base!$A:$A,0)),IF(S$1=INDEX('Valo FX'!$R:$R,MATCH($A17,'Valo FX'!$A:$A,0)),INDEX(Base!$V:$V,MATCH($A17,Base!$A:$A,0)),0)))</f>
        <v>13.09985</v>
      </c>
      <c r="T17" s="21">
        <f>IF(T$1&lt;INDEX('Valo FX'!$Q:$Q,MATCH($A17,'Valo FX'!$A:$A,0)),0,IF(T$1&lt;INDEX('Valo FX'!$R:$R,MATCH($A17,'Valo FX'!$A:$A,0)),INDEX(Base!$U:$U,MATCH($A17,Base!$A:$A,0)),IF(T$1=INDEX('Valo FX'!$R:$R,MATCH($A17,'Valo FX'!$A:$A,0)),INDEX(Base!$V:$V,MATCH($A17,Base!$A:$A,0)),0)))</f>
        <v>13.09985</v>
      </c>
      <c r="U17" s="21">
        <f>IF(U$1&lt;INDEX('Valo FX'!$Q:$Q,MATCH($A17,'Valo FX'!$A:$A,0)),0,IF(U$1&lt;INDEX('Valo FX'!$R:$R,MATCH($A17,'Valo FX'!$A:$A,0)),INDEX(Base!$U:$U,MATCH($A17,Base!$A:$A,0)),IF(U$1=INDEX('Valo FX'!$R:$R,MATCH($A17,'Valo FX'!$A:$A,0)),INDEX(Base!$V:$V,MATCH($A17,Base!$A:$A,0)),0)))</f>
        <v>13.09985</v>
      </c>
      <c r="V17" s="21">
        <f>IF(V$1&lt;INDEX('Valo FX'!$Q:$Q,MATCH($A17,'Valo FX'!$A:$A,0)),0,IF(V$1&lt;INDEX('Valo FX'!$R:$R,MATCH($A17,'Valo FX'!$A:$A,0)),INDEX(Base!$U:$U,MATCH($A17,Base!$A:$A,0)),IF(V$1=INDEX('Valo FX'!$R:$R,MATCH($A17,'Valo FX'!$A:$A,0)),INDEX(Base!$V:$V,MATCH($A17,Base!$A:$A,0)),0)))</f>
        <v>13.09985</v>
      </c>
      <c r="W17" s="21">
        <f>IF(W$1&lt;INDEX('Valo FX'!$Q:$Q,MATCH($A17,'Valo FX'!$A:$A,0)),0,IF(W$1&lt;INDEX('Valo FX'!$R:$R,MATCH($A17,'Valo FX'!$A:$A,0)),INDEX(Base!$U:$U,MATCH($A17,Base!$A:$A,0)),IF(W$1=INDEX('Valo FX'!$R:$R,MATCH($A17,'Valo FX'!$A:$A,0)),INDEX(Base!$V:$V,MATCH($A17,Base!$A:$A,0)),0)))</f>
        <v>13.09985</v>
      </c>
      <c r="X17" s="21">
        <f>IF(X$1&lt;INDEX('Valo FX'!$Q:$Q,MATCH($A17,'Valo FX'!$A:$A,0)),0,IF(X$1&lt;INDEX('Valo FX'!$R:$R,MATCH($A17,'Valo FX'!$A:$A,0)),INDEX(Base!$U:$U,MATCH($A17,Base!$A:$A,0)),IF(X$1=INDEX('Valo FX'!$R:$R,MATCH($A17,'Valo FX'!$A:$A,0)),INDEX(Base!$V:$V,MATCH($A17,Base!$A:$A,0)),0)))</f>
        <v>13.09985</v>
      </c>
      <c r="Y17" s="21">
        <f>IF(Y$1&lt;INDEX('Valo FX'!$Q:$Q,MATCH($A17,'Valo FX'!$A:$A,0)),0,IF(Y$1&lt;INDEX('Valo FX'!$R:$R,MATCH($A17,'Valo FX'!$A:$A,0)),INDEX(Base!$U:$U,MATCH($A17,Base!$A:$A,0)),IF(Y$1=INDEX('Valo FX'!$R:$R,MATCH($A17,'Valo FX'!$A:$A,0)),INDEX(Base!$V:$V,MATCH($A17,Base!$A:$A,0)),0)))</f>
        <v>13.09985</v>
      </c>
      <c r="Z17" s="21">
        <f>IF(Z$1&lt;INDEX('Valo FX'!$Q:$Q,MATCH($A17,'Valo FX'!$A:$A,0)),0,IF(Z$1&lt;INDEX('Valo FX'!$R:$R,MATCH($A17,'Valo FX'!$A:$A,0)),INDEX(Base!$U:$U,MATCH($A17,Base!$A:$A,0)),IF(Z$1=INDEX('Valo FX'!$R:$R,MATCH($A17,'Valo FX'!$A:$A,0)),INDEX(Base!$V:$V,MATCH($A17,Base!$A:$A,0)),0)))</f>
        <v>13.09985</v>
      </c>
      <c r="AA17" s="21">
        <f>IF(AA$1&lt;INDEX('Valo FX'!$Q:$Q,MATCH($A17,'Valo FX'!$A:$A,0)),0,IF(AA$1&lt;INDEX('Valo FX'!$R:$R,MATCH($A17,'Valo FX'!$A:$A,0)),INDEX(Base!$U:$U,MATCH($A17,Base!$A:$A,0)),IF(AA$1=INDEX('Valo FX'!$R:$R,MATCH($A17,'Valo FX'!$A:$A,0)),INDEX(Base!$V:$V,MATCH($A17,Base!$A:$A,0)),0)))</f>
        <v>13.09985</v>
      </c>
      <c r="AB17" s="21">
        <f>IF(AB$1&lt;INDEX('Valo FX'!$Q:$Q,MATCH($A17,'Valo FX'!$A:$A,0)),0,IF(AB$1&lt;INDEX('Valo FX'!$R:$R,MATCH($A17,'Valo FX'!$A:$A,0)),INDEX(Base!$U:$U,MATCH($A17,Base!$A:$A,0)),IF(AB$1=INDEX('Valo FX'!$R:$R,MATCH($A17,'Valo FX'!$A:$A,0)),INDEX(Base!$V:$V,MATCH($A17,Base!$A:$A,0)),0)))</f>
        <v>13.09985</v>
      </c>
      <c r="AC17" s="21">
        <f>IF(AC$1&lt;INDEX('Valo FX'!$Q:$Q,MATCH($A17,'Valo FX'!$A:$A,0)),0,IF(AC$1&lt;INDEX('Valo FX'!$R:$R,MATCH($A17,'Valo FX'!$A:$A,0)),INDEX(Base!$U:$U,MATCH($A17,Base!$A:$A,0)),IF(AC$1=INDEX('Valo FX'!$R:$R,MATCH($A17,'Valo FX'!$A:$A,0)),INDEX(Base!$V:$V,MATCH($A17,Base!$A:$A,0)),0)))</f>
        <v>13.09985</v>
      </c>
      <c r="AD17" s="21">
        <f>IF(AD$1&lt;INDEX('Valo FX'!$Q:$Q,MATCH($A17,'Valo FX'!$A:$A,0)),0,IF(AD$1&lt;INDEX('Valo FX'!$R:$R,MATCH($A17,'Valo FX'!$A:$A,0)),INDEX(Base!$U:$U,MATCH($A17,Base!$A:$A,0)),IF(AD$1=INDEX('Valo FX'!$R:$R,MATCH($A17,'Valo FX'!$A:$A,0)),INDEX(Base!$V:$V,MATCH($A17,Base!$A:$A,0)),0)))</f>
        <v>13.09985</v>
      </c>
      <c r="AE17" s="21">
        <f>IF(AE$1&lt;INDEX('Valo FX'!$Q:$Q,MATCH($A17,'Valo FX'!$A:$A,0)),0,IF(AE$1&lt;INDEX('Valo FX'!$R:$R,MATCH($A17,'Valo FX'!$A:$A,0)),INDEX(Base!$U:$U,MATCH($A17,Base!$A:$A,0)),IF(AE$1=INDEX('Valo FX'!$R:$R,MATCH($A17,'Valo FX'!$A:$A,0)),INDEX(Base!$V:$V,MATCH($A17,Base!$A:$A,0)),0)))</f>
        <v>13.09985</v>
      </c>
      <c r="AF17" s="21">
        <f>IF(AF$1&lt;INDEX('Valo FX'!$Q:$Q,MATCH($A17,'Valo FX'!$A:$A,0)),0,IF(AF$1&lt;INDEX('Valo FX'!$R:$R,MATCH($A17,'Valo FX'!$A:$A,0)),INDEX(Base!$U:$U,MATCH($A17,Base!$A:$A,0)),IF(AF$1=INDEX('Valo FX'!$R:$R,MATCH($A17,'Valo FX'!$A:$A,0)),INDEX(Base!$V:$V,MATCH($A17,Base!$A:$A,0)),0)))</f>
        <v>13.09985</v>
      </c>
      <c r="AG17" s="21">
        <f>IF(AG$1&lt;INDEX('Valo FX'!$Q:$Q,MATCH($A17,'Valo FX'!$A:$A,0)),0,IF(AG$1&lt;INDEX('Valo FX'!$R:$R,MATCH($A17,'Valo FX'!$A:$A,0)),INDEX(Base!$U:$U,MATCH($A17,Base!$A:$A,0)),IF(AG$1=INDEX('Valo FX'!$R:$R,MATCH($A17,'Valo FX'!$A:$A,0)),INDEX(Base!$V:$V,MATCH($A17,Base!$A:$A,0)),0)))</f>
        <v>13.09985</v>
      </c>
      <c r="AH17" s="21">
        <f>IF(AH$1&lt;INDEX('Valo FX'!$Q:$Q,MATCH($A17,'Valo FX'!$A:$A,0)),0,IF(AH$1&lt;INDEX('Valo FX'!$R:$R,MATCH($A17,'Valo FX'!$A:$A,0)),INDEX(Base!$U:$U,MATCH($A17,Base!$A:$A,0)),IF(AH$1=INDEX('Valo FX'!$R:$R,MATCH($A17,'Valo FX'!$A:$A,0)),INDEX(Base!$V:$V,MATCH($A17,Base!$A:$A,0)),0)))</f>
        <v>13.09985</v>
      </c>
      <c r="AI17" s="21">
        <f>IF(AI$1&lt;INDEX('Valo FX'!$Q:$Q,MATCH($A17,'Valo FX'!$A:$A,0)),0,IF(AI$1&lt;INDEX('Valo FX'!$R:$R,MATCH($A17,'Valo FX'!$A:$A,0)),INDEX(Base!$U:$U,MATCH($A17,Base!$A:$A,0)),IF(AI$1=INDEX('Valo FX'!$R:$R,MATCH($A17,'Valo FX'!$A:$A,0)),INDEX(Base!$V:$V,MATCH($A17,Base!$A:$A,0)),0)))</f>
        <v>13.09985</v>
      </c>
      <c r="AJ17" s="21">
        <f>IF(AJ$1&lt;INDEX('Valo FX'!$Q:$Q,MATCH($A17,'Valo FX'!$A:$A,0)),0,IF(AJ$1&lt;INDEX('Valo FX'!$R:$R,MATCH($A17,'Valo FX'!$A:$A,0)),INDEX(Base!$U:$U,MATCH($A17,Base!$A:$A,0)),IF(AJ$1=INDEX('Valo FX'!$R:$R,MATCH($A17,'Valo FX'!$A:$A,0)),INDEX(Base!$V:$V,MATCH($A17,Base!$A:$A,0)),0)))</f>
        <v>13.09985</v>
      </c>
      <c r="AK17" s="21">
        <f>IF(AK$1&lt;INDEX('Valo FX'!$Q:$Q,MATCH($A17,'Valo FX'!$A:$A,0)),0,IF(AK$1&lt;INDEX('Valo FX'!$R:$R,MATCH($A17,'Valo FX'!$A:$A,0)),INDEX(Base!$U:$U,MATCH($A17,Base!$A:$A,0)),IF(AK$1=INDEX('Valo FX'!$R:$R,MATCH($A17,'Valo FX'!$A:$A,0)),INDEX(Base!$V:$V,MATCH($A17,Base!$A:$A,0)),0)))</f>
        <v>13.09985</v>
      </c>
      <c r="AL17" s="21">
        <f>IF(AL$1&lt;INDEX('Valo FX'!$Q:$Q,MATCH($A17,'Valo FX'!$A:$A,0)),0,IF(AL$1&lt;INDEX('Valo FX'!$R:$R,MATCH($A17,'Valo FX'!$A:$A,0)),INDEX(Base!$U:$U,MATCH($A17,Base!$A:$A,0)),IF(AL$1=INDEX('Valo FX'!$R:$R,MATCH($A17,'Valo FX'!$A:$A,0)),INDEX(Base!$V:$V,MATCH($A17,Base!$A:$A,0)),0)))</f>
        <v>13.09985</v>
      </c>
      <c r="AM17" s="21">
        <f>IF(AM$1&lt;INDEX('Valo FX'!$Q:$Q,MATCH($A17,'Valo FX'!$A:$A,0)),0,IF(AM$1&lt;INDEX('Valo FX'!$R:$R,MATCH($A17,'Valo FX'!$A:$A,0)),INDEX(Base!$U:$U,MATCH($A17,Base!$A:$A,0)),IF(AM$1=INDEX('Valo FX'!$R:$R,MATCH($A17,'Valo FX'!$A:$A,0)),INDEX(Base!$V:$V,MATCH($A17,Base!$A:$A,0)),0)))</f>
        <v>13.09985</v>
      </c>
      <c r="AN17" s="21">
        <f>IF(AN$1&lt;INDEX('Valo FX'!$Q:$Q,MATCH($A17,'Valo FX'!$A:$A,0)),0,IF(AN$1&lt;INDEX('Valo FX'!$R:$R,MATCH($A17,'Valo FX'!$A:$A,0)),INDEX(Base!$U:$U,MATCH($A17,Base!$A:$A,0)),IF(AN$1=INDEX('Valo FX'!$R:$R,MATCH($A17,'Valo FX'!$A:$A,0)),INDEX(Base!$V:$V,MATCH($A17,Base!$A:$A,0)),0)))</f>
        <v>13.09985</v>
      </c>
      <c r="AO17" s="21">
        <f>IF(AO$1&lt;INDEX('Valo FX'!$Q:$Q,MATCH($A17,'Valo FX'!$A:$A,0)),0,IF(AO$1&lt;INDEX('Valo FX'!$R:$R,MATCH($A17,'Valo FX'!$A:$A,0)),INDEX(Base!$U:$U,MATCH($A17,Base!$A:$A,0)),IF(AO$1=INDEX('Valo FX'!$R:$R,MATCH($A17,'Valo FX'!$A:$A,0)),INDEX(Base!$V:$V,MATCH($A17,Base!$A:$A,0)),0)))</f>
        <v>13.09985</v>
      </c>
      <c r="AP17" s="21">
        <f>IF(AP$1&lt;INDEX('Valo FX'!$Q:$Q,MATCH($A17,'Valo FX'!$A:$A,0)),0,IF(AP$1&lt;INDEX('Valo FX'!$R:$R,MATCH($A17,'Valo FX'!$A:$A,0)),INDEX(Base!$U:$U,MATCH($A17,Base!$A:$A,0)),IF(AP$1=INDEX('Valo FX'!$R:$R,MATCH($A17,'Valo FX'!$A:$A,0)),INDEX(Base!$V:$V,MATCH($A17,Base!$A:$A,0)),0)))</f>
        <v>13.09985</v>
      </c>
      <c r="AQ17" s="21">
        <f>IF(AQ$1&lt;INDEX('Valo FX'!$Q:$Q,MATCH($A17,'Valo FX'!$A:$A,0)),0,IF(AQ$1&lt;INDEX('Valo FX'!$R:$R,MATCH($A17,'Valo FX'!$A:$A,0)),INDEX(Base!$U:$U,MATCH($A17,Base!$A:$A,0)),IF(AQ$1=INDEX('Valo FX'!$R:$R,MATCH($A17,'Valo FX'!$A:$A,0)),INDEX(Base!$V:$V,MATCH($A17,Base!$A:$A,0)),0)))</f>
        <v>13.09985</v>
      </c>
      <c r="AR17" s="21">
        <f>IF(AR$1&lt;INDEX('Valo FX'!$Q:$Q,MATCH($A17,'Valo FX'!$A:$A,0)),0,IF(AR$1&lt;INDEX('Valo FX'!$R:$R,MATCH($A17,'Valo FX'!$A:$A,0)),INDEX(Base!$U:$U,MATCH($A17,Base!$A:$A,0)),IF(AR$1=INDEX('Valo FX'!$R:$R,MATCH($A17,'Valo FX'!$A:$A,0)),INDEX(Base!$V:$V,MATCH($A17,Base!$A:$A,0)),0)))</f>
        <v>13.09985</v>
      </c>
      <c r="AS17" s="21">
        <f>IF(AS$1&lt;INDEX('Valo FX'!$Q:$Q,MATCH($A17,'Valo FX'!$A:$A,0)),0,IF(AS$1&lt;INDEX('Valo FX'!$R:$R,MATCH($A17,'Valo FX'!$A:$A,0)),INDEX(Base!$U:$U,MATCH($A17,Base!$A:$A,0)),IF(AS$1=INDEX('Valo FX'!$R:$R,MATCH($A17,'Valo FX'!$A:$A,0)),INDEX(Base!$V:$V,MATCH($A17,Base!$A:$A,0)),0)))</f>
        <v>13.09985</v>
      </c>
      <c r="AT17" s="21">
        <f>IF(AT$1&lt;INDEX('Valo FX'!$Q:$Q,MATCH($A17,'Valo FX'!$A:$A,0)),0,IF(AT$1&lt;INDEX('Valo FX'!$R:$R,MATCH($A17,'Valo FX'!$A:$A,0)),INDEX(Base!$U:$U,MATCH($A17,Base!$A:$A,0)),IF(AT$1=INDEX('Valo FX'!$R:$R,MATCH($A17,'Valo FX'!$A:$A,0)),INDEX(Base!$V:$V,MATCH($A17,Base!$A:$A,0)),0)))</f>
        <v>13.09985</v>
      </c>
      <c r="AU17" s="21">
        <f>IF(AU$1&lt;INDEX('Valo FX'!$Q:$Q,MATCH($A17,'Valo FX'!$A:$A,0)),0,IF(AU$1&lt;INDEX('Valo FX'!$R:$R,MATCH($A17,'Valo FX'!$A:$A,0)),INDEX(Base!$U:$U,MATCH($A17,Base!$A:$A,0)),IF(AU$1=INDEX('Valo FX'!$R:$R,MATCH($A17,'Valo FX'!$A:$A,0)),INDEX(Base!$V:$V,MATCH($A17,Base!$A:$A,0)),0)))</f>
        <v>13.09985</v>
      </c>
      <c r="AV17" s="21">
        <f>IF(AV$1&lt;INDEX('Valo FX'!$Q:$Q,MATCH($A17,'Valo FX'!$A:$A,0)),0,IF(AV$1&lt;INDEX('Valo FX'!$R:$R,MATCH($A17,'Valo FX'!$A:$A,0)),INDEX(Base!$U:$U,MATCH($A17,Base!$A:$A,0)),IF(AV$1=INDEX('Valo FX'!$R:$R,MATCH($A17,'Valo FX'!$A:$A,0)),INDEX(Base!$V:$V,MATCH($A17,Base!$A:$A,0)),0)))</f>
        <v>13.09985</v>
      </c>
      <c r="AW17" s="21">
        <f>IF(AW$1&lt;INDEX('Valo FX'!$Q:$Q,MATCH($A17,'Valo FX'!$A:$A,0)),0,IF(AW$1&lt;INDEX('Valo FX'!$R:$R,MATCH($A17,'Valo FX'!$A:$A,0)),INDEX(Base!$U:$U,MATCH($A17,Base!$A:$A,0)),IF(AW$1=INDEX('Valo FX'!$R:$R,MATCH($A17,'Valo FX'!$A:$A,0)),INDEX(Base!$V:$V,MATCH($A17,Base!$A:$A,0)),0)))</f>
        <v>13.09985</v>
      </c>
      <c r="AX17" s="21">
        <f>IF(AX$1&lt;INDEX('Valo FX'!$Q:$Q,MATCH($A17,'Valo FX'!$A:$A,0)),0,IF(AX$1&lt;INDEX('Valo FX'!$R:$R,MATCH($A17,'Valo FX'!$A:$A,0)),INDEX(Base!$U:$U,MATCH($A17,Base!$A:$A,0)),IF(AX$1=INDEX('Valo FX'!$R:$R,MATCH($A17,'Valo FX'!$A:$A,0)),INDEX(Base!$V:$V,MATCH($A17,Base!$A:$A,0)),0)))</f>
        <v>13.09985</v>
      </c>
      <c r="AY17" s="21">
        <f>IF(AY$1&lt;INDEX('Valo FX'!$Q:$Q,MATCH($A17,'Valo FX'!$A:$A,0)),0,IF(AY$1&lt;INDEX('Valo FX'!$R:$R,MATCH($A17,'Valo FX'!$A:$A,0)),INDEX(Base!$U:$U,MATCH($A17,Base!$A:$A,0)),IF(AY$1=INDEX('Valo FX'!$R:$R,MATCH($A17,'Valo FX'!$A:$A,0)),INDEX(Base!$V:$V,MATCH($A17,Base!$A:$A,0)),0)))</f>
        <v>13.09985</v>
      </c>
      <c r="AZ17" s="21">
        <f>IF(AZ$1&lt;INDEX('Valo FX'!$Q:$Q,MATCH($A17,'Valo FX'!$A:$A,0)),0,IF(AZ$1&lt;INDEX('Valo FX'!$R:$R,MATCH($A17,'Valo FX'!$A:$A,0)),INDEX(Base!$U:$U,MATCH($A17,Base!$A:$A,0)),IF(AZ$1=INDEX('Valo FX'!$R:$R,MATCH($A17,'Valo FX'!$A:$A,0)),INDEX(Base!$V:$V,MATCH($A17,Base!$A:$A,0)),0)))</f>
        <v>13.09985</v>
      </c>
      <c r="BA17" s="21">
        <f>IF(BA$1&lt;INDEX('Valo FX'!$Q:$Q,MATCH($A17,'Valo FX'!$A:$A,0)),0,IF(BA$1&lt;INDEX('Valo FX'!$R:$R,MATCH($A17,'Valo FX'!$A:$A,0)),INDEX(Base!$U:$U,MATCH($A17,Base!$A:$A,0)),IF(BA$1=INDEX('Valo FX'!$R:$R,MATCH($A17,'Valo FX'!$A:$A,0)),INDEX(Base!$V:$V,MATCH($A17,Base!$A:$A,0)),0)))</f>
        <v>13.09985</v>
      </c>
      <c r="BB17" s="21">
        <f>IF(BB$1&lt;INDEX('Valo FX'!$Q:$Q,MATCH($A17,'Valo FX'!$A:$A,0)),0,IF(BB$1&lt;INDEX('Valo FX'!$R:$R,MATCH($A17,'Valo FX'!$A:$A,0)),INDEX(Base!$U:$U,MATCH($A17,Base!$A:$A,0)),IF(BB$1=INDEX('Valo FX'!$R:$R,MATCH($A17,'Valo FX'!$A:$A,0)),INDEX(Base!$V:$V,MATCH($A17,Base!$A:$A,0)),0)))</f>
        <v>13.09985</v>
      </c>
      <c r="BC17" s="21">
        <f>IF(BC$1&lt;INDEX('Valo FX'!$Q:$Q,MATCH($A17,'Valo FX'!$A:$A,0)),0,IF(BC$1&lt;INDEX('Valo FX'!$R:$R,MATCH($A17,'Valo FX'!$A:$A,0)),INDEX(Base!$U:$U,MATCH($A17,Base!$A:$A,0)),IF(BC$1=INDEX('Valo FX'!$R:$R,MATCH($A17,'Valo FX'!$A:$A,0)),INDEX(Base!$V:$V,MATCH($A17,Base!$A:$A,0)),0)))</f>
        <v>13.09985</v>
      </c>
      <c r="BD17" s="21">
        <f>IF(BD$1&lt;INDEX('Valo FX'!$Q:$Q,MATCH($A17,'Valo FX'!$A:$A,0)),0,IF(BD$1&lt;INDEX('Valo FX'!$R:$R,MATCH($A17,'Valo FX'!$A:$A,0)),INDEX(Base!$U:$U,MATCH($A17,Base!$A:$A,0)),IF(BD$1=INDEX('Valo FX'!$R:$R,MATCH($A17,'Valo FX'!$A:$A,0)),INDEX(Base!$V:$V,MATCH($A17,Base!$A:$A,0)),0)))</f>
        <v>13.09985</v>
      </c>
      <c r="BE17" s="21">
        <f>IF(BE$1&lt;INDEX('Valo FX'!$Q:$Q,MATCH($A17,'Valo FX'!$A:$A,0)),0,IF(BE$1&lt;INDEX('Valo FX'!$R:$R,MATCH($A17,'Valo FX'!$A:$A,0)),INDEX(Base!$U:$U,MATCH($A17,Base!$A:$A,0)),IF(BE$1=INDEX('Valo FX'!$R:$R,MATCH($A17,'Valo FX'!$A:$A,0)),INDEX(Base!$V:$V,MATCH($A17,Base!$A:$A,0)),0)))</f>
        <v>13.09985</v>
      </c>
      <c r="BF17" s="21">
        <f>IF(BF$1&lt;INDEX('Valo FX'!$Q:$Q,MATCH($A17,'Valo FX'!$A:$A,0)),0,IF(BF$1&lt;INDEX('Valo FX'!$R:$R,MATCH($A17,'Valo FX'!$A:$A,0)),INDEX(Base!$U:$U,MATCH($A17,Base!$A:$A,0)),IF(BF$1=INDEX('Valo FX'!$R:$R,MATCH($A17,'Valo FX'!$A:$A,0)),INDEX(Base!$V:$V,MATCH($A17,Base!$A:$A,0)),0)))</f>
        <v>13.09985</v>
      </c>
      <c r="BG17" s="21">
        <f>IF(BG$1&lt;INDEX('Valo FX'!$Q:$Q,MATCH($A17,'Valo FX'!$A:$A,0)),0,IF(BG$1&lt;INDEX('Valo FX'!$R:$R,MATCH($A17,'Valo FX'!$A:$A,0)),INDEX(Base!$U:$U,MATCH($A17,Base!$A:$A,0)),IF(BG$1=INDEX('Valo FX'!$R:$R,MATCH($A17,'Valo FX'!$A:$A,0)),INDEX(Base!$V:$V,MATCH($A17,Base!$A:$A,0)),0)))</f>
        <v>13.09985</v>
      </c>
      <c r="BH17" s="21">
        <f>IF(BH$1&lt;INDEX('Valo FX'!$Q:$Q,MATCH($A17,'Valo FX'!$A:$A,0)),0,IF(BH$1&lt;INDEX('Valo FX'!$R:$R,MATCH($A17,'Valo FX'!$A:$A,0)),INDEX(Base!$U:$U,MATCH($A17,Base!$A:$A,0)),IF(BH$1=INDEX('Valo FX'!$R:$R,MATCH($A17,'Valo FX'!$A:$A,0)),INDEX(Base!$V:$V,MATCH($A17,Base!$A:$A,0)),0)))</f>
        <v>13.09985</v>
      </c>
      <c r="BI17" s="21">
        <f>IF(BI$1&lt;INDEX('Valo FX'!$Q:$Q,MATCH($A17,'Valo FX'!$A:$A,0)),0,IF(BI$1&lt;INDEX('Valo FX'!$R:$R,MATCH($A17,'Valo FX'!$A:$A,0)),INDEX(Base!$U:$U,MATCH($A17,Base!$A:$A,0)),IF(BI$1=INDEX('Valo FX'!$R:$R,MATCH($A17,'Valo FX'!$A:$A,0)),INDEX(Base!$V:$V,MATCH($A17,Base!$A:$A,0)),0)))</f>
        <v>13.09985</v>
      </c>
      <c r="BJ17" s="21">
        <f>IF(BJ$1&lt;INDEX('Valo FX'!$Q:$Q,MATCH($A17,'Valo FX'!$A:$A,0)),0,IF(BJ$1&lt;INDEX('Valo FX'!$R:$R,MATCH($A17,'Valo FX'!$A:$A,0)),INDEX(Base!$U:$U,MATCH($A17,Base!$A:$A,0)),IF(BJ$1=INDEX('Valo FX'!$R:$R,MATCH($A17,'Valo FX'!$A:$A,0)),INDEX(Base!$V:$V,MATCH($A17,Base!$A:$A,0)),0)))</f>
        <v>13.09985</v>
      </c>
      <c r="BK17" s="21">
        <f>IF(BK$1&lt;INDEX('Valo FX'!$Q:$Q,MATCH($A17,'Valo FX'!$A:$A,0)),0,IF(BK$1&lt;INDEX('Valo FX'!$R:$R,MATCH($A17,'Valo FX'!$A:$A,0)),INDEX(Base!$U:$U,MATCH($A17,Base!$A:$A,0)),IF(BK$1=INDEX('Valo FX'!$R:$R,MATCH($A17,'Valo FX'!$A:$A,0)),INDEX(Base!$V:$V,MATCH($A17,Base!$A:$A,0)),0)))</f>
        <v>13.09985</v>
      </c>
      <c r="BL17" s="21">
        <f>IF(BL$1&lt;INDEX('Valo FX'!$Q:$Q,MATCH($A17,'Valo FX'!$A:$A,0)),0,IF(BL$1&lt;INDEX('Valo FX'!$R:$R,MATCH($A17,'Valo FX'!$A:$A,0)),INDEX(Base!$U:$U,MATCH($A17,Base!$A:$A,0)),IF(BL$1=INDEX('Valo FX'!$R:$R,MATCH($A17,'Valo FX'!$A:$A,0)),INDEX(Base!$V:$V,MATCH($A17,Base!$A:$A,0)),0)))</f>
        <v>13.09985</v>
      </c>
      <c r="BM17" s="21">
        <f>IF(BM$1&lt;INDEX('Valo FX'!$Q:$Q,MATCH($A17,'Valo FX'!$A:$A,0)),0,IF(BM$1&lt;INDEX('Valo FX'!$R:$R,MATCH($A17,'Valo FX'!$A:$A,0)),INDEX(Base!$U:$U,MATCH($A17,Base!$A:$A,0)),IF(BM$1=INDEX('Valo FX'!$R:$R,MATCH($A17,'Valo FX'!$A:$A,0)),INDEX(Base!$V:$V,MATCH($A17,Base!$A:$A,0)),0)))</f>
        <v>13.09985</v>
      </c>
      <c r="BN17" s="21">
        <f>IF(BN$1&lt;INDEX('Valo FX'!$Q:$Q,MATCH($A17,'Valo FX'!$A:$A,0)),0,IF(BN$1&lt;INDEX('Valo FX'!$R:$R,MATCH($A17,'Valo FX'!$A:$A,0)),INDEX(Base!$U:$U,MATCH($A17,Base!$A:$A,0)),IF(BN$1=INDEX('Valo FX'!$R:$R,MATCH($A17,'Valo FX'!$A:$A,0)),INDEX(Base!$V:$V,MATCH($A17,Base!$A:$A,0)),0)))</f>
        <v>13.09985</v>
      </c>
      <c r="BO17" s="21">
        <f>IF(BO$1&lt;INDEX('Valo FX'!$Q:$Q,MATCH($A17,'Valo FX'!$A:$A,0)),0,IF(BO$1&lt;INDEX('Valo FX'!$R:$R,MATCH($A17,'Valo FX'!$A:$A,0)),INDEX(Base!$U:$U,MATCH($A17,Base!$A:$A,0)),IF(BO$1=INDEX('Valo FX'!$R:$R,MATCH($A17,'Valo FX'!$A:$A,0)),INDEX(Base!$V:$V,MATCH($A17,Base!$A:$A,0)),0)))</f>
        <v>13.09985</v>
      </c>
      <c r="BP17" s="21">
        <f>IF(BP$1&lt;INDEX('Valo FX'!$Q:$Q,MATCH($A17,'Valo FX'!$A:$A,0)),0,IF(BP$1&lt;INDEX('Valo FX'!$R:$R,MATCH($A17,'Valo FX'!$A:$A,0)),INDEX(Base!$U:$U,MATCH($A17,Base!$A:$A,0)),IF(BP$1=INDEX('Valo FX'!$R:$R,MATCH($A17,'Valo FX'!$A:$A,0)),INDEX(Base!$V:$V,MATCH($A17,Base!$A:$A,0)),0)))</f>
        <v>13.09985</v>
      </c>
      <c r="BQ17" s="21">
        <f>IF(BQ$1&lt;INDEX('Valo FX'!$Q:$Q,MATCH($A17,'Valo FX'!$A:$A,0)),0,IF(BQ$1&lt;INDEX('Valo FX'!$R:$R,MATCH($A17,'Valo FX'!$A:$A,0)),INDEX(Base!$U:$U,MATCH($A17,Base!$A:$A,0)),IF(BQ$1=INDEX('Valo FX'!$R:$R,MATCH($A17,'Valo FX'!$A:$A,0)),INDEX(Base!$V:$V,MATCH($A17,Base!$A:$A,0)),0)))</f>
        <v>13.09985</v>
      </c>
      <c r="BR17" s="21">
        <f>IF(BR$1&lt;INDEX('Valo FX'!$Q:$Q,MATCH($A17,'Valo FX'!$A:$A,0)),0,IF(BR$1&lt;INDEX('Valo FX'!$R:$R,MATCH($A17,'Valo FX'!$A:$A,0)),INDEX(Base!$U:$U,MATCH($A17,Base!$A:$A,0)),IF(BR$1=INDEX('Valo FX'!$R:$R,MATCH($A17,'Valo FX'!$A:$A,0)),INDEX(Base!$V:$V,MATCH($A17,Base!$A:$A,0)),0)))</f>
        <v>13.09985</v>
      </c>
      <c r="BS17" s="21">
        <f>IF(BS$1&lt;INDEX('Valo FX'!$Q:$Q,MATCH($A17,'Valo FX'!$A:$A,0)),0,IF(BS$1&lt;INDEX('Valo FX'!$R:$R,MATCH($A17,'Valo FX'!$A:$A,0)),INDEX(Base!$U:$U,MATCH($A17,Base!$A:$A,0)),IF(BS$1=INDEX('Valo FX'!$R:$R,MATCH($A17,'Valo FX'!$A:$A,0)),INDEX(Base!$V:$V,MATCH($A17,Base!$A:$A,0)),0)))</f>
        <v>13.09985</v>
      </c>
      <c r="BT17" s="21">
        <f>IF(BT$1&lt;INDEX('Valo FX'!$Q:$Q,MATCH($A17,'Valo FX'!$A:$A,0)),0,IF(BT$1&lt;INDEX('Valo FX'!$R:$R,MATCH($A17,'Valo FX'!$A:$A,0)),INDEX(Base!$U:$U,MATCH($A17,Base!$A:$A,0)),IF(BT$1=INDEX('Valo FX'!$R:$R,MATCH($A17,'Valo FX'!$A:$A,0)),INDEX(Base!$V:$V,MATCH($A17,Base!$A:$A,0)),0)))</f>
        <v>13.09985</v>
      </c>
      <c r="BU17" s="21">
        <f>IF(BU$1&lt;INDEX('Valo FX'!$Q:$Q,MATCH($A17,'Valo FX'!$A:$A,0)),0,IF(BU$1&lt;INDEX('Valo FX'!$R:$R,MATCH($A17,'Valo FX'!$A:$A,0)),INDEX(Base!$U:$U,MATCH($A17,Base!$A:$A,0)),IF(BU$1=INDEX('Valo FX'!$R:$R,MATCH($A17,'Valo FX'!$A:$A,0)),INDEX(Base!$V:$V,MATCH($A17,Base!$A:$A,0)),0)))</f>
        <v>13.09985</v>
      </c>
      <c r="BV17" s="21">
        <f>IF(BV$1&lt;INDEX('Valo FX'!$Q:$Q,MATCH($A17,'Valo FX'!$A:$A,0)),0,IF(BV$1&lt;INDEX('Valo FX'!$R:$R,MATCH($A17,'Valo FX'!$A:$A,0)),INDEX(Base!$U:$U,MATCH($A17,Base!$A:$A,0)),IF(BV$1=INDEX('Valo FX'!$R:$R,MATCH($A17,'Valo FX'!$A:$A,0)),INDEX(Base!$V:$V,MATCH($A17,Base!$A:$A,0)),0)))</f>
        <v>13.09985</v>
      </c>
      <c r="BW17" s="21">
        <f>IF(BW$1&lt;INDEX('Valo FX'!$Q:$Q,MATCH($A17,'Valo FX'!$A:$A,0)),0,IF(BW$1&lt;INDEX('Valo FX'!$R:$R,MATCH($A17,'Valo FX'!$A:$A,0)),INDEX(Base!$U:$U,MATCH($A17,Base!$A:$A,0)),IF(BW$1=INDEX('Valo FX'!$R:$R,MATCH($A17,'Valo FX'!$A:$A,0)),INDEX(Base!$V:$V,MATCH($A17,Base!$A:$A,0)),0)))</f>
        <v>13.09985</v>
      </c>
      <c r="BX17" s="21">
        <f>IF(BX$1&lt;INDEX('Valo FX'!$Q:$Q,MATCH($A17,'Valo FX'!$A:$A,0)),0,IF(BX$1&lt;INDEX('Valo FX'!$R:$R,MATCH($A17,'Valo FX'!$A:$A,0)),INDEX(Base!$U:$U,MATCH($A17,Base!$A:$A,0)),IF(BX$1=INDEX('Valo FX'!$R:$R,MATCH($A17,'Valo FX'!$A:$A,0)),INDEX(Base!$V:$V,MATCH($A17,Base!$A:$A,0)),0)))</f>
        <v>13.09985</v>
      </c>
      <c r="BY17" s="21">
        <f>IF(BY$1&lt;INDEX('Valo FX'!$Q:$Q,MATCH($A17,'Valo FX'!$A:$A,0)),0,IF(BY$1&lt;INDEX('Valo FX'!$R:$R,MATCH($A17,'Valo FX'!$A:$A,0)),INDEX(Base!$U:$U,MATCH($A17,Base!$A:$A,0)),IF(BY$1=INDEX('Valo FX'!$R:$R,MATCH($A17,'Valo FX'!$A:$A,0)),INDEX(Base!$V:$V,MATCH($A17,Base!$A:$A,0)),0)))</f>
        <v>13.09985</v>
      </c>
      <c r="BZ17" s="21">
        <f>IF(BZ$1&lt;INDEX('Valo FX'!$Q:$Q,MATCH($A17,'Valo FX'!$A:$A,0)),0,IF(BZ$1&lt;INDEX('Valo FX'!$R:$R,MATCH($A17,'Valo FX'!$A:$A,0)),INDEX(Base!$U:$U,MATCH($A17,Base!$A:$A,0)),IF(BZ$1=INDEX('Valo FX'!$R:$R,MATCH($A17,'Valo FX'!$A:$A,0)),INDEX(Base!$V:$V,MATCH($A17,Base!$A:$A,0)),0)))</f>
        <v>13.09985</v>
      </c>
      <c r="CA17" s="21">
        <f>IF(CA$1&lt;INDEX('Valo FX'!$Q:$Q,MATCH($A17,'Valo FX'!$A:$A,0)),0,IF(CA$1&lt;INDEX('Valo FX'!$R:$R,MATCH($A17,'Valo FX'!$A:$A,0)),INDEX(Base!$U:$U,MATCH($A17,Base!$A:$A,0)),IF(CA$1=INDEX('Valo FX'!$R:$R,MATCH($A17,'Valo FX'!$A:$A,0)),INDEX(Base!$V:$V,MATCH($A17,Base!$A:$A,0)),0)))</f>
        <v>13.09985</v>
      </c>
      <c r="CB17" s="21">
        <f>IF(CB$1&lt;INDEX('Valo FX'!$Q:$Q,MATCH($A17,'Valo FX'!$A:$A,0)),0,IF(CB$1&lt;INDEX('Valo FX'!$R:$R,MATCH($A17,'Valo FX'!$A:$A,0)),INDEX(Base!$U:$U,MATCH($A17,Base!$A:$A,0)),IF(CB$1=INDEX('Valo FX'!$R:$R,MATCH($A17,'Valo FX'!$A:$A,0)),INDEX(Base!$V:$V,MATCH($A17,Base!$A:$A,0)),0)))</f>
        <v>13.09985</v>
      </c>
      <c r="CC17" s="21">
        <f>IF(CC$1&lt;INDEX('Valo FX'!$Q:$Q,MATCH($A17,'Valo FX'!$A:$A,0)),0,IF(CC$1&lt;INDEX('Valo FX'!$R:$R,MATCH($A17,'Valo FX'!$A:$A,0)),INDEX(Base!$U:$U,MATCH($A17,Base!$A:$A,0)),IF(CC$1=INDEX('Valo FX'!$R:$R,MATCH($A17,'Valo FX'!$A:$A,0)),INDEX(Base!$V:$V,MATCH($A17,Base!$A:$A,0)),0)))</f>
        <v>13.09985</v>
      </c>
      <c r="CD17" s="21">
        <f>IF(CD$1&lt;INDEX('Valo FX'!$Q:$Q,MATCH($A17,'Valo FX'!$A:$A,0)),0,IF(CD$1&lt;INDEX('Valo FX'!$R:$R,MATCH($A17,'Valo FX'!$A:$A,0)),INDEX(Base!$U:$U,MATCH($A17,Base!$A:$A,0)),IF(CD$1=INDEX('Valo FX'!$R:$R,MATCH($A17,'Valo FX'!$A:$A,0)),INDEX(Base!$V:$V,MATCH($A17,Base!$A:$A,0)),0)))</f>
        <v>13.09985</v>
      </c>
      <c r="CE17" s="21">
        <f>IF(CE$1&lt;INDEX('Valo FX'!$Q:$Q,MATCH($A17,'Valo FX'!$A:$A,0)),0,IF(CE$1&lt;INDEX('Valo FX'!$R:$R,MATCH($A17,'Valo FX'!$A:$A,0)),INDEX(Base!$U:$U,MATCH($A17,Base!$A:$A,0)),IF(CE$1=INDEX('Valo FX'!$R:$R,MATCH($A17,'Valo FX'!$A:$A,0)),INDEX(Base!$V:$V,MATCH($A17,Base!$A:$A,0)),0)))</f>
        <v>13.09985</v>
      </c>
      <c r="CF17" s="21">
        <f>IF(CF$1&lt;INDEX('Valo FX'!$Q:$Q,MATCH($A17,'Valo FX'!$A:$A,0)),0,IF(CF$1&lt;INDEX('Valo FX'!$R:$R,MATCH($A17,'Valo FX'!$A:$A,0)),INDEX(Base!$U:$U,MATCH($A17,Base!$A:$A,0)),IF(CF$1=INDEX('Valo FX'!$R:$R,MATCH($A17,'Valo FX'!$A:$A,0)),INDEX(Base!$V:$V,MATCH($A17,Base!$A:$A,0)),0)))</f>
        <v>13.09985</v>
      </c>
      <c r="CG17" s="21">
        <f>IF(CG$1&lt;INDEX('Valo FX'!$Q:$Q,MATCH($A17,'Valo FX'!$A:$A,0)),0,IF(CG$1&lt;INDEX('Valo FX'!$R:$R,MATCH($A17,'Valo FX'!$A:$A,0)),INDEX(Base!$U:$U,MATCH($A17,Base!$A:$A,0)),IF(CG$1=INDEX('Valo FX'!$R:$R,MATCH($A17,'Valo FX'!$A:$A,0)),INDEX(Base!$V:$V,MATCH($A17,Base!$A:$A,0)),0)))</f>
        <v>13.09985</v>
      </c>
      <c r="CH17" s="21">
        <f>IF(CH$1&lt;INDEX('Valo FX'!$Q:$Q,MATCH($A17,'Valo FX'!$A:$A,0)),0,IF(CH$1&lt;INDEX('Valo FX'!$R:$R,MATCH($A17,'Valo FX'!$A:$A,0)),INDEX(Base!$U:$U,MATCH($A17,Base!$A:$A,0)),IF(CH$1=INDEX('Valo FX'!$R:$R,MATCH($A17,'Valo FX'!$A:$A,0)),INDEX(Base!$V:$V,MATCH($A17,Base!$A:$A,0)),0)))</f>
        <v>13.09985</v>
      </c>
      <c r="CI17" s="21">
        <f>IF(CI$1&lt;INDEX('Valo FX'!$Q:$Q,MATCH($A17,'Valo FX'!$A:$A,0)),0,IF(CI$1&lt;INDEX('Valo FX'!$R:$R,MATCH($A17,'Valo FX'!$A:$A,0)),INDEX(Base!$U:$U,MATCH($A17,Base!$A:$A,0)),IF(CI$1=INDEX('Valo FX'!$R:$R,MATCH($A17,'Valo FX'!$A:$A,0)),INDEX(Base!$V:$V,MATCH($A17,Base!$A:$A,0)),0)))</f>
        <v>13.09985</v>
      </c>
      <c r="CJ17" s="21">
        <f>IF(CJ$1&lt;INDEX('Valo FX'!$Q:$Q,MATCH($A17,'Valo FX'!$A:$A,0)),0,IF(CJ$1&lt;INDEX('Valo FX'!$R:$R,MATCH($A17,'Valo FX'!$A:$A,0)),INDEX(Base!$U:$U,MATCH($A17,Base!$A:$A,0)),IF(CJ$1=INDEX('Valo FX'!$R:$R,MATCH($A17,'Valo FX'!$A:$A,0)),INDEX(Base!$V:$V,MATCH($A17,Base!$A:$A,0)),0)))</f>
        <v>13.09985</v>
      </c>
      <c r="CK17" s="21">
        <f>IF(CK$1&lt;INDEX('Valo FX'!$Q:$Q,MATCH($A17,'Valo FX'!$A:$A,0)),0,IF(CK$1&lt;INDEX('Valo FX'!$R:$R,MATCH($A17,'Valo FX'!$A:$A,0)),INDEX(Base!$U:$U,MATCH($A17,Base!$A:$A,0)),IF(CK$1=INDEX('Valo FX'!$R:$R,MATCH($A17,'Valo FX'!$A:$A,0)),INDEX(Base!$V:$V,MATCH($A17,Base!$A:$A,0)),0)))</f>
        <v>13.09985</v>
      </c>
      <c r="CL17" s="21">
        <f>IF(CL$1&lt;INDEX('Valo FX'!$Q:$Q,MATCH($A17,'Valo FX'!$A:$A,0)),0,IF(CL$1&lt;INDEX('Valo FX'!$R:$R,MATCH($A17,'Valo FX'!$A:$A,0)),INDEX(Base!$U:$U,MATCH($A17,Base!$A:$A,0)),IF(CL$1=INDEX('Valo FX'!$R:$R,MATCH($A17,'Valo FX'!$A:$A,0)),INDEX(Base!$V:$V,MATCH($A17,Base!$A:$A,0)),0)))</f>
        <v>13.09985</v>
      </c>
      <c r="CM17" s="21">
        <f>IF(CM$1&lt;INDEX('Valo FX'!$Q:$Q,MATCH($A17,'Valo FX'!$A:$A,0)),0,IF(CM$1&lt;INDEX('Valo FX'!$R:$R,MATCH($A17,'Valo FX'!$A:$A,0)),INDEX(Base!$U:$U,MATCH($A17,Base!$A:$A,0)),IF(CM$1=INDEX('Valo FX'!$R:$R,MATCH($A17,'Valo FX'!$A:$A,0)),INDEX(Base!$V:$V,MATCH($A17,Base!$A:$A,0)),0)))</f>
        <v>13.09985</v>
      </c>
      <c r="CN17" s="21">
        <f>IF(CN$1&lt;INDEX('Valo FX'!$Q:$Q,MATCH($A17,'Valo FX'!$A:$A,0)),0,IF(CN$1&lt;INDEX('Valo FX'!$R:$R,MATCH($A17,'Valo FX'!$A:$A,0)),INDEX(Base!$U:$U,MATCH($A17,Base!$A:$A,0)),IF(CN$1=INDEX('Valo FX'!$R:$R,MATCH($A17,'Valo FX'!$A:$A,0)),INDEX(Base!$V:$V,MATCH($A17,Base!$A:$A,0)),0)))</f>
        <v>13.09985</v>
      </c>
      <c r="CO17" s="21">
        <f>IF(CO$1&lt;INDEX('Valo FX'!$Q:$Q,MATCH($A17,'Valo FX'!$A:$A,0)),0,IF(CO$1&lt;INDEX('Valo FX'!$R:$R,MATCH($A17,'Valo FX'!$A:$A,0)),INDEX(Base!$U:$U,MATCH($A17,Base!$A:$A,0)),IF(CO$1=INDEX('Valo FX'!$R:$R,MATCH($A17,'Valo FX'!$A:$A,0)),INDEX(Base!$V:$V,MATCH($A17,Base!$A:$A,0)),0)))</f>
        <v>13.09985</v>
      </c>
      <c r="CP17" s="21">
        <f>IF(CP$1&lt;INDEX('Valo FX'!$Q:$Q,MATCH($A17,'Valo FX'!$A:$A,0)),0,IF(CP$1&lt;INDEX('Valo FX'!$R:$R,MATCH($A17,'Valo FX'!$A:$A,0)),INDEX(Base!$U:$U,MATCH($A17,Base!$A:$A,0)),IF(CP$1=INDEX('Valo FX'!$R:$R,MATCH($A17,'Valo FX'!$A:$A,0)),INDEX(Base!$V:$V,MATCH($A17,Base!$A:$A,0)),0)))</f>
        <v>13.09985</v>
      </c>
      <c r="CQ17" s="21">
        <f>IF(CQ$1&lt;INDEX('Valo FX'!$Q:$Q,MATCH($A17,'Valo FX'!$A:$A,0)),0,IF(CQ$1&lt;INDEX('Valo FX'!$R:$R,MATCH($A17,'Valo FX'!$A:$A,0)),INDEX(Base!$U:$U,MATCH($A17,Base!$A:$A,0)),IF(CQ$1=INDEX('Valo FX'!$R:$R,MATCH($A17,'Valo FX'!$A:$A,0)),INDEX(Base!$V:$V,MATCH($A17,Base!$A:$A,0)),0)))</f>
        <v>13.09985</v>
      </c>
      <c r="CR17" s="21">
        <f>IF(CR$1&lt;INDEX('Valo FX'!$Q:$Q,MATCH($A17,'Valo FX'!$A:$A,0)),0,IF(CR$1&lt;INDEX('Valo FX'!$R:$R,MATCH($A17,'Valo FX'!$A:$A,0)),INDEX(Base!$U:$U,MATCH($A17,Base!$A:$A,0)),IF(CR$1=INDEX('Valo FX'!$R:$R,MATCH($A17,'Valo FX'!$A:$A,0)),INDEX(Base!$V:$V,MATCH($A17,Base!$A:$A,0)),0)))</f>
        <v>13.09985</v>
      </c>
      <c r="CS17" s="21">
        <f>IF(CS$1&lt;INDEX('Valo FX'!$Q:$Q,MATCH($A17,'Valo FX'!$A:$A,0)),0,IF(CS$1&lt;INDEX('Valo FX'!$R:$R,MATCH($A17,'Valo FX'!$A:$A,0)),INDEX(Base!$U:$U,MATCH($A17,Base!$A:$A,0)),IF(CS$1=INDEX('Valo FX'!$R:$R,MATCH($A17,'Valo FX'!$A:$A,0)),INDEX(Base!$V:$V,MATCH($A17,Base!$A:$A,0)),0)))</f>
        <v>13.09985</v>
      </c>
      <c r="CT17" s="21">
        <f>IF(CT$1&lt;INDEX('Valo FX'!$Q:$Q,MATCH($A17,'Valo FX'!$A:$A,0)),0,IF(CT$1&lt;INDEX('Valo FX'!$R:$R,MATCH($A17,'Valo FX'!$A:$A,0)),INDEX(Base!$U:$U,MATCH($A17,Base!$A:$A,0)),IF(CT$1=INDEX('Valo FX'!$R:$R,MATCH($A17,'Valo FX'!$A:$A,0)),INDEX(Base!$V:$V,MATCH($A17,Base!$A:$A,0)),0)))</f>
        <v>13.09985</v>
      </c>
      <c r="CU17" s="21">
        <f>IF(CU$1&lt;INDEX('Valo FX'!$Q:$Q,MATCH($A17,'Valo FX'!$A:$A,0)),0,IF(CU$1&lt;INDEX('Valo FX'!$R:$R,MATCH($A17,'Valo FX'!$A:$A,0)),INDEX(Base!$U:$U,MATCH($A17,Base!$A:$A,0)),IF(CU$1=INDEX('Valo FX'!$R:$R,MATCH($A17,'Valo FX'!$A:$A,0)),INDEX(Base!$V:$V,MATCH($A17,Base!$A:$A,0)),0)))</f>
        <v>13.09985</v>
      </c>
      <c r="CV17" s="21">
        <f>IF(CV$1&lt;INDEX('Valo FX'!$Q:$Q,MATCH($A17,'Valo FX'!$A:$A,0)),0,IF(CV$1&lt;INDEX('Valo FX'!$R:$R,MATCH($A17,'Valo FX'!$A:$A,0)),INDEX(Base!$U:$U,MATCH($A17,Base!$A:$A,0)),IF(CV$1=INDEX('Valo FX'!$R:$R,MATCH($A17,'Valo FX'!$A:$A,0)),INDEX(Base!$V:$V,MATCH($A17,Base!$A:$A,0)),0)))</f>
        <v>13.09985</v>
      </c>
      <c r="CW17" s="21">
        <f>IF(CW$1&lt;INDEX('Valo FX'!$Q:$Q,MATCH($A17,'Valo FX'!$A:$A,0)),0,IF(CW$1&lt;INDEX('Valo FX'!$R:$R,MATCH($A17,'Valo FX'!$A:$A,0)),INDEX(Base!$U:$U,MATCH($A17,Base!$A:$A,0)),IF(CW$1=INDEX('Valo FX'!$R:$R,MATCH($A17,'Valo FX'!$A:$A,0)),INDEX(Base!$V:$V,MATCH($A17,Base!$A:$A,0)),0)))</f>
        <v>13.09985</v>
      </c>
      <c r="CX17" s="21">
        <f>IF(CX$1&lt;INDEX('Valo FX'!$Q:$Q,MATCH($A17,'Valo FX'!$A:$A,0)),0,IF(CX$1&lt;INDEX('Valo FX'!$R:$R,MATCH($A17,'Valo FX'!$A:$A,0)),INDEX(Base!$U:$U,MATCH($A17,Base!$A:$A,0)),IF(CX$1=INDEX('Valo FX'!$R:$R,MATCH($A17,'Valo FX'!$A:$A,0)),INDEX(Base!$V:$V,MATCH($A17,Base!$A:$A,0)),0)))</f>
        <v>13.09985</v>
      </c>
      <c r="CY17" s="21">
        <f>IF(CY$1&lt;INDEX('Valo FX'!$Q:$Q,MATCH($A17,'Valo FX'!$A:$A,0)),0,IF(CY$1&lt;INDEX('Valo FX'!$R:$R,MATCH($A17,'Valo FX'!$A:$A,0)),INDEX(Base!$U:$U,MATCH($A17,Base!$A:$A,0)),IF(CY$1=INDEX('Valo FX'!$R:$R,MATCH($A17,'Valo FX'!$A:$A,0)),INDEX(Base!$V:$V,MATCH($A17,Base!$A:$A,0)),0)))</f>
        <v>13.09985</v>
      </c>
      <c r="CZ17" s="21">
        <f>IF(CZ$1&lt;INDEX('Valo FX'!$Q:$Q,MATCH($A17,'Valo FX'!$A:$A,0)),0,IF(CZ$1&lt;INDEX('Valo FX'!$R:$R,MATCH($A17,'Valo FX'!$A:$A,0)),INDEX(Base!$U:$U,MATCH($A17,Base!$A:$A,0)),IF(CZ$1=INDEX('Valo FX'!$R:$R,MATCH($A17,'Valo FX'!$A:$A,0)),INDEX(Base!$V:$V,MATCH($A17,Base!$A:$A,0)),0)))</f>
        <v>13.09985</v>
      </c>
      <c r="DA17" s="21">
        <f>IF(DA$1&lt;INDEX('Valo FX'!$Q:$Q,MATCH($A17,'Valo FX'!$A:$A,0)),0,IF(DA$1&lt;INDEX('Valo FX'!$R:$R,MATCH($A17,'Valo FX'!$A:$A,0)),INDEX(Base!$U:$U,MATCH($A17,Base!$A:$A,0)),IF(DA$1=INDEX('Valo FX'!$R:$R,MATCH($A17,'Valo FX'!$A:$A,0)),INDEX(Base!$V:$V,MATCH($A17,Base!$A:$A,0)),0)))</f>
        <v>13.09985</v>
      </c>
      <c r="DB17" s="21">
        <f>IF(DB$1&lt;INDEX('Valo FX'!$Q:$Q,MATCH($A17,'Valo FX'!$A:$A,0)),0,IF(DB$1&lt;INDEX('Valo FX'!$R:$R,MATCH($A17,'Valo FX'!$A:$A,0)),INDEX(Base!$U:$U,MATCH($A17,Base!$A:$A,0)),IF(DB$1=INDEX('Valo FX'!$R:$R,MATCH($A17,'Valo FX'!$A:$A,0)),INDEX(Base!$V:$V,MATCH($A17,Base!$A:$A,0)),0)))</f>
        <v>13.09985</v>
      </c>
      <c r="DC17" s="21">
        <f>IF(DC$1&lt;INDEX('Valo FX'!$Q:$Q,MATCH($A17,'Valo FX'!$A:$A,0)),0,IF(DC$1&lt;INDEX('Valo FX'!$R:$R,MATCH($A17,'Valo FX'!$A:$A,0)),INDEX(Base!$U:$U,MATCH($A17,Base!$A:$A,0)),IF(DC$1=INDEX('Valo FX'!$R:$R,MATCH($A17,'Valo FX'!$A:$A,0)),INDEX(Base!$V:$V,MATCH($A17,Base!$A:$A,0)),0)))</f>
        <v>13.09985</v>
      </c>
      <c r="DD17" s="21">
        <f>IF(DD$1&lt;INDEX('Valo FX'!$Q:$Q,MATCH($A17,'Valo FX'!$A:$A,0)),0,IF(DD$1&lt;INDEX('Valo FX'!$R:$R,MATCH($A17,'Valo FX'!$A:$A,0)),INDEX(Base!$U:$U,MATCH($A17,Base!$A:$A,0)),IF(DD$1=INDEX('Valo FX'!$R:$R,MATCH($A17,'Valo FX'!$A:$A,0)),INDEX(Base!$V:$V,MATCH($A17,Base!$A:$A,0)),0)))</f>
        <v>13.09985</v>
      </c>
      <c r="DE17" s="21">
        <f>IF(DE$1&lt;INDEX('Valo FX'!$Q:$Q,MATCH($A17,'Valo FX'!$A:$A,0)),0,IF(DE$1&lt;INDEX('Valo FX'!$R:$R,MATCH($A17,'Valo FX'!$A:$A,0)),INDEX(Base!$U:$U,MATCH($A17,Base!$A:$A,0)),IF(DE$1=INDEX('Valo FX'!$R:$R,MATCH($A17,'Valo FX'!$A:$A,0)),INDEX(Base!$V:$V,MATCH($A17,Base!$A:$A,0)),0)))</f>
        <v>13.09985</v>
      </c>
      <c r="DF17" s="21">
        <f>IF(DF$1&lt;INDEX('Valo FX'!$Q:$Q,MATCH($A17,'Valo FX'!$A:$A,0)),0,IF(DF$1&lt;INDEX('Valo FX'!$R:$R,MATCH($A17,'Valo FX'!$A:$A,0)),INDEX(Base!$U:$U,MATCH($A17,Base!$A:$A,0)),IF(DF$1=INDEX('Valo FX'!$R:$R,MATCH($A17,'Valo FX'!$A:$A,0)),INDEX(Base!$V:$V,MATCH($A17,Base!$A:$A,0)),0)))</f>
        <v>13.09985</v>
      </c>
      <c r="DG17" s="21">
        <f>IF(DG$1&lt;INDEX('Valo FX'!$Q:$Q,MATCH($A17,'Valo FX'!$A:$A,0)),0,IF(DG$1&lt;INDEX('Valo FX'!$R:$R,MATCH($A17,'Valo FX'!$A:$A,0)),INDEX(Base!$U:$U,MATCH($A17,Base!$A:$A,0)),IF(DG$1=INDEX('Valo FX'!$R:$R,MATCH($A17,'Valo FX'!$A:$A,0)),INDEX(Base!$V:$V,MATCH($A17,Base!$A:$A,0)),0)))</f>
        <v>13.09985</v>
      </c>
      <c r="DH17" s="21">
        <f>IF(DH$1&lt;INDEX('Valo FX'!$Q:$Q,MATCH($A17,'Valo FX'!$A:$A,0)),0,IF(DH$1&lt;INDEX('Valo FX'!$R:$R,MATCH($A17,'Valo FX'!$A:$A,0)),INDEX(Base!$U:$U,MATCH($A17,Base!$A:$A,0)),IF(DH$1=INDEX('Valo FX'!$R:$R,MATCH($A17,'Valo FX'!$A:$A,0)),INDEX(Base!$V:$V,MATCH($A17,Base!$A:$A,0)),0)))</f>
        <v>13.09985</v>
      </c>
      <c r="DI17" s="21">
        <f>IF(DI$1&lt;INDEX('Valo FX'!$Q:$Q,MATCH($A17,'Valo FX'!$A:$A,0)),0,IF(DI$1&lt;INDEX('Valo FX'!$R:$R,MATCH($A17,'Valo FX'!$A:$A,0)),INDEX(Base!$U:$U,MATCH($A17,Base!$A:$A,0)),IF(DI$1=INDEX('Valo FX'!$R:$R,MATCH($A17,'Valo FX'!$A:$A,0)),INDEX(Base!$V:$V,MATCH($A17,Base!$A:$A,0)),0)))</f>
        <v>13.09985</v>
      </c>
      <c r="DJ17" s="21">
        <f>IF(DJ$1&lt;INDEX('Valo FX'!$Q:$Q,MATCH($A17,'Valo FX'!$A:$A,0)),0,IF(DJ$1&lt;INDEX('Valo FX'!$R:$R,MATCH($A17,'Valo FX'!$A:$A,0)),INDEX(Base!$U:$U,MATCH($A17,Base!$A:$A,0)),IF(DJ$1=INDEX('Valo FX'!$R:$R,MATCH($A17,'Valo FX'!$A:$A,0)),INDEX(Base!$V:$V,MATCH($A17,Base!$A:$A,0)),0)))</f>
        <v>13.09985</v>
      </c>
      <c r="DK17" s="21">
        <f>IF(DK$1&lt;INDEX('Valo FX'!$Q:$Q,MATCH($A17,'Valo FX'!$A:$A,0)),0,IF(DK$1&lt;INDEX('Valo FX'!$R:$R,MATCH($A17,'Valo FX'!$A:$A,0)),INDEX(Base!$U:$U,MATCH($A17,Base!$A:$A,0)),IF(DK$1=INDEX('Valo FX'!$R:$R,MATCH($A17,'Valo FX'!$A:$A,0)),INDEX(Base!$V:$V,MATCH($A17,Base!$A:$A,0)),0)))</f>
        <v>13.09985</v>
      </c>
      <c r="DL17" s="21">
        <f>IF(DL$1&lt;INDEX('Valo FX'!$Q:$Q,MATCH($A17,'Valo FX'!$A:$A,0)),0,IF(DL$1&lt;INDEX('Valo FX'!$R:$R,MATCH($A17,'Valo FX'!$A:$A,0)),INDEX(Base!$U:$U,MATCH($A17,Base!$A:$A,0)),IF(DL$1=INDEX('Valo FX'!$R:$R,MATCH($A17,'Valo FX'!$A:$A,0)),INDEX(Base!$V:$V,MATCH($A17,Base!$A:$A,0)),0)))</f>
        <v>13.09985</v>
      </c>
      <c r="DM17" s="21">
        <f>IF(DM$1&lt;INDEX('Valo FX'!$Q:$Q,MATCH($A17,'Valo FX'!$A:$A,0)),0,IF(DM$1&lt;INDEX('Valo FX'!$R:$R,MATCH($A17,'Valo FX'!$A:$A,0)),INDEX(Base!$U:$U,MATCH($A17,Base!$A:$A,0)),IF(DM$1=INDEX('Valo FX'!$R:$R,MATCH($A17,'Valo FX'!$A:$A,0)),INDEX(Base!$V:$V,MATCH($A17,Base!$A:$A,0)),0)))</f>
        <v>13.09985</v>
      </c>
      <c r="DN17" s="21">
        <f>IF(DN$1&lt;INDEX('Valo FX'!$Q:$Q,MATCH($A17,'Valo FX'!$A:$A,0)),0,IF(DN$1&lt;INDEX('Valo FX'!$R:$R,MATCH($A17,'Valo FX'!$A:$A,0)),INDEX(Base!$U:$U,MATCH($A17,Base!$A:$A,0)),IF(DN$1=INDEX('Valo FX'!$R:$R,MATCH($A17,'Valo FX'!$A:$A,0)),INDEX(Base!$V:$V,MATCH($A17,Base!$A:$A,0)),0)))</f>
        <v>13.09985</v>
      </c>
      <c r="DO17" s="21">
        <f>IF(DO$1&lt;INDEX('Valo FX'!$Q:$Q,MATCH($A17,'Valo FX'!$A:$A,0)),0,IF(DO$1&lt;INDEX('Valo FX'!$R:$R,MATCH($A17,'Valo FX'!$A:$A,0)),INDEX(Base!$U:$U,MATCH($A17,Base!$A:$A,0)),IF(DO$1=INDEX('Valo FX'!$R:$R,MATCH($A17,'Valo FX'!$A:$A,0)),INDEX(Base!$V:$V,MATCH($A17,Base!$A:$A,0)),0)))</f>
        <v>13.09985</v>
      </c>
      <c r="DP17" s="21">
        <f>IF(DP$1&lt;INDEX('Valo FX'!$Q:$Q,MATCH($A17,'Valo FX'!$A:$A,0)),0,IF(DP$1&lt;INDEX('Valo FX'!$R:$R,MATCH($A17,'Valo FX'!$A:$A,0)),INDEX(Base!$U:$U,MATCH($A17,Base!$A:$A,0)),IF(DP$1=INDEX('Valo FX'!$R:$R,MATCH($A17,'Valo FX'!$A:$A,0)),INDEX(Base!$V:$V,MATCH($A17,Base!$A:$A,0)),0)))</f>
        <v>13.09985</v>
      </c>
      <c r="DQ17" s="21">
        <f>IF(DQ$1&lt;INDEX('Valo FX'!$Q:$Q,MATCH($A17,'Valo FX'!$A:$A,0)),0,IF(DQ$1&lt;INDEX('Valo FX'!$R:$R,MATCH($A17,'Valo FX'!$A:$A,0)),INDEX(Base!$U:$U,MATCH($A17,Base!$A:$A,0)),IF(DQ$1=INDEX('Valo FX'!$R:$R,MATCH($A17,'Valo FX'!$A:$A,0)),INDEX(Base!$V:$V,MATCH($A17,Base!$A:$A,0)),0)))</f>
        <v>13.09985</v>
      </c>
      <c r="DR17" s="21">
        <f>IF(DR$1&lt;INDEX('Valo FX'!$Q:$Q,MATCH($A17,'Valo FX'!$A:$A,0)),0,IF(DR$1&lt;INDEX('Valo FX'!$R:$R,MATCH($A17,'Valo FX'!$A:$A,0)),INDEX(Base!$U:$U,MATCH($A17,Base!$A:$A,0)),IF(DR$1=INDEX('Valo FX'!$R:$R,MATCH($A17,'Valo FX'!$A:$A,0)),INDEX(Base!$V:$V,MATCH($A17,Base!$A:$A,0)),0)))</f>
        <v>13.09985</v>
      </c>
      <c r="DS17" s="21">
        <f>IF(DS$1&lt;INDEX('Valo FX'!$Q:$Q,MATCH($A17,'Valo FX'!$A:$A,0)),0,IF(DS$1&lt;INDEX('Valo FX'!$R:$R,MATCH($A17,'Valo FX'!$A:$A,0)),INDEX(Base!$U:$U,MATCH($A17,Base!$A:$A,0)),IF(DS$1=INDEX('Valo FX'!$R:$R,MATCH($A17,'Valo FX'!$A:$A,0)),INDEX(Base!$V:$V,MATCH($A17,Base!$A:$A,0)),0)))</f>
        <v>13.09985</v>
      </c>
      <c r="DT17" s="21">
        <f>IF(DT$1&lt;INDEX('Valo FX'!$Q:$Q,MATCH($A17,'Valo FX'!$A:$A,0)),0,IF(DT$1&lt;INDEX('Valo FX'!$R:$R,MATCH($A17,'Valo FX'!$A:$A,0)),INDEX(Base!$U:$U,MATCH($A17,Base!$A:$A,0)),IF(DT$1=INDEX('Valo FX'!$R:$R,MATCH($A17,'Valo FX'!$A:$A,0)),INDEX(Base!$V:$V,MATCH($A17,Base!$A:$A,0)),0)))</f>
        <v>13.09985</v>
      </c>
      <c r="DU17" s="21">
        <f>IF(DU$1&lt;INDEX('Valo FX'!$Q:$Q,MATCH($A17,'Valo FX'!$A:$A,0)),0,IF(DU$1&lt;INDEX('Valo FX'!$R:$R,MATCH($A17,'Valo FX'!$A:$A,0)),INDEX(Base!$U:$U,MATCH($A17,Base!$A:$A,0)),IF(DU$1=INDEX('Valo FX'!$R:$R,MATCH($A17,'Valo FX'!$A:$A,0)),INDEX(Base!$V:$V,MATCH($A17,Base!$A:$A,0)),0)))</f>
        <v>13.09985</v>
      </c>
      <c r="DV17" s="21">
        <f>IF(DV$1&lt;INDEX('Valo FX'!$Q:$Q,MATCH($A17,'Valo FX'!$A:$A,0)),0,IF(DV$1&lt;INDEX('Valo FX'!$R:$R,MATCH($A17,'Valo FX'!$A:$A,0)),INDEX(Base!$U:$U,MATCH($A17,Base!$A:$A,0)),IF(DV$1=INDEX('Valo FX'!$R:$R,MATCH($A17,'Valo FX'!$A:$A,0)),INDEX(Base!$V:$V,MATCH($A17,Base!$A:$A,0)),0)))</f>
        <v>13.09985</v>
      </c>
      <c r="DW17" s="21">
        <f>IF(DW$1&lt;INDEX('Valo FX'!$Q:$Q,MATCH($A17,'Valo FX'!$A:$A,0)),0,IF(DW$1&lt;INDEX('Valo FX'!$R:$R,MATCH($A17,'Valo FX'!$A:$A,0)),INDEX(Base!$U:$U,MATCH($A17,Base!$A:$A,0)),IF(DW$1=INDEX('Valo FX'!$R:$R,MATCH($A17,'Valo FX'!$A:$A,0)),INDEX(Base!$V:$V,MATCH($A17,Base!$A:$A,0)),0)))</f>
        <v>13.09985</v>
      </c>
      <c r="DX17" s="21">
        <f>IF(DX$1&lt;INDEX('Valo FX'!$Q:$Q,MATCH($A17,'Valo FX'!$A:$A,0)),0,IF(DX$1&lt;INDEX('Valo FX'!$R:$R,MATCH($A17,'Valo FX'!$A:$A,0)),INDEX(Base!$U:$U,MATCH($A17,Base!$A:$A,0)),IF(DX$1=INDEX('Valo FX'!$R:$R,MATCH($A17,'Valo FX'!$A:$A,0)),INDEX(Base!$V:$V,MATCH($A17,Base!$A:$A,0)),0)))</f>
        <v>13.09985</v>
      </c>
      <c r="DY17" s="21">
        <f>IF(DY$1&lt;INDEX('Valo FX'!$Q:$Q,MATCH($A17,'Valo FX'!$A:$A,0)),0,IF(DY$1&lt;INDEX('Valo FX'!$R:$R,MATCH($A17,'Valo FX'!$A:$A,0)),INDEX(Base!$U:$U,MATCH($A17,Base!$A:$A,0)),IF(DY$1=INDEX('Valo FX'!$R:$R,MATCH($A17,'Valo FX'!$A:$A,0)),INDEX(Base!$V:$V,MATCH($A17,Base!$A:$A,0)),0)))</f>
        <v>13.09985</v>
      </c>
      <c r="DZ17" s="21">
        <f>IF(DZ$1&lt;INDEX('Valo FX'!$Q:$Q,MATCH($A17,'Valo FX'!$A:$A,0)),0,IF(DZ$1&lt;INDEX('Valo FX'!$R:$R,MATCH($A17,'Valo FX'!$A:$A,0)),INDEX(Base!$U:$U,MATCH($A17,Base!$A:$A,0)),IF(DZ$1=INDEX('Valo FX'!$R:$R,MATCH($A17,'Valo FX'!$A:$A,0)),INDEX(Base!$V:$V,MATCH($A17,Base!$A:$A,0)),0)))</f>
        <v>13.09985</v>
      </c>
      <c r="EA17" s="21">
        <f>IF(EA$1&lt;INDEX('Valo FX'!$Q:$Q,MATCH($A17,'Valo FX'!$A:$A,0)),0,IF(EA$1&lt;INDEX('Valo FX'!$R:$R,MATCH($A17,'Valo FX'!$A:$A,0)),INDEX(Base!$U:$U,MATCH($A17,Base!$A:$A,0)),IF(EA$1=INDEX('Valo FX'!$R:$R,MATCH($A17,'Valo FX'!$A:$A,0)),INDEX(Base!$V:$V,MATCH($A17,Base!$A:$A,0)),0)))</f>
        <v>13.09985</v>
      </c>
      <c r="EB17" s="21">
        <f>IF(EB$1&lt;INDEX('Valo FX'!$Q:$Q,MATCH($A17,'Valo FX'!$A:$A,0)),0,IF(EB$1&lt;INDEX('Valo FX'!$R:$R,MATCH($A17,'Valo FX'!$A:$A,0)),INDEX(Base!$U:$U,MATCH($A17,Base!$A:$A,0)),IF(EB$1=INDEX('Valo FX'!$R:$R,MATCH($A17,'Valo FX'!$A:$A,0)),INDEX(Base!$V:$V,MATCH($A17,Base!$A:$A,0)),0)))</f>
        <v>13.09985</v>
      </c>
      <c r="EC17" s="21">
        <f>IF(EC$1&lt;INDEX('Valo FX'!$Q:$Q,MATCH($A17,'Valo FX'!$A:$A,0)),0,IF(EC$1&lt;INDEX('Valo FX'!$R:$R,MATCH($A17,'Valo FX'!$A:$A,0)),INDEX(Base!$U:$U,MATCH($A17,Base!$A:$A,0)),IF(EC$1=INDEX('Valo FX'!$R:$R,MATCH($A17,'Valo FX'!$A:$A,0)),INDEX(Base!$V:$V,MATCH($A17,Base!$A:$A,0)),0)))</f>
        <v>13.09985</v>
      </c>
      <c r="ED17" s="21">
        <f>IF(ED$1&lt;INDEX('Valo FX'!$Q:$Q,MATCH($A17,'Valo FX'!$A:$A,0)),0,IF(ED$1&lt;INDEX('Valo FX'!$R:$R,MATCH($A17,'Valo FX'!$A:$A,0)),INDEX(Base!$U:$U,MATCH($A17,Base!$A:$A,0)),IF(ED$1=INDEX('Valo FX'!$R:$R,MATCH($A17,'Valo FX'!$A:$A,0)),INDEX(Base!$V:$V,MATCH($A17,Base!$A:$A,0)),0)))</f>
        <v>13.09985</v>
      </c>
      <c r="EE17" s="21">
        <f>IF(EE$1&lt;INDEX('Valo FX'!$Q:$Q,MATCH($A17,'Valo FX'!$A:$A,0)),0,IF(EE$1&lt;INDEX('Valo FX'!$R:$R,MATCH($A17,'Valo FX'!$A:$A,0)),INDEX(Base!$U:$U,MATCH($A17,Base!$A:$A,0)),IF(EE$1=INDEX('Valo FX'!$R:$R,MATCH($A17,'Valo FX'!$A:$A,0)),INDEX(Base!$V:$V,MATCH($A17,Base!$A:$A,0)),0)))</f>
        <v>13.09985</v>
      </c>
      <c r="EF17" s="21">
        <f>IF(EF$1&lt;INDEX('Valo FX'!$Q:$Q,MATCH($A17,'Valo FX'!$A:$A,0)),0,IF(EF$1&lt;INDEX('Valo FX'!$R:$R,MATCH($A17,'Valo FX'!$A:$A,0)),INDEX(Base!$U:$U,MATCH($A17,Base!$A:$A,0)),IF(EF$1=INDEX('Valo FX'!$R:$R,MATCH($A17,'Valo FX'!$A:$A,0)),INDEX(Base!$V:$V,MATCH($A17,Base!$A:$A,0)),0)))</f>
        <v>13.09985</v>
      </c>
      <c r="EG17" s="21">
        <f>IF(EG$1&lt;INDEX('Valo FX'!$Q:$Q,MATCH($A17,'Valo FX'!$A:$A,0)),0,IF(EG$1&lt;INDEX('Valo FX'!$R:$R,MATCH($A17,'Valo FX'!$A:$A,0)),INDEX(Base!$U:$U,MATCH($A17,Base!$A:$A,0)),IF(EG$1=INDEX('Valo FX'!$R:$R,MATCH($A17,'Valo FX'!$A:$A,0)),INDEX(Base!$V:$V,MATCH($A17,Base!$A:$A,0)),0)))</f>
        <v>13.09985</v>
      </c>
      <c r="EH17" s="21">
        <f>IF(EH$1&lt;INDEX('Valo FX'!$Q:$Q,MATCH($A17,'Valo FX'!$A:$A,0)),0,IF(EH$1&lt;INDEX('Valo FX'!$R:$R,MATCH($A17,'Valo FX'!$A:$A,0)),INDEX(Base!$U:$U,MATCH($A17,Base!$A:$A,0)),IF(EH$1=INDEX('Valo FX'!$R:$R,MATCH($A17,'Valo FX'!$A:$A,0)),INDEX(Base!$V:$V,MATCH($A17,Base!$A:$A,0)),0)))</f>
        <v>13.09985</v>
      </c>
      <c r="EI17" s="21">
        <f>IF(EI$1&lt;INDEX('Valo FX'!$Q:$Q,MATCH($A17,'Valo FX'!$A:$A,0)),0,IF(EI$1&lt;INDEX('Valo FX'!$R:$R,MATCH($A17,'Valo FX'!$A:$A,0)),INDEX(Base!$U:$U,MATCH($A17,Base!$A:$A,0)),IF(EI$1=INDEX('Valo FX'!$R:$R,MATCH($A17,'Valo FX'!$A:$A,0)),INDEX(Base!$V:$V,MATCH($A17,Base!$A:$A,0)),0)))</f>
        <v>13.09985</v>
      </c>
      <c r="EJ17" s="21">
        <f>IF(EJ$1&lt;INDEX('Valo FX'!$Q:$Q,MATCH($A17,'Valo FX'!$A:$A,0)),0,IF(EJ$1&lt;INDEX('Valo FX'!$R:$R,MATCH($A17,'Valo FX'!$A:$A,0)),INDEX(Base!$U:$U,MATCH($A17,Base!$A:$A,0)),IF(EJ$1=INDEX('Valo FX'!$R:$R,MATCH($A17,'Valo FX'!$A:$A,0)),INDEX(Base!$V:$V,MATCH($A17,Base!$A:$A,0)),0)))</f>
        <v>13.09985</v>
      </c>
      <c r="EK17" s="21">
        <f>IF(EK$1&lt;INDEX('Valo FX'!$Q:$Q,MATCH($A17,'Valo FX'!$A:$A,0)),0,IF(EK$1&lt;INDEX('Valo FX'!$R:$R,MATCH($A17,'Valo FX'!$A:$A,0)),INDEX(Base!$U:$U,MATCH($A17,Base!$A:$A,0)),IF(EK$1=INDEX('Valo FX'!$R:$R,MATCH($A17,'Valo FX'!$A:$A,0)),INDEX(Base!$V:$V,MATCH($A17,Base!$A:$A,0)),0)))</f>
        <v>13.09985</v>
      </c>
      <c r="EL17" s="21">
        <f>IF(EL$1&lt;INDEX('Valo FX'!$Q:$Q,MATCH($A17,'Valo FX'!$A:$A,0)),0,IF(EL$1&lt;INDEX('Valo FX'!$R:$R,MATCH($A17,'Valo FX'!$A:$A,0)),INDEX(Base!$U:$U,MATCH($A17,Base!$A:$A,0)),IF(EL$1=INDEX('Valo FX'!$R:$R,MATCH($A17,'Valo FX'!$A:$A,0)),INDEX(Base!$V:$V,MATCH($A17,Base!$A:$A,0)),0)))</f>
        <v>13.09985</v>
      </c>
      <c r="EM17" s="21">
        <f>IF(EM$1&lt;INDEX('Valo FX'!$Q:$Q,MATCH($A17,'Valo FX'!$A:$A,0)),0,IF(EM$1&lt;INDEX('Valo FX'!$R:$R,MATCH($A17,'Valo FX'!$A:$A,0)),INDEX(Base!$U:$U,MATCH($A17,Base!$A:$A,0)),IF(EM$1=INDEX('Valo FX'!$R:$R,MATCH($A17,'Valo FX'!$A:$A,0)),INDEX(Base!$V:$V,MATCH($A17,Base!$A:$A,0)),0)))</f>
        <v>13.09985</v>
      </c>
      <c r="EN17" s="21">
        <f>IF(EN$1&lt;INDEX('Valo FX'!$Q:$Q,MATCH($A17,'Valo FX'!$A:$A,0)),0,IF(EN$1&lt;INDEX('Valo FX'!$R:$R,MATCH($A17,'Valo FX'!$A:$A,0)),INDEX(Base!$U:$U,MATCH($A17,Base!$A:$A,0)),IF(EN$1=INDEX('Valo FX'!$R:$R,MATCH($A17,'Valo FX'!$A:$A,0)),INDEX(Base!$V:$V,MATCH($A17,Base!$A:$A,0)),0)))</f>
        <v>13.09985</v>
      </c>
      <c r="EO17" s="21">
        <f>IF(EO$1&lt;INDEX('Valo FX'!$Q:$Q,MATCH($A17,'Valo FX'!$A:$A,0)),0,IF(EO$1&lt;INDEX('Valo FX'!$R:$R,MATCH($A17,'Valo FX'!$A:$A,0)),INDEX(Base!$U:$U,MATCH($A17,Base!$A:$A,0)),IF(EO$1=INDEX('Valo FX'!$R:$R,MATCH($A17,'Valo FX'!$A:$A,0)),INDEX(Base!$V:$V,MATCH($A17,Base!$A:$A,0)),0)))</f>
        <v>13.09985</v>
      </c>
      <c r="EP17" s="21">
        <f>IF(EP$1&lt;INDEX('Valo FX'!$Q:$Q,MATCH($A17,'Valo FX'!$A:$A,0)),0,IF(EP$1&lt;INDEX('Valo FX'!$R:$R,MATCH($A17,'Valo FX'!$A:$A,0)),INDEX(Base!$U:$U,MATCH($A17,Base!$A:$A,0)),IF(EP$1=INDEX('Valo FX'!$R:$R,MATCH($A17,'Valo FX'!$A:$A,0)),INDEX(Base!$V:$V,MATCH($A17,Base!$A:$A,0)),0)))</f>
        <v>13.09985</v>
      </c>
      <c r="EQ17" s="21">
        <f>IF(EQ$1&lt;INDEX('Valo FX'!$Q:$Q,MATCH($A17,'Valo FX'!$A:$A,0)),0,IF(EQ$1&lt;INDEX('Valo FX'!$R:$R,MATCH($A17,'Valo FX'!$A:$A,0)),INDEX(Base!$U:$U,MATCH($A17,Base!$A:$A,0)),IF(EQ$1=INDEX('Valo FX'!$R:$R,MATCH($A17,'Valo FX'!$A:$A,0)),INDEX(Base!$V:$V,MATCH($A17,Base!$A:$A,0)),0)))</f>
        <v>13.09985</v>
      </c>
      <c r="ER17" s="21">
        <f>IF(ER$1&lt;INDEX('Valo FX'!$Q:$Q,MATCH($A17,'Valo FX'!$A:$A,0)),0,IF(ER$1&lt;INDEX('Valo FX'!$R:$R,MATCH($A17,'Valo FX'!$A:$A,0)),INDEX(Base!$U:$U,MATCH($A17,Base!$A:$A,0)),IF(ER$1=INDEX('Valo FX'!$R:$R,MATCH($A17,'Valo FX'!$A:$A,0)),INDEX(Base!$V:$V,MATCH($A17,Base!$A:$A,0)),0)))</f>
        <v>13.09985</v>
      </c>
      <c r="ES17" s="21">
        <f>IF(ES$1&lt;INDEX('Valo FX'!$Q:$Q,MATCH($A17,'Valo FX'!$A:$A,0)),0,IF(ES$1&lt;INDEX('Valo FX'!$R:$R,MATCH($A17,'Valo FX'!$A:$A,0)),INDEX(Base!$U:$U,MATCH($A17,Base!$A:$A,0)),IF(ES$1=INDEX('Valo FX'!$R:$R,MATCH($A17,'Valo FX'!$A:$A,0)),INDEX(Base!$V:$V,MATCH($A17,Base!$A:$A,0)),0)))</f>
        <v>13.09985</v>
      </c>
      <c r="ET17" s="21">
        <f>IF(ET$1&lt;INDEX('Valo FX'!$Q:$Q,MATCH($A17,'Valo FX'!$A:$A,0)),0,IF(ET$1&lt;INDEX('Valo FX'!$R:$R,MATCH($A17,'Valo FX'!$A:$A,0)),INDEX(Base!$U:$U,MATCH($A17,Base!$A:$A,0)),IF(ET$1=INDEX('Valo FX'!$R:$R,MATCH($A17,'Valo FX'!$A:$A,0)),INDEX(Base!$V:$V,MATCH($A17,Base!$A:$A,0)),0)))</f>
        <v>13.09985</v>
      </c>
      <c r="EU17" s="21">
        <f>IF(EU$1&lt;INDEX('Valo FX'!$Q:$Q,MATCH($A17,'Valo FX'!$A:$A,0)),0,IF(EU$1&lt;INDEX('Valo FX'!$R:$R,MATCH($A17,'Valo FX'!$A:$A,0)),INDEX(Base!$U:$U,MATCH($A17,Base!$A:$A,0)),IF(EU$1=INDEX('Valo FX'!$R:$R,MATCH($A17,'Valo FX'!$A:$A,0)),INDEX(Base!$V:$V,MATCH($A17,Base!$A:$A,0)),0)))</f>
        <v>13.09985</v>
      </c>
      <c r="EV17" s="21">
        <f>IF(EV$1&lt;INDEX('Valo FX'!$Q:$Q,MATCH($A17,'Valo FX'!$A:$A,0)),0,IF(EV$1&lt;INDEX('Valo FX'!$R:$R,MATCH($A17,'Valo FX'!$A:$A,0)),INDEX(Base!$U:$U,MATCH($A17,Base!$A:$A,0)),IF(EV$1=INDEX('Valo FX'!$R:$R,MATCH($A17,'Valo FX'!$A:$A,0)),INDEX(Base!$V:$V,MATCH($A17,Base!$A:$A,0)),0)))</f>
        <v>13.09985</v>
      </c>
      <c r="EW17" s="21">
        <f>IF(EW$1&lt;INDEX('Valo FX'!$Q:$Q,MATCH($A17,'Valo FX'!$A:$A,0)),0,IF(EW$1&lt;INDEX('Valo FX'!$R:$R,MATCH($A17,'Valo FX'!$A:$A,0)),INDEX(Base!$U:$U,MATCH($A17,Base!$A:$A,0)),IF(EW$1=INDEX('Valo FX'!$R:$R,MATCH($A17,'Valo FX'!$A:$A,0)),INDEX(Base!$V:$V,MATCH($A17,Base!$A:$A,0)),0)))</f>
        <v>13.09985</v>
      </c>
      <c r="EX17" s="21">
        <f>IF(EX$1&lt;INDEX('Valo FX'!$Q:$Q,MATCH($A17,'Valo FX'!$A:$A,0)),0,IF(EX$1&lt;INDEX('Valo FX'!$R:$R,MATCH($A17,'Valo FX'!$A:$A,0)),INDEX(Base!$U:$U,MATCH($A17,Base!$A:$A,0)),IF(EX$1=INDEX('Valo FX'!$R:$R,MATCH($A17,'Valo FX'!$A:$A,0)),INDEX(Base!$V:$V,MATCH($A17,Base!$A:$A,0)),0)))</f>
        <v>13.09985</v>
      </c>
      <c r="EY17" s="21">
        <f>IF(EY$1&lt;INDEX('Valo FX'!$Q:$Q,MATCH($A17,'Valo FX'!$A:$A,0)),0,IF(EY$1&lt;INDEX('Valo FX'!$R:$R,MATCH($A17,'Valo FX'!$A:$A,0)),INDEX(Base!$U:$U,MATCH($A17,Base!$A:$A,0)),IF(EY$1=INDEX('Valo FX'!$R:$R,MATCH($A17,'Valo FX'!$A:$A,0)),INDEX(Base!$V:$V,MATCH($A17,Base!$A:$A,0)),0)))</f>
        <v>13.09985</v>
      </c>
      <c r="EZ17" s="21">
        <f>IF(EZ$1&lt;INDEX('Valo FX'!$Q:$Q,MATCH($A17,'Valo FX'!$A:$A,0)),0,IF(EZ$1&lt;INDEX('Valo FX'!$R:$R,MATCH($A17,'Valo FX'!$A:$A,0)),INDEX(Base!$U:$U,MATCH($A17,Base!$A:$A,0)),IF(EZ$1=INDEX('Valo FX'!$R:$R,MATCH($A17,'Valo FX'!$A:$A,0)),INDEX(Base!$V:$V,MATCH($A17,Base!$A:$A,0)),0)))</f>
        <v>13.09985</v>
      </c>
      <c r="FA17" s="21">
        <f>IF(FA$1&lt;INDEX('Valo FX'!$Q:$Q,MATCH($A17,'Valo FX'!$A:$A,0)),0,IF(FA$1&lt;INDEX('Valo FX'!$R:$R,MATCH($A17,'Valo FX'!$A:$A,0)),INDEX(Base!$U:$U,MATCH($A17,Base!$A:$A,0)),IF(FA$1=INDEX('Valo FX'!$R:$R,MATCH($A17,'Valo FX'!$A:$A,0)),INDEX(Base!$V:$V,MATCH($A17,Base!$A:$A,0)),0)))</f>
        <v>13.09985</v>
      </c>
      <c r="FB17" s="21">
        <f>IF(FB$1&lt;INDEX('Valo FX'!$Q:$Q,MATCH($A17,'Valo FX'!$A:$A,0)),0,IF(FB$1&lt;INDEX('Valo FX'!$R:$R,MATCH($A17,'Valo FX'!$A:$A,0)),INDEX(Base!$U:$U,MATCH($A17,Base!$A:$A,0)),IF(FB$1=INDEX('Valo FX'!$R:$R,MATCH($A17,'Valo FX'!$A:$A,0)),INDEX(Base!$V:$V,MATCH($A17,Base!$A:$A,0)),0)))</f>
        <v>13.09985</v>
      </c>
      <c r="FC17" s="21">
        <f>IF(FC$1&lt;INDEX('Valo FX'!$Q:$Q,MATCH($A17,'Valo FX'!$A:$A,0)),0,IF(FC$1&lt;INDEX('Valo FX'!$R:$R,MATCH($A17,'Valo FX'!$A:$A,0)),INDEX(Base!$U:$U,MATCH($A17,Base!$A:$A,0)),IF(FC$1=INDEX('Valo FX'!$R:$R,MATCH($A17,'Valo FX'!$A:$A,0)),INDEX(Base!$V:$V,MATCH($A17,Base!$A:$A,0)),0)))</f>
        <v>13.09985</v>
      </c>
      <c r="FD17" s="21">
        <f>IF(FD$1&lt;INDEX('Valo FX'!$Q:$Q,MATCH($A17,'Valo FX'!$A:$A,0)),0,IF(FD$1&lt;INDEX('Valo FX'!$R:$R,MATCH($A17,'Valo FX'!$A:$A,0)),INDEX(Base!$U:$U,MATCH($A17,Base!$A:$A,0)),IF(FD$1=INDEX('Valo FX'!$R:$R,MATCH($A17,'Valo FX'!$A:$A,0)),INDEX(Base!$V:$V,MATCH($A17,Base!$A:$A,0)),0)))</f>
        <v>13.09985</v>
      </c>
      <c r="FE17" s="21">
        <f>IF(FE$1&lt;INDEX('Valo FX'!$Q:$Q,MATCH($A17,'Valo FX'!$A:$A,0)),0,IF(FE$1&lt;INDEX('Valo FX'!$R:$R,MATCH($A17,'Valo FX'!$A:$A,0)),INDEX(Base!$U:$U,MATCH($A17,Base!$A:$A,0)),IF(FE$1=INDEX('Valo FX'!$R:$R,MATCH($A17,'Valo FX'!$A:$A,0)),INDEX(Base!$V:$V,MATCH($A17,Base!$A:$A,0)),0)))</f>
        <v>13.09985</v>
      </c>
      <c r="FF17" s="21">
        <f>IF(FF$1&lt;INDEX('Valo FX'!$Q:$Q,MATCH($A17,'Valo FX'!$A:$A,0)),0,IF(FF$1&lt;INDEX('Valo FX'!$R:$R,MATCH($A17,'Valo FX'!$A:$A,0)),INDEX(Base!$U:$U,MATCH($A17,Base!$A:$A,0)),IF(FF$1=INDEX('Valo FX'!$R:$R,MATCH($A17,'Valo FX'!$A:$A,0)),INDEX(Base!$V:$V,MATCH($A17,Base!$A:$A,0)),0)))</f>
        <v>13.09985</v>
      </c>
      <c r="FG17" s="21">
        <f>IF(FG$1&lt;INDEX('Valo FX'!$Q:$Q,MATCH($A17,'Valo FX'!$A:$A,0)),0,IF(FG$1&lt;INDEX('Valo FX'!$R:$R,MATCH($A17,'Valo FX'!$A:$A,0)),INDEX(Base!$U:$U,MATCH($A17,Base!$A:$A,0)),IF(FG$1=INDEX('Valo FX'!$R:$R,MATCH($A17,'Valo FX'!$A:$A,0)),INDEX(Base!$V:$V,MATCH($A17,Base!$A:$A,0)),0)))</f>
        <v>13.09985</v>
      </c>
      <c r="FH17" s="21">
        <f>IF(FH$1&lt;INDEX('Valo FX'!$Q:$Q,MATCH($A17,'Valo FX'!$A:$A,0)),0,IF(FH$1&lt;INDEX('Valo FX'!$R:$R,MATCH($A17,'Valo FX'!$A:$A,0)),INDEX(Base!$U:$U,MATCH($A17,Base!$A:$A,0)),IF(FH$1=INDEX('Valo FX'!$R:$R,MATCH($A17,'Valo FX'!$A:$A,0)),INDEX(Base!$V:$V,MATCH($A17,Base!$A:$A,0)),0)))</f>
        <v>13.09985</v>
      </c>
      <c r="FI17" s="21">
        <f>IF(FI$1&lt;INDEX('Valo FX'!$Q:$Q,MATCH($A17,'Valo FX'!$A:$A,0)),0,IF(FI$1&lt;INDEX('Valo FX'!$R:$R,MATCH($A17,'Valo FX'!$A:$A,0)),INDEX(Base!$U:$U,MATCH($A17,Base!$A:$A,0)),IF(FI$1=INDEX('Valo FX'!$R:$R,MATCH($A17,'Valo FX'!$A:$A,0)),INDEX(Base!$V:$V,MATCH($A17,Base!$A:$A,0)),0)))</f>
        <v>13.09985</v>
      </c>
      <c r="FJ17" s="21">
        <f>IF(FJ$1&lt;INDEX('Valo FX'!$Q:$Q,MATCH($A17,'Valo FX'!$A:$A,0)),0,IF(FJ$1&lt;INDEX('Valo FX'!$R:$R,MATCH($A17,'Valo FX'!$A:$A,0)),INDEX(Base!$U:$U,MATCH($A17,Base!$A:$A,0)),IF(FJ$1=INDEX('Valo FX'!$R:$R,MATCH($A17,'Valo FX'!$A:$A,0)),INDEX(Base!$V:$V,MATCH($A17,Base!$A:$A,0)),0)))</f>
        <v>13.09985</v>
      </c>
      <c r="FK17" s="21">
        <f>IF(FK$1&lt;INDEX('Valo FX'!$Q:$Q,MATCH($A17,'Valo FX'!$A:$A,0)),0,IF(FK$1&lt;INDEX('Valo FX'!$R:$R,MATCH($A17,'Valo FX'!$A:$A,0)),INDEX(Base!$U:$U,MATCH($A17,Base!$A:$A,0)),IF(FK$1=INDEX('Valo FX'!$R:$R,MATCH($A17,'Valo FX'!$A:$A,0)),INDEX(Base!$V:$V,MATCH($A17,Base!$A:$A,0)),0)))</f>
        <v>13.09985</v>
      </c>
      <c r="FL17" s="21">
        <f>IF(FL$1&lt;INDEX('Valo FX'!$Q:$Q,MATCH($A17,'Valo FX'!$A:$A,0)),0,IF(FL$1&lt;INDEX('Valo FX'!$R:$R,MATCH($A17,'Valo FX'!$A:$A,0)),INDEX(Base!$U:$U,MATCH($A17,Base!$A:$A,0)),IF(FL$1=INDEX('Valo FX'!$R:$R,MATCH($A17,'Valo FX'!$A:$A,0)),INDEX(Base!$V:$V,MATCH($A17,Base!$A:$A,0)),0)))</f>
        <v>13.09985</v>
      </c>
      <c r="FM17" s="21">
        <f>IF(FM$1&lt;INDEX('Valo FX'!$Q:$Q,MATCH($A17,'Valo FX'!$A:$A,0)),0,IF(FM$1&lt;INDEX('Valo FX'!$R:$R,MATCH($A17,'Valo FX'!$A:$A,0)),INDEX(Base!$U:$U,MATCH($A17,Base!$A:$A,0)),IF(FM$1=INDEX('Valo FX'!$R:$R,MATCH($A17,'Valo FX'!$A:$A,0)),INDEX(Base!$V:$V,MATCH($A17,Base!$A:$A,0)),0)))</f>
        <v>13.09985</v>
      </c>
      <c r="FN17" s="21">
        <f>IF(FN$1&lt;INDEX('Valo FX'!$Q:$Q,MATCH($A17,'Valo FX'!$A:$A,0)),0,IF(FN$1&lt;INDEX('Valo FX'!$R:$R,MATCH($A17,'Valo FX'!$A:$A,0)),INDEX(Base!$U:$U,MATCH($A17,Base!$A:$A,0)),IF(FN$1=INDEX('Valo FX'!$R:$R,MATCH($A17,'Valo FX'!$A:$A,0)),INDEX(Base!$V:$V,MATCH($A17,Base!$A:$A,0)),0)))</f>
        <v>13.09985</v>
      </c>
      <c r="FO17" s="21">
        <f>IF(FO$1&lt;INDEX('Valo FX'!$Q:$Q,MATCH($A17,'Valo FX'!$A:$A,0)),0,IF(FO$1&lt;INDEX('Valo FX'!$R:$R,MATCH($A17,'Valo FX'!$A:$A,0)),INDEX(Base!$U:$U,MATCH($A17,Base!$A:$A,0)),IF(FO$1=INDEX('Valo FX'!$R:$R,MATCH($A17,'Valo FX'!$A:$A,0)),INDEX(Base!$V:$V,MATCH($A17,Base!$A:$A,0)),0)))</f>
        <v>13.09985</v>
      </c>
      <c r="FP17" s="21">
        <f>IF(FP$1&lt;INDEX('Valo FX'!$Q:$Q,MATCH($A17,'Valo FX'!$A:$A,0)),0,IF(FP$1&lt;INDEX('Valo FX'!$R:$R,MATCH($A17,'Valo FX'!$A:$A,0)),INDEX(Base!$U:$U,MATCH($A17,Base!$A:$A,0)),IF(FP$1=INDEX('Valo FX'!$R:$R,MATCH($A17,'Valo FX'!$A:$A,0)),INDEX(Base!$V:$V,MATCH($A17,Base!$A:$A,0)),0)))</f>
        <v>13.09985</v>
      </c>
      <c r="FQ17" s="21">
        <f>IF(FQ$1&lt;INDEX('Valo FX'!$Q:$Q,MATCH($A17,'Valo FX'!$A:$A,0)),0,IF(FQ$1&lt;INDEX('Valo FX'!$R:$R,MATCH($A17,'Valo FX'!$A:$A,0)),INDEX(Base!$U:$U,MATCH($A17,Base!$A:$A,0)),IF(FQ$1=INDEX('Valo FX'!$R:$R,MATCH($A17,'Valo FX'!$A:$A,0)),INDEX(Base!$V:$V,MATCH($A17,Base!$A:$A,0)),0)))</f>
        <v>13.09985</v>
      </c>
      <c r="FR17" s="21">
        <f>IF(FR$1&lt;INDEX('Valo FX'!$Q:$Q,MATCH($A17,'Valo FX'!$A:$A,0)),0,IF(FR$1&lt;INDEX('Valo FX'!$R:$R,MATCH($A17,'Valo FX'!$A:$A,0)),INDEX(Base!$U:$U,MATCH($A17,Base!$A:$A,0)),IF(FR$1=INDEX('Valo FX'!$R:$R,MATCH($A17,'Valo FX'!$A:$A,0)),INDEX(Base!$V:$V,MATCH($A17,Base!$A:$A,0)),0)))</f>
        <v>13.09985</v>
      </c>
      <c r="FS17" s="21">
        <f>IF(FS$1&lt;INDEX('Valo FX'!$Q:$Q,MATCH($A17,'Valo FX'!$A:$A,0)),0,IF(FS$1&lt;INDEX('Valo FX'!$R:$R,MATCH($A17,'Valo FX'!$A:$A,0)),INDEX(Base!$U:$U,MATCH($A17,Base!$A:$A,0)),IF(FS$1=INDEX('Valo FX'!$R:$R,MATCH($A17,'Valo FX'!$A:$A,0)),INDEX(Base!$V:$V,MATCH($A17,Base!$A:$A,0)),0)))</f>
        <v>13.09985</v>
      </c>
      <c r="FT17" s="21">
        <f>IF(FT$1&lt;INDEX('Valo FX'!$Q:$Q,MATCH($A17,'Valo FX'!$A:$A,0)),0,IF(FT$1&lt;INDEX('Valo FX'!$R:$R,MATCH($A17,'Valo FX'!$A:$A,0)),INDEX(Base!$U:$U,MATCH($A17,Base!$A:$A,0)),IF(FT$1=INDEX('Valo FX'!$R:$R,MATCH($A17,'Valo FX'!$A:$A,0)),INDEX(Base!$V:$V,MATCH($A17,Base!$A:$A,0)),0)))</f>
        <v>13.09985</v>
      </c>
      <c r="FU17" s="21">
        <f>IF(FU$1&lt;INDEX('Valo FX'!$Q:$Q,MATCH($A17,'Valo FX'!$A:$A,0)),0,IF(FU$1&lt;INDEX('Valo FX'!$R:$R,MATCH($A17,'Valo FX'!$A:$A,0)),INDEX(Base!$U:$U,MATCH($A17,Base!$A:$A,0)),IF(FU$1=INDEX('Valo FX'!$R:$R,MATCH($A17,'Valo FX'!$A:$A,0)),INDEX(Base!$V:$V,MATCH($A17,Base!$A:$A,0)),0)))</f>
        <v>13.09985</v>
      </c>
      <c r="FV17" s="21">
        <f>IF(FV$1&lt;INDEX('Valo FX'!$Q:$Q,MATCH($A17,'Valo FX'!$A:$A,0)),0,IF(FV$1&lt;INDEX('Valo FX'!$R:$R,MATCH($A17,'Valo FX'!$A:$A,0)),INDEX(Base!$U:$U,MATCH($A17,Base!$A:$A,0)),IF(FV$1=INDEX('Valo FX'!$R:$R,MATCH($A17,'Valo FX'!$A:$A,0)),INDEX(Base!$V:$V,MATCH($A17,Base!$A:$A,0)),0)))</f>
        <v>13.09985</v>
      </c>
      <c r="FW17" s="21">
        <f>IF(FW$1&lt;INDEX('Valo FX'!$Q:$Q,MATCH($A17,'Valo FX'!$A:$A,0)),0,IF(FW$1&lt;INDEX('Valo FX'!$R:$R,MATCH($A17,'Valo FX'!$A:$A,0)),INDEX(Base!$U:$U,MATCH($A17,Base!$A:$A,0)),IF(FW$1=INDEX('Valo FX'!$R:$R,MATCH($A17,'Valo FX'!$A:$A,0)),INDEX(Base!$V:$V,MATCH($A17,Base!$A:$A,0)),0)))</f>
        <v>13.09985</v>
      </c>
      <c r="FX17" s="21">
        <f>IF(FX$1&lt;INDEX('Valo FX'!$Q:$Q,MATCH($A17,'Valo FX'!$A:$A,0)),0,IF(FX$1&lt;INDEX('Valo FX'!$R:$R,MATCH($A17,'Valo FX'!$A:$A,0)),INDEX(Base!$U:$U,MATCH($A17,Base!$A:$A,0)),IF(FX$1=INDEX('Valo FX'!$R:$R,MATCH($A17,'Valo FX'!$A:$A,0)),INDEX(Base!$V:$V,MATCH($A17,Base!$A:$A,0)),0)))</f>
        <v>13.09985</v>
      </c>
      <c r="FY17" s="21">
        <f>IF(FY$1&lt;INDEX('Valo FX'!$Q:$Q,MATCH($A17,'Valo FX'!$A:$A,0)),0,IF(FY$1&lt;INDEX('Valo FX'!$R:$R,MATCH($A17,'Valo FX'!$A:$A,0)),INDEX(Base!$U:$U,MATCH($A17,Base!$A:$A,0)),IF(FY$1=INDEX('Valo FX'!$R:$R,MATCH($A17,'Valo FX'!$A:$A,0)),INDEX(Base!$V:$V,MATCH($A17,Base!$A:$A,0)),0)))</f>
        <v>13.09985</v>
      </c>
      <c r="FZ17" s="21">
        <f>IF(FZ$1&lt;INDEX('Valo FX'!$Q:$Q,MATCH($A17,'Valo FX'!$A:$A,0)),0,IF(FZ$1&lt;INDEX('Valo FX'!$R:$R,MATCH($A17,'Valo FX'!$A:$A,0)),INDEX(Base!$U:$U,MATCH($A17,Base!$A:$A,0)),IF(FZ$1=INDEX('Valo FX'!$R:$R,MATCH($A17,'Valo FX'!$A:$A,0)),INDEX(Base!$V:$V,MATCH($A17,Base!$A:$A,0)),0)))</f>
        <v>13.09985</v>
      </c>
      <c r="GA17" s="21">
        <f>IF(GA$1&lt;INDEX('Valo FX'!$Q:$Q,MATCH($A17,'Valo FX'!$A:$A,0)),0,IF(GA$1&lt;INDEX('Valo FX'!$R:$R,MATCH($A17,'Valo FX'!$A:$A,0)),INDEX(Base!$U:$U,MATCH($A17,Base!$A:$A,0)),IF(GA$1=INDEX('Valo FX'!$R:$R,MATCH($A17,'Valo FX'!$A:$A,0)),INDEX(Base!$V:$V,MATCH($A17,Base!$A:$A,0)),0)))</f>
        <v>13.09985</v>
      </c>
      <c r="GB17" s="21">
        <f>IF(GB$1&lt;INDEX('Valo FX'!$Q:$Q,MATCH($A17,'Valo FX'!$A:$A,0)),0,IF(GB$1&lt;INDEX('Valo FX'!$R:$R,MATCH($A17,'Valo FX'!$A:$A,0)),INDEX(Base!$U:$U,MATCH($A17,Base!$A:$A,0)),IF(GB$1=INDEX('Valo FX'!$R:$R,MATCH($A17,'Valo FX'!$A:$A,0)),INDEX(Base!$V:$V,MATCH($A17,Base!$A:$A,0)),0)))</f>
        <v>13.09985</v>
      </c>
      <c r="GC17" s="21">
        <f>IF(GC$1&lt;INDEX('Valo FX'!$Q:$Q,MATCH($A17,'Valo FX'!$A:$A,0)),0,IF(GC$1&lt;INDEX('Valo FX'!$R:$R,MATCH($A17,'Valo FX'!$A:$A,0)),INDEX(Base!$U:$U,MATCH($A17,Base!$A:$A,0)),IF(GC$1=INDEX('Valo FX'!$R:$R,MATCH($A17,'Valo FX'!$A:$A,0)),INDEX(Base!$V:$V,MATCH($A17,Base!$A:$A,0)),0)))</f>
        <v>13.09985</v>
      </c>
      <c r="GD17" s="21">
        <f>IF(GD$1&lt;INDEX('Valo FX'!$Q:$Q,MATCH($A17,'Valo FX'!$A:$A,0)),0,IF(GD$1&lt;INDEX('Valo FX'!$R:$R,MATCH($A17,'Valo FX'!$A:$A,0)),INDEX(Base!$U:$U,MATCH($A17,Base!$A:$A,0)),IF(GD$1=INDEX('Valo FX'!$R:$R,MATCH($A17,'Valo FX'!$A:$A,0)),INDEX(Base!$V:$V,MATCH($A17,Base!$A:$A,0)),0)))</f>
        <v>13.09985</v>
      </c>
      <c r="GE17" s="21">
        <f>IF(GE$1&lt;INDEX('Valo FX'!$Q:$Q,MATCH($A17,'Valo FX'!$A:$A,0)),0,IF(GE$1&lt;INDEX('Valo FX'!$R:$R,MATCH($A17,'Valo FX'!$A:$A,0)),INDEX(Base!$U:$U,MATCH($A17,Base!$A:$A,0)),IF(GE$1=INDEX('Valo FX'!$R:$R,MATCH($A17,'Valo FX'!$A:$A,0)),INDEX(Base!$V:$V,MATCH($A17,Base!$A:$A,0)),0)))</f>
        <v>13.09985</v>
      </c>
      <c r="GF17" s="21">
        <f>IF(GF$1&lt;INDEX('Valo FX'!$Q:$Q,MATCH($A17,'Valo FX'!$A:$A,0)),0,IF(GF$1&lt;INDEX('Valo FX'!$R:$R,MATCH($A17,'Valo FX'!$A:$A,0)),INDEX(Base!$U:$U,MATCH($A17,Base!$A:$A,0)),IF(GF$1=INDEX('Valo FX'!$R:$R,MATCH($A17,'Valo FX'!$A:$A,0)),INDEX(Base!$V:$V,MATCH($A17,Base!$A:$A,0)),0)))</f>
        <v>13.09985</v>
      </c>
      <c r="GG17" s="21">
        <f>IF(GG$1&lt;INDEX('Valo FX'!$Q:$Q,MATCH($A17,'Valo FX'!$A:$A,0)),0,IF(GG$1&lt;INDEX('Valo FX'!$R:$R,MATCH($A17,'Valo FX'!$A:$A,0)),INDEX(Base!$U:$U,MATCH($A17,Base!$A:$A,0)),IF(GG$1=INDEX('Valo FX'!$R:$R,MATCH($A17,'Valo FX'!$A:$A,0)),INDEX(Base!$V:$V,MATCH($A17,Base!$A:$A,0)),0)))</f>
        <v>13.09985</v>
      </c>
      <c r="GH17" s="21">
        <f>IF(GH$1&lt;INDEX('Valo FX'!$Q:$Q,MATCH($A17,'Valo FX'!$A:$A,0)),0,IF(GH$1&lt;INDEX('Valo FX'!$R:$R,MATCH($A17,'Valo FX'!$A:$A,0)),INDEX(Base!$U:$U,MATCH($A17,Base!$A:$A,0)),IF(GH$1=INDEX('Valo FX'!$R:$R,MATCH($A17,'Valo FX'!$A:$A,0)),INDEX(Base!$V:$V,MATCH($A17,Base!$A:$A,0)),0)))</f>
        <v>13.09985</v>
      </c>
      <c r="GI17" s="21">
        <f>IF(GI$1&lt;INDEX('Valo FX'!$Q:$Q,MATCH($A17,'Valo FX'!$A:$A,0)),0,IF(GI$1&lt;INDEX('Valo FX'!$R:$R,MATCH($A17,'Valo FX'!$A:$A,0)),INDEX(Base!$U:$U,MATCH($A17,Base!$A:$A,0)),IF(GI$1=INDEX('Valo FX'!$R:$R,MATCH($A17,'Valo FX'!$A:$A,0)),INDEX(Base!$V:$V,MATCH($A17,Base!$A:$A,0)),0)))</f>
        <v>13.09985</v>
      </c>
      <c r="GJ17" s="21">
        <f>IF(GJ$1&lt;INDEX('Valo FX'!$Q:$Q,MATCH($A17,'Valo FX'!$A:$A,0)),0,IF(GJ$1&lt;INDEX('Valo FX'!$R:$R,MATCH($A17,'Valo FX'!$A:$A,0)),INDEX(Base!$U:$U,MATCH($A17,Base!$A:$A,0)),IF(GJ$1=INDEX('Valo FX'!$R:$R,MATCH($A17,'Valo FX'!$A:$A,0)),INDEX(Base!$V:$V,MATCH($A17,Base!$A:$A,0)),0)))</f>
        <v>13.09985</v>
      </c>
      <c r="GK17" s="21">
        <f>IF(GK$1&lt;INDEX('Valo FX'!$Q:$Q,MATCH($A17,'Valo FX'!$A:$A,0)),0,IF(GK$1&lt;INDEX('Valo FX'!$R:$R,MATCH($A17,'Valo FX'!$A:$A,0)),INDEX(Base!$U:$U,MATCH($A17,Base!$A:$A,0)),IF(GK$1=INDEX('Valo FX'!$R:$R,MATCH($A17,'Valo FX'!$A:$A,0)),INDEX(Base!$V:$V,MATCH($A17,Base!$A:$A,0)),0)))</f>
        <v>13.09985</v>
      </c>
      <c r="GL17" s="21">
        <f>IF(GL$1&lt;INDEX('Valo FX'!$Q:$Q,MATCH($A17,'Valo FX'!$A:$A,0)),0,IF(GL$1&lt;INDEX('Valo FX'!$R:$R,MATCH($A17,'Valo FX'!$A:$A,0)),INDEX(Base!$U:$U,MATCH($A17,Base!$A:$A,0)),IF(GL$1=INDEX('Valo FX'!$R:$R,MATCH($A17,'Valo FX'!$A:$A,0)),INDEX(Base!$V:$V,MATCH($A17,Base!$A:$A,0)),0)))</f>
        <v>13.09985</v>
      </c>
      <c r="GM17" s="21">
        <f>IF(GM$1&lt;INDEX('Valo FX'!$Q:$Q,MATCH($A17,'Valo FX'!$A:$A,0)),0,IF(GM$1&lt;INDEX('Valo FX'!$R:$R,MATCH($A17,'Valo FX'!$A:$A,0)),INDEX(Base!$U:$U,MATCH($A17,Base!$A:$A,0)),IF(GM$1=INDEX('Valo FX'!$R:$R,MATCH($A17,'Valo FX'!$A:$A,0)),INDEX(Base!$V:$V,MATCH($A17,Base!$A:$A,0)),0)))</f>
        <v>13.09985</v>
      </c>
      <c r="GN17" s="21">
        <f>IF(GN$1&lt;INDEX('Valo FX'!$Q:$Q,MATCH($A17,'Valo FX'!$A:$A,0)),0,IF(GN$1&lt;INDEX('Valo FX'!$R:$R,MATCH($A17,'Valo FX'!$A:$A,0)),INDEX(Base!$U:$U,MATCH($A17,Base!$A:$A,0)),IF(GN$1=INDEX('Valo FX'!$R:$R,MATCH($A17,'Valo FX'!$A:$A,0)),INDEX(Base!$V:$V,MATCH($A17,Base!$A:$A,0)),0)))</f>
        <v>13.09985</v>
      </c>
      <c r="GO17" s="21">
        <f>IF(GO$1&lt;INDEX('Valo FX'!$Q:$Q,MATCH($A17,'Valo FX'!$A:$A,0)),0,IF(GO$1&lt;INDEX('Valo FX'!$R:$R,MATCH($A17,'Valo FX'!$A:$A,0)),INDEX(Base!$U:$U,MATCH($A17,Base!$A:$A,0)),IF(GO$1=INDEX('Valo FX'!$R:$R,MATCH($A17,'Valo FX'!$A:$A,0)),INDEX(Base!$V:$V,MATCH($A17,Base!$A:$A,0)),0)))</f>
        <v>13.09985</v>
      </c>
      <c r="GP17" s="21">
        <f>IF(GP$1&lt;INDEX('Valo FX'!$Q:$Q,MATCH($A17,'Valo FX'!$A:$A,0)),0,IF(GP$1&lt;INDEX('Valo FX'!$R:$R,MATCH($A17,'Valo FX'!$A:$A,0)),INDEX(Base!$U:$U,MATCH($A17,Base!$A:$A,0)),IF(GP$1=INDEX('Valo FX'!$R:$R,MATCH($A17,'Valo FX'!$A:$A,0)),INDEX(Base!$V:$V,MATCH($A17,Base!$A:$A,0)),0)))</f>
        <v>13.09985</v>
      </c>
      <c r="GQ17" s="21">
        <f>IF(GQ$1&lt;INDEX('Valo FX'!$Q:$Q,MATCH($A17,'Valo FX'!$A:$A,0)),0,IF(GQ$1&lt;INDEX('Valo FX'!$R:$R,MATCH($A17,'Valo FX'!$A:$A,0)),INDEX(Base!$U:$U,MATCH($A17,Base!$A:$A,0)),IF(GQ$1=INDEX('Valo FX'!$R:$R,MATCH($A17,'Valo FX'!$A:$A,0)),INDEX(Base!$V:$V,MATCH($A17,Base!$A:$A,0)),0)))</f>
        <v>13.09985</v>
      </c>
      <c r="GR17" s="21">
        <f>IF(GR$1&lt;INDEX('Valo FX'!$Q:$Q,MATCH($A17,'Valo FX'!$A:$A,0)),0,IF(GR$1&lt;INDEX('Valo FX'!$R:$R,MATCH($A17,'Valo FX'!$A:$A,0)),INDEX(Base!$U:$U,MATCH($A17,Base!$A:$A,0)),IF(GR$1=INDEX('Valo FX'!$R:$R,MATCH($A17,'Valo FX'!$A:$A,0)),INDEX(Base!$V:$V,MATCH($A17,Base!$A:$A,0)),0)))</f>
        <v>13.09985</v>
      </c>
      <c r="GS17" s="21">
        <f>IF(GS$1&lt;INDEX('Valo FX'!$Q:$Q,MATCH($A17,'Valo FX'!$A:$A,0)),0,IF(GS$1&lt;INDEX('Valo FX'!$R:$R,MATCH($A17,'Valo FX'!$A:$A,0)),INDEX(Base!$U:$U,MATCH($A17,Base!$A:$A,0)),IF(GS$1=INDEX('Valo FX'!$R:$R,MATCH($A17,'Valo FX'!$A:$A,0)),INDEX(Base!$V:$V,MATCH($A17,Base!$A:$A,0)),0)))</f>
        <v>13.09985</v>
      </c>
      <c r="GT17" s="21">
        <f>IF(GT$1&lt;INDEX('Valo FX'!$Q:$Q,MATCH($A17,'Valo FX'!$A:$A,0)),0,IF(GT$1&lt;INDEX('Valo FX'!$R:$R,MATCH($A17,'Valo FX'!$A:$A,0)),INDEX(Base!$U:$U,MATCH($A17,Base!$A:$A,0)),IF(GT$1=INDEX('Valo FX'!$R:$R,MATCH($A17,'Valo FX'!$A:$A,0)),INDEX(Base!$V:$V,MATCH($A17,Base!$A:$A,0)),0)))</f>
        <v>13.09985</v>
      </c>
      <c r="GU17" s="21">
        <f>IF(GU$1&lt;INDEX('Valo FX'!$Q:$Q,MATCH($A17,'Valo FX'!$A:$A,0)),0,IF(GU$1&lt;INDEX('Valo FX'!$R:$R,MATCH($A17,'Valo FX'!$A:$A,0)),INDEX(Base!$U:$U,MATCH($A17,Base!$A:$A,0)),IF(GU$1=INDEX('Valo FX'!$R:$R,MATCH($A17,'Valo FX'!$A:$A,0)),INDEX(Base!$V:$V,MATCH($A17,Base!$A:$A,0)),0)))</f>
        <v>13.09985</v>
      </c>
      <c r="GV17" s="21">
        <f>IF(GV$1&lt;INDEX('Valo FX'!$Q:$Q,MATCH($A17,'Valo FX'!$A:$A,0)),0,IF(GV$1&lt;INDEX('Valo FX'!$R:$R,MATCH($A17,'Valo FX'!$A:$A,0)),INDEX(Base!$U:$U,MATCH($A17,Base!$A:$A,0)),IF(GV$1=INDEX('Valo FX'!$R:$R,MATCH($A17,'Valo FX'!$A:$A,0)),INDEX(Base!$V:$V,MATCH($A17,Base!$A:$A,0)),0)))</f>
        <v>13.09985</v>
      </c>
      <c r="GW17" s="21">
        <f>IF(GW$1&lt;INDEX('Valo FX'!$Q:$Q,MATCH($A17,'Valo FX'!$A:$A,0)),0,IF(GW$1&lt;INDEX('Valo FX'!$R:$R,MATCH($A17,'Valo FX'!$A:$A,0)),INDEX(Base!$U:$U,MATCH($A17,Base!$A:$A,0)),IF(GW$1=INDEX('Valo FX'!$R:$R,MATCH($A17,'Valo FX'!$A:$A,0)),INDEX(Base!$V:$V,MATCH($A17,Base!$A:$A,0)),0)))</f>
        <v>13.09985</v>
      </c>
      <c r="GX17" s="21">
        <f>IF(GX$1&lt;INDEX('Valo FX'!$Q:$Q,MATCH($A17,'Valo FX'!$A:$A,0)),0,IF(GX$1&lt;INDEX('Valo FX'!$R:$R,MATCH($A17,'Valo FX'!$A:$A,0)),INDEX(Base!$U:$U,MATCH($A17,Base!$A:$A,0)),IF(GX$1=INDEX('Valo FX'!$R:$R,MATCH($A17,'Valo FX'!$A:$A,0)),INDEX(Base!$V:$V,MATCH($A17,Base!$A:$A,0)),0)))</f>
        <v>13.09985</v>
      </c>
      <c r="GY17" s="21">
        <f>IF(GY$1&lt;INDEX('Valo FX'!$Q:$Q,MATCH($A17,'Valo FX'!$A:$A,0)),0,IF(GY$1&lt;INDEX('Valo FX'!$R:$R,MATCH($A17,'Valo FX'!$A:$A,0)),INDEX(Base!$U:$U,MATCH($A17,Base!$A:$A,0)),IF(GY$1=INDEX('Valo FX'!$R:$R,MATCH($A17,'Valo FX'!$A:$A,0)),INDEX(Base!$V:$V,MATCH($A17,Base!$A:$A,0)),0)))</f>
        <v>13.09985</v>
      </c>
      <c r="GZ17" s="21">
        <f>IF(GZ$1&lt;INDEX('Valo FX'!$Q:$Q,MATCH($A17,'Valo FX'!$A:$A,0)),0,IF(GZ$1&lt;INDEX('Valo FX'!$R:$R,MATCH($A17,'Valo FX'!$A:$A,0)),INDEX(Base!$U:$U,MATCH($A17,Base!$A:$A,0)),IF(GZ$1=INDEX('Valo FX'!$R:$R,MATCH($A17,'Valo FX'!$A:$A,0)),INDEX(Base!$V:$V,MATCH($A17,Base!$A:$A,0)),0)))</f>
        <v>13.09985</v>
      </c>
      <c r="HA17" s="21">
        <f>IF(HA$1&lt;INDEX('Valo FX'!$Q:$Q,MATCH($A17,'Valo FX'!$A:$A,0)),0,IF(HA$1&lt;INDEX('Valo FX'!$R:$R,MATCH($A17,'Valo FX'!$A:$A,0)),INDEX(Base!$U:$U,MATCH($A17,Base!$A:$A,0)),IF(HA$1=INDEX('Valo FX'!$R:$R,MATCH($A17,'Valo FX'!$A:$A,0)),INDEX(Base!$V:$V,MATCH($A17,Base!$A:$A,0)),0)))</f>
        <v>13.09985</v>
      </c>
      <c r="HB17" s="21">
        <f>IF(HB$1&lt;INDEX('Valo FX'!$Q:$Q,MATCH($A17,'Valo FX'!$A:$A,0)),0,IF(HB$1&lt;INDEX('Valo FX'!$R:$R,MATCH($A17,'Valo FX'!$A:$A,0)),INDEX(Base!$U:$U,MATCH($A17,Base!$A:$A,0)),IF(HB$1=INDEX('Valo FX'!$R:$R,MATCH($A17,'Valo FX'!$A:$A,0)),INDEX(Base!$V:$V,MATCH($A17,Base!$A:$A,0)),0)))</f>
        <v>13.09985</v>
      </c>
      <c r="HC17" s="21">
        <f>IF(HC$1&lt;INDEX('Valo FX'!$Q:$Q,MATCH($A17,'Valo FX'!$A:$A,0)),0,IF(HC$1&lt;INDEX('Valo FX'!$R:$R,MATCH($A17,'Valo FX'!$A:$A,0)),INDEX(Base!$U:$U,MATCH($A17,Base!$A:$A,0)),IF(HC$1=INDEX('Valo FX'!$R:$R,MATCH($A17,'Valo FX'!$A:$A,0)),INDEX(Base!$V:$V,MATCH($A17,Base!$A:$A,0)),0)))</f>
        <v>13.09985</v>
      </c>
      <c r="HD17" s="21">
        <f>IF(HD$1&lt;INDEX('Valo FX'!$Q:$Q,MATCH($A17,'Valo FX'!$A:$A,0)),0,IF(HD$1&lt;INDEX('Valo FX'!$R:$R,MATCH($A17,'Valo FX'!$A:$A,0)),INDEX(Base!$U:$U,MATCH($A17,Base!$A:$A,0)),IF(HD$1=INDEX('Valo FX'!$R:$R,MATCH($A17,'Valo FX'!$A:$A,0)),INDEX(Base!$V:$V,MATCH($A17,Base!$A:$A,0)),0)))</f>
        <v>13.09985</v>
      </c>
      <c r="HE17" s="21">
        <f>IF(HE$1&lt;INDEX('Valo FX'!$Q:$Q,MATCH($A17,'Valo FX'!$A:$A,0)),0,IF(HE$1&lt;INDEX('Valo FX'!$R:$R,MATCH($A17,'Valo FX'!$A:$A,0)),INDEX(Base!$U:$U,MATCH($A17,Base!$A:$A,0)),IF(HE$1=INDEX('Valo FX'!$R:$R,MATCH($A17,'Valo FX'!$A:$A,0)),INDEX(Base!$V:$V,MATCH($A17,Base!$A:$A,0)),0)))</f>
        <v>13.09985</v>
      </c>
      <c r="HF17" s="21">
        <f>IF(HF$1&lt;INDEX('Valo FX'!$Q:$Q,MATCH($A17,'Valo FX'!$A:$A,0)),0,IF(HF$1&lt;INDEX('Valo FX'!$R:$R,MATCH($A17,'Valo FX'!$A:$A,0)),INDEX(Base!$U:$U,MATCH($A17,Base!$A:$A,0)),IF(HF$1=INDEX('Valo FX'!$R:$R,MATCH($A17,'Valo FX'!$A:$A,0)),INDEX(Base!$V:$V,MATCH($A17,Base!$A:$A,0)),0)))</f>
        <v>13.09985</v>
      </c>
      <c r="HG17" s="21">
        <f>IF(HG$1&lt;INDEX('Valo FX'!$Q:$Q,MATCH($A17,'Valo FX'!$A:$A,0)),0,IF(HG$1&lt;INDEX('Valo FX'!$R:$R,MATCH($A17,'Valo FX'!$A:$A,0)),INDEX(Base!$U:$U,MATCH($A17,Base!$A:$A,0)),IF(HG$1=INDEX('Valo FX'!$R:$R,MATCH($A17,'Valo FX'!$A:$A,0)),INDEX(Base!$V:$V,MATCH($A17,Base!$A:$A,0)),0)))</f>
        <v>13.09985</v>
      </c>
      <c r="HH17" s="21">
        <f>IF(HH$1&lt;INDEX('Valo FX'!$Q:$Q,MATCH($A17,'Valo FX'!$A:$A,0)),0,IF(HH$1&lt;INDEX('Valo FX'!$R:$R,MATCH($A17,'Valo FX'!$A:$A,0)),INDEX(Base!$U:$U,MATCH($A17,Base!$A:$A,0)),IF(HH$1=INDEX('Valo FX'!$R:$R,MATCH($A17,'Valo FX'!$A:$A,0)),INDEX(Base!$V:$V,MATCH($A17,Base!$A:$A,0)),0)))</f>
        <v>13.09985</v>
      </c>
      <c r="HI17" s="21">
        <f>IF(HI$1&lt;INDEX('Valo FX'!$Q:$Q,MATCH($A17,'Valo FX'!$A:$A,0)),0,IF(HI$1&lt;INDEX('Valo FX'!$R:$R,MATCH($A17,'Valo FX'!$A:$A,0)),INDEX(Base!$U:$U,MATCH($A17,Base!$A:$A,0)),IF(HI$1=INDEX('Valo FX'!$R:$R,MATCH($A17,'Valo FX'!$A:$A,0)),INDEX(Base!$V:$V,MATCH($A17,Base!$A:$A,0)),0)))</f>
        <v>13.09985</v>
      </c>
      <c r="HJ17" s="21">
        <f>IF(HJ$1&lt;INDEX('Valo FX'!$Q:$Q,MATCH($A17,'Valo FX'!$A:$A,0)),0,IF(HJ$1&lt;INDEX('Valo FX'!$R:$R,MATCH($A17,'Valo FX'!$A:$A,0)),INDEX(Base!$U:$U,MATCH($A17,Base!$A:$A,0)),IF(HJ$1=INDEX('Valo FX'!$R:$R,MATCH($A17,'Valo FX'!$A:$A,0)),INDEX(Base!$V:$V,MATCH($A17,Base!$A:$A,0)),0)))</f>
        <v>13.09985</v>
      </c>
      <c r="HK17" s="21">
        <f>IF(HK$1&lt;INDEX('Valo FX'!$Q:$Q,MATCH($A17,'Valo FX'!$A:$A,0)),0,IF(HK$1&lt;INDEX('Valo FX'!$R:$R,MATCH($A17,'Valo FX'!$A:$A,0)),INDEX(Base!$U:$U,MATCH($A17,Base!$A:$A,0)),IF(HK$1=INDEX('Valo FX'!$R:$R,MATCH($A17,'Valo FX'!$A:$A,0)),INDEX(Base!$V:$V,MATCH($A17,Base!$A:$A,0)),0)))</f>
        <v>13.09985</v>
      </c>
      <c r="HL17" s="21">
        <f>IF(HL$1&lt;INDEX('Valo FX'!$Q:$Q,MATCH($A17,'Valo FX'!$A:$A,0)),0,IF(HL$1&lt;INDEX('Valo FX'!$R:$R,MATCH($A17,'Valo FX'!$A:$A,0)),INDEX(Base!$U:$U,MATCH($A17,Base!$A:$A,0)),IF(HL$1=INDEX('Valo FX'!$R:$R,MATCH($A17,'Valo FX'!$A:$A,0)),INDEX(Base!$V:$V,MATCH($A17,Base!$A:$A,0)),0)))</f>
        <v>13.09985</v>
      </c>
      <c r="HM17" s="21">
        <f>IF(HM$1&lt;INDEX('Valo FX'!$Q:$Q,MATCH($A17,'Valo FX'!$A:$A,0)),0,IF(HM$1&lt;INDEX('Valo FX'!$R:$R,MATCH($A17,'Valo FX'!$A:$A,0)),INDEX(Base!$U:$U,MATCH($A17,Base!$A:$A,0)),IF(HM$1=INDEX('Valo FX'!$R:$R,MATCH($A17,'Valo FX'!$A:$A,0)),INDEX(Base!$V:$V,MATCH($A17,Base!$A:$A,0)),0)))</f>
        <v>13.09985</v>
      </c>
      <c r="HN17" s="21">
        <f>IF(HN$1&lt;INDEX('Valo FX'!$Q:$Q,MATCH($A17,'Valo FX'!$A:$A,0)),0,IF(HN$1&lt;INDEX('Valo FX'!$R:$R,MATCH($A17,'Valo FX'!$A:$A,0)),INDEX(Base!$U:$U,MATCH($A17,Base!$A:$A,0)),IF(HN$1=INDEX('Valo FX'!$R:$R,MATCH($A17,'Valo FX'!$A:$A,0)),INDEX(Base!$V:$V,MATCH($A17,Base!$A:$A,0)),0)))</f>
        <v>13.09985</v>
      </c>
      <c r="HO17" s="21">
        <f>IF(HO$1&lt;INDEX('Valo FX'!$Q:$Q,MATCH($A17,'Valo FX'!$A:$A,0)),0,IF(HO$1&lt;INDEX('Valo FX'!$R:$R,MATCH($A17,'Valo FX'!$A:$A,0)),INDEX(Base!$U:$U,MATCH($A17,Base!$A:$A,0)),IF(HO$1=INDEX('Valo FX'!$R:$R,MATCH($A17,'Valo FX'!$A:$A,0)),INDEX(Base!$V:$V,MATCH($A17,Base!$A:$A,0)),0)))</f>
        <v>13.09985</v>
      </c>
      <c r="HP17" s="21">
        <f>IF(HP$1&lt;INDEX('Valo FX'!$Q:$Q,MATCH($A17,'Valo FX'!$A:$A,0)),0,IF(HP$1&lt;INDEX('Valo FX'!$R:$R,MATCH($A17,'Valo FX'!$A:$A,0)),INDEX(Base!$U:$U,MATCH($A17,Base!$A:$A,0)),IF(HP$1=INDEX('Valo FX'!$R:$R,MATCH($A17,'Valo FX'!$A:$A,0)),INDEX(Base!$V:$V,MATCH($A17,Base!$A:$A,0)),0)))</f>
        <v>13.09985</v>
      </c>
      <c r="HQ17" s="21">
        <f>IF(HQ$1&lt;INDEX('Valo FX'!$Q:$Q,MATCH($A17,'Valo FX'!$A:$A,0)),0,IF(HQ$1&lt;INDEX('Valo FX'!$R:$R,MATCH($A17,'Valo FX'!$A:$A,0)),INDEX(Base!$U:$U,MATCH($A17,Base!$A:$A,0)),IF(HQ$1=INDEX('Valo FX'!$R:$R,MATCH($A17,'Valo FX'!$A:$A,0)),INDEX(Base!$V:$V,MATCH($A17,Base!$A:$A,0)),0)))</f>
        <v>13.09985</v>
      </c>
      <c r="HR17" s="21">
        <f>IF(HR$1&lt;INDEX('Valo FX'!$Q:$Q,MATCH($A17,'Valo FX'!$A:$A,0)),0,IF(HR$1&lt;INDEX('Valo FX'!$R:$R,MATCH($A17,'Valo FX'!$A:$A,0)),INDEX(Base!$U:$U,MATCH($A17,Base!$A:$A,0)),IF(HR$1=INDEX('Valo FX'!$R:$R,MATCH($A17,'Valo FX'!$A:$A,0)),INDEX(Base!$V:$V,MATCH($A17,Base!$A:$A,0)),0)))</f>
        <v>13.09985</v>
      </c>
      <c r="HS17" s="21">
        <f>IF(HS$1&lt;INDEX('Valo FX'!$Q:$Q,MATCH($A17,'Valo FX'!$A:$A,0)),0,IF(HS$1&lt;INDEX('Valo FX'!$R:$R,MATCH($A17,'Valo FX'!$A:$A,0)),INDEX(Base!$U:$U,MATCH($A17,Base!$A:$A,0)),IF(HS$1=INDEX('Valo FX'!$R:$R,MATCH($A17,'Valo FX'!$A:$A,0)),INDEX(Base!$V:$V,MATCH($A17,Base!$A:$A,0)),0)))</f>
        <v>13.09985</v>
      </c>
      <c r="HT17" s="21">
        <f>IF(HT$1&lt;INDEX('Valo FX'!$Q:$Q,MATCH($A17,'Valo FX'!$A:$A,0)),0,IF(HT$1&lt;INDEX('Valo FX'!$R:$R,MATCH($A17,'Valo FX'!$A:$A,0)),INDEX(Base!$U:$U,MATCH($A17,Base!$A:$A,0)),IF(HT$1=INDEX('Valo FX'!$R:$R,MATCH($A17,'Valo FX'!$A:$A,0)),INDEX(Base!$V:$V,MATCH($A17,Base!$A:$A,0)),0)))</f>
        <v>13.09985</v>
      </c>
      <c r="HU17" s="21">
        <f>IF(HU$1&lt;INDEX('Valo FX'!$Q:$Q,MATCH($A17,'Valo FX'!$A:$A,0)),0,IF(HU$1&lt;INDEX('Valo FX'!$R:$R,MATCH($A17,'Valo FX'!$A:$A,0)),INDEX(Base!$U:$U,MATCH($A17,Base!$A:$A,0)),IF(HU$1=INDEX('Valo FX'!$R:$R,MATCH($A17,'Valo FX'!$A:$A,0)),INDEX(Base!$V:$V,MATCH($A17,Base!$A:$A,0)),0)))</f>
        <v>13.09985</v>
      </c>
      <c r="HV17" s="21">
        <f>IF(HV$1&lt;INDEX('Valo FX'!$Q:$Q,MATCH($A17,'Valo FX'!$A:$A,0)),0,IF(HV$1&lt;INDEX('Valo FX'!$R:$R,MATCH($A17,'Valo FX'!$A:$A,0)),INDEX(Base!$U:$U,MATCH($A17,Base!$A:$A,0)),IF(HV$1=INDEX('Valo FX'!$R:$R,MATCH($A17,'Valo FX'!$A:$A,0)),INDEX(Base!$V:$V,MATCH($A17,Base!$A:$A,0)),0)))</f>
        <v>13.09985</v>
      </c>
      <c r="HW17" s="21">
        <f>IF(HW$1&lt;INDEX('Valo FX'!$Q:$Q,MATCH($A17,'Valo FX'!$A:$A,0)),0,IF(HW$1&lt;INDEX('Valo FX'!$R:$R,MATCH($A17,'Valo FX'!$A:$A,0)),INDEX(Base!$U:$U,MATCH($A17,Base!$A:$A,0)),IF(HW$1=INDEX('Valo FX'!$R:$R,MATCH($A17,'Valo FX'!$A:$A,0)),INDEX(Base!$V:$V,MATCH($A17,Base!$A:$A,0)),0)))</f>
        <v>13.09985</v>
      </c>
      <c r="HX17" s="21">
        <f>IF(HX$1&lt;INDEX('Valo FX'!$Q:$Q,MATCH($A17,'Valo FX'!$A:$A,0)),0,IF(HX$1&lt;INDEX('Valo FX'!$R:$R,MATCH($A17,'Valo FX'!$A:$A,0)),INDEX(Base!$U:$U,MATCH($A17,Base!$A:$A,0)),IF(HX$1=INDEX('Valo FX'!$R:$R,MATCH($A17,'Valo FX'!$A:$A,0)),INDEX(Base!$V:$V,MATCH($A17,Base!$A:$A,0)),0)))</f>
        <v>13.09985</v>
      </c>
      <c r="HY17" s="21">
        <f>IF(HY$1&lt;INDEX('Valo FX'!$Q:$Q,MATCH($A17,'Valo FX'!$A:$A,0)),0,IF(HY$1&lt;INDEX('Valo FX'!$R:$R,MATCH($A17,'Valo FX'!$A:$A,0)),INDEX(Base!$U:$U,MATCH($A17,Base!$A:$A,0)),IF(HY$1=INDEX('Valo FX'!$R:$R,MATCH($A17,'Valo FX'!$A:$A,0)),INDEX(Base!$V:$V,MATCH($A17,Base!$A:$A,0)),0)))</f>
        <v>13.09985</v>
      </c>
      <c r="HZ17" s="21">
        <f>IF(HZ$1&lt;INDEX('Valo FX'!$Q:$Q,MATCH($A17,'Valo FX'!$A:$A,0)),0,IF(HZ$1&lt;INDEX('Valo FX'!$R:$R,MATCH($A17,'Valo FX'!$A:$A,0)),INDEX(Base!$U:$U,MATCH($A17,Base!$A:$A,0)),IF(HZ$1=INDEX('Valo FX'!$R:$R,MATCH($A17,'Valo FX'!$A:$A,0)),INDEX(Base!$V:$V,MATCH($A17,Base!$A:$A,0)),0)))</f>
        <v>13.09985</v>
      </c>
      <c r="IA17" s="21">
        <f>IF(IA$1&lt;INDEX('Valo FX'!$Q:$Q,MATCH($A17,'Valo FX'!$A:$A,0)),0,IF(IA$1&lt;INDEX('Valo FX'!$R:$R,MATCH($A17,'Valo FX'!$A:$A,0)),INDEX(Base!$U:$U,MATCH($A17,Base!$A:$A,0)),IF(IA$1=INDEX('Valo FX'!$R:$R,MATCH($A17,'Valo FX'!$A:$A,0)),INDEX(Base!$V:$V,MATCH($A17,Base!$A:$A,0)),0)))</f>
        <v>13.09985</v>
      </c>
      <c r="IB17" s="21">
        <f>IF(IB$1&lt;INDEX('Valo FX'!$Q:$Q,MATCH($A17,'Valo FX'!$A:$A,0)),0,IF(IB$1&lt;INDEX('Valo FX'!$R:$R,MATCH($A17,'Valo FX'!$A:$A,0)),INDEX(Base!$U:$U,MATCH($A17,Base!$A:$A,0)),IF(IB$1=INDEX('Valo FX'!$R:$R,MATCH($A17,'Valo FX'!$A:$A,0)),INDEX(Base!$V:$V,MATCH($A17,Base!$A:$A,0)),0)))</f>
        <v>13.09985</v>
      </c>
      <c r="IC17" s="21">
        <f>IF(IC$1&lt;INDEX('Valo FX'!$Q:$Q,MATCH($A17,'Valo FX'!$A:$A,0)),0,IF(IC$1&lt;INDEX('Valo FX'!$R:$R,MATCH($A17,'Valo FX'!$A:$A,0)),INDEX(Base!$U:$U,MATCH($A17,Base!$A:$A,0)),IF(IC$1=INDEX('Valo FX'!$R:$R,MATCH($A17,'Valo FX'!$A:$A,0)),INDEX(Base!$V:$V,MATCH($A17,Base!$A:$A,0)),0)))</f>
        <v>13.09985</v>
      </c>
      <c r="ID17" s="21">
        <f>IF(ID$1&lt;INDEX('Valo FX'!$Q:$Q,MATCH($A17,'Valo FX'!$A:$A,0)),0,IF(ID$1&lt;INDEX('Valo FX'!$R:$R,MATCH($A17,'Valo FX'!$A:$A,0)),INDEX(Base!$U:$U,MATCH($A17,Base!$A:$A,0)),IF(ID$1=INDEX('Valo FX'!$R:$R,MATCH($A17,'Valo FX'!$A:$A,0)),INDEX(Base!$V:$V,MATCH($A17,Base!$A:$A,0)),0)))</f>
        <v>13.09985</v>
      </c>
      <c r="IE17" s="21">
        <f>IF(IE$1&lt;INDEX('Valo FX'!$Q:$Q,MATCH($A17,'Valo FX'!$A:$A,0)),0,IF(IE$1&lt;INDEX('Valo FX'!$R:$R,MATCH($A17,'Valo FX'!$A:$A,0)),INDEX(Base!$U:$U,MATCH($A17,Base!$A:$A,0)),IF(IE$1=INDEX('Valo FX'!$R:$R,MATCH($A17,'Valo FX'!$A:$A,0)),INDEX(Base!$V:$V,MATCH($A17,Base!$A:$A,0)),0)))</f>
        <v>13.09985</v>
      </c>
      <c r="IF17" s="21">
        <f>IF(IF$1&lt;INDEX('Valo FX'!$Q:$Q,MATCH($A17,'Valo FX'!$A:$A,0)),0,IF(IF$1&lt;INDEX('Valo FX'!$R:$R,MATCH($A17,'Valo FX'!$A:$A,0)),INDEX(Base!$U:$U,MATCH($A17,Base!$A:$A,0)),IF(IF$1=INDEX('Valo FX'!$R:$R,MATCH($A17,'Valo FX'!$A:$A,0)),INDEX(Base!$V:$V,MATCH($A17,Base!$A:$A,0)),0)))</f>
        <v>13.09985</v>
      </c>
      <c r="IG17" s="21">
        <f>IF(IG$1&lt;INDEX('Valo FX'!$Q:$Q,MATCH($A17,'Valo FX'!$A:$A,0)),0,IF(IG$1&lt;INDEX('Valo FX'!$R:$R,MATCH($A17,'Valo FX'!$A:$A,0)),INDEX(Base!$U:$U,MATCH($A17,Base!$A:$A,0)),IF(IG$1=INDEX('Valo FX'!$R:$R,MATCH($A17,'Valo FX'!$A:$A,0)),INDEX(Base!$V:$V,MATCH($A17,Base!$A:$A,0)),0)))</f>
        <v>13.09985</v>
      </c>
      <c r="IH17" s="21">
        <f>IF(IH$1&lt;INDEX('Valo FX'!$Q:$Q,MATCH($A17,'Valo FX'!$A:$A,0)),0,IF(IH$1&lt;INDEX('Valo FX'!$R:$R,MATCH($A17,'Valo FX'!$A:$A,0)),INDEX(Base!$U:$U,MATCH($A17,Base!$A:$A,0)),IF(IH$1=INDEX('Valo FX'!$R:$R,MATCH($A17,'Valo FX'!$A:$A,0)),INDEX(Base!$V:$V,MATCH($A17,Base!$A:$A,0)),0)))</f>
        <v>13.09985</v>
      </c>
      <c r="II17" s="21">
        <f>IF(II$1&lt;INDEX('Valo FX'!$Q:$Q,MATCH($A17,'Valo FX'!$A:$A,0)),0,IF(II$1&lt;INDEX('Valo FX'!$R:$R,MATCH($A17,'Valo FX'!$A:$A,0)),INDEX(Base!$U:$U,MATCH($A17,Base!$A:$A,0)),IF(II$1=INDEX('Valo FX'!$R:$R,MATCH($A17,'Valo FX'!$A:$A,0)),INDEX(Base!$V:$V,MATCH($A17,Base!$A:$A,0)),0)))</f>
        <v>13.09985</v>
      </c>
      <c r="IJ17" s="21">
        <f>IF(IJ$1&lt;INDEX('Valo FX'!$Q:$Q,MATCH($A17,'Valo FX'!$A:$A,0)),0,IF(IJ$1&lt;INDEX('Valo FX'!$R:$R,MATCH($A17,'Valo FX'!$A:$A,0)),INDEX(Base!$U:$U,MATCH($A17,Base!$A:$A,0)),IF(IJ$1=INDEX('Valo FX'!$R:$R,MATCH($A17,'Valo FX'!$A:$A,0)),INDEX(Base!$V:$V,MATCH($A17,Base!$A:$A,0)),0)))</f>
        <v>13.09985</v>
      </c>
      <c r="IK17" s="21">
        <f>IF(IK$1&lt;INDEX('Valo FX'!$Q:$Q,MATCH($A17,'Valo FX'!$A:$A,0)),0,IF(IK$1&lt;INDEX('Valo FX'!$R:$R,MATCH($A17,'Valo FX'!$A:$A,0)),INDEX(Base!$U:$U,MATCH($A17,Base!$A:$A,0)),IF(IK$1=INDEX('Valo FX'!$R:$R,MATCH($A17,'Valo FX'!$A:$A,0)),INDEX(Base!$V:$V,MATCH($A17,Base!$A:$A,0)),0)))</f>
        <v>13.09985</v>
      </c>
      <c r="IL17" s="21">
        <f>IF(IL$1&lt;INDEX('Valo FX'!$Q:$Q,MATCH($A17,'Valo FX'!$A:$A,0)),0,IF(IL$1&lt;INDEX('Valo FX'!$R:$R,MATCH($A17,'Valo FX'!$A:$A,0)),INDEX(Base!$U:$U,MATCH($A17,Base!$A:$A,0)),IF(IL$1=INDEX('Valo FX'!$R:$R,MATCH($A17,'Valo FX'!$A:$A,0)),INDEX(Base!$V:$V,MATCH($A17,Base!$A:$A,0)),0)))</f>
        <v>13.09985</v>
      </c>
      <c r="IM17" s="21">
        <f>IF(IM$1&lt;INDEX('Valo FX'!$Q:$Q,MATCH($A17,'Valo FX'!$A:$A,0)),0,IF(IM$1&lt;INDEX('Valo FX'!$R:$R,MATCH($A17,'Valo FX'!$A:$A,0)),INDEX(Base!$U:$U,MATCH($A17,Base!$A:$A,0)),IF(IM$1=INDEX('Valo FX'!$R:$R,MATCH($A17,'Valo FX'!$A:$A,0)),INDEX(Base!$V:$V,MATCH($A17,Base!$A:$A,0)),0)))</f>
        <v>13.09985</v>
      </c>
      <c r="IN17" s="21">
        <f>IF(IN$1&lt;INDEX('Valo FX'!$Q:$Q,MATCH($A17,'Valo FX'!$A:$A,0)),0,IF(IN$1&lt;INDEX('Valo FX'!$R:$R,MATCH($A17,'Valo FX'!$A:$A,0)),INDEX(Base!$U:$U,MATCH($A17,Base!$A:$A,0)),IF(IN$1=INDEX('Valo FX'!$R:$R,MATCH($A17,'Valo FX'!$A:$A,0)),INDEX(Base!$V:$V,MATCH($A17,Base!$A:$A,0)),0)))</f>
        <v>13.09985</v>
      </c>
      <c r="IO17" s="21">
        <f>IF(IO$1&lt;INDEX('Valo FX'!$Q:$Q,MATCH($A17,'Valo FX'!$A:$A,0)),0,IF(IO$1&lt;INDEX('Valo FX'!$R:$R,MATCH($A17,'Valo FX'!$A:$A,0)),INDEX(Base!$U:$U,MATCH($A17,Base!$A:$A,0)),IF(IO$1=INDEX('Valo FX'!$R:$R,MATCH($A17,'Valo FX'!$A:$A,0)),INDEX(Base!$V:$V,MATCH($A17,Base!$A:$A,0)),0)))</f>
        <v>13.09985</v>
      </c>
      <c r="IP17" s="21">
        <f>IF(IP$1&lt;INDEX('Valo FX'!$Q:$Q,MATCH($A17,'Valo FX'!$A:$A,0)),0,IF(IP$1&lt;INDEX('Valo FX'!$R:$R,MATCH($A17,'Valo FX'!$A:$A,0)),INDEX(Base!$U:$U,MATCH($A17,Base!$A:$A,0)),IF(IP$1=INDEX('Valo FX'!$R:$R,MATCH($A17,'Valo FX'!$A:$A,0)),INDEX(Base!$V:$V,MATCH($A17,Base!$A:$A,0)),0)))</f>
        <v>13.09985</v>
      </c>
      <c r="IQ17" s="21">
        <f>IF(IQ$1&lt;INDEX('Valo FX'!$Q:$Q,MATCH($A17,'Valo FX'!$A:$A,0)),0,IF(IQ$1&lt;INDEX('Valo FX'!$R:$R,MATCH($A17,'Valo FX'!$A:$A,0)),INDEX(Base!$U:$U,MATCH($A17,Base!$A:$A,0)),IF(IQ$1=INDEX('Valo FX'!$R:$R,MATCH($A17,'Valo FX'!$A:$A,0)),INDEX(Base!$V:$V,MATCH($A17,Base!$A:$A,0)),0)))</f>
        <v>13.09985</v>
      </c>
      <c r="IR17" s="21">
        <f>IF(IR$1&lt;INDEX('Valo FX'!$Q:$Q,MATCH($A17,'Valo FX'!$A:$A,0)),0,IF(IR$1&lt;INDEX('Valo FX'!$R:$R,MATCH($A17,'Valo FX'!$A:$A,0)),INDEX(Base!$U:$U,MATCH($A17,Base!$A:$A,0)),IF(IR$1=INDEX('Valo FX'!$R:$R,MATCH($A17,'Valo FX'!$A:$A,0)),INDEX(Base!$V:$V,MATCH($A17,Base!$A:$A,0)),0)))</f>
        <v>13.09985</v>
      </c>
      <c r="IS17" s="21">
        <f>IF(IS$1&lt;INDEX('Valo FX'!$Q:$Q,MATCH($A17,'Valo FX'!$A:$A,0)),0,IF(IS$1&lt;INDEX('Valo FX'!$R:$R,MATCH($A17,'Valo FX'!$A:$A,0)),INDEX(Base!$U:$U,MATCH($A17,Base!$A:$A,0)),IF(IS$1=INDEX('Valo FX'!$R:$R,MATCH($A17,'Valo FX'!$A:$A,0)),INDEX(Base!$V:$V,MATCH($A17,Base!$A:$A,0)),0)))</f>
        <v>13.09985</v>
      </c>
      <c r="IT17" s="21">
        <f>IF(IT$1&lt;INDEX('Valo FX'!$Q:$Q,MATCH($A17,'Valo FX'!$A:$A,0)),0,IF(IT$1&lt;INDEX('Valo FX'!$R:$R,MATCH($A17,'Valo FX'!$A:$A,0)),INDEX(Base!$U:$U,MATCH($A17,Base!$A:$A,0)),IF(IT$1=INDEX('Valo FX'!$R:$R,MATCH($A17,'Valo FX'!$A:$A,0)),INDEX(Base!$V:$V,MATCH($A17,Base!$A:$A,0)),0)))</f>
        <v>13.09985</v>
      </c>
      <c r="IU17" s="21">
        <f>IF(IU$1&lt;INDEX('Valo FX'!$Q:$Q,MATCH($A17,'Valo FX'!$A:$A,0)),0,IF(IU$1&lt;INDEX('Valo FX'!$R:$R,MATCH($A17,'Valo FX'!$A:$A,0)),INDEX(Base!$U:$U,MATCH($A17,Base!$A:$A,0)),IF(IU$1=INDEX('Valo FX'!$R:$R,MATCH($A17,'Valo FX'!$A:$A,0)),INDEX(Base!$V:$V,MATCH($A17,Base!$A:$A,0)),0)))</f>
        <v>13.09985</v>
      </c>
      <c r="IV17" s="21">
        <f>IF(IV$1&lt;INDEX('Valo FX'!$Q:$Q,MATCH($A17,'Valo FX'!$A:$A,0)),0,IF(IV$1&lt;INDEX('Valo FX'!$R:$R,MATCH($A17,'Valo FX'!$A:$A,0)),INDEX(Base!$U:$U,MATCH($A17,Base!$A:$A,0)),IF(IV$1=INDEX('Valo FX'!$R:$R,MATCH($A17,'Valo FX'!$A:$A,0)),INDEX(Base!$V:$V,MATCH($A17,Base!$A:$A,0)),0)))</f>
        <v>13.09985</v>
      </c>
      <c r="IW17" s="21">
        <f>IF(IW$1&lt;INDEX('Valo FX'!$Q:$Q,MATCH($A17,'Valo FX'!$A:$A,0)),0,IF(IW$1&lt;INDEX('Valo FX'!$R:$R,MATCH($A17,'Valo FX'!$A:$A,0)),INDEX(Base!$U:$U,MATCH($A17,Base!$A:$A,0)),IF(IW$1=INDEX('Valo FX'!$R:$R,MATCH($A17,'Valo FX'!$A:$A,0)),INDEX(Base!$V:$V,MATCH($A17,Base!$A:$A,0)),0)))</f>
        <v>13.09985</v>
      </c>
      <c r="IX17" s="21">
        <f>IF(IX$1&lt;INDEX('Valo FX'!$Q:$Q,MATCH($A17,'Valo FX'!$A:$A,0)),0,IF(IX$1&lt;INDEX('Valo FX'!$R:$R,MATCH($A17,'Valo FX'!$A:$A,0)),INDEX(Base!$U:$U,MATCH($A17,Base!$A:$A,0)),IF(IX$1=INDEX('Valo FX'!$R:$R,MATCH($A17,'Valo FX'!$A:$A,0)),INDEX(Base!$V:$V,MATCH($A17,Base!$A:$A,0)),0)))</f>
        <v>13.09985</v>
      </c>
      <c r="IY17" s="21">
        <f>IF(IY$1&lt;INDEX('Valo FX'!$Q:$Q,MATCH($A17,'Valo FX'!$A:$A,0)),0,IF(IY$1&lt;INDEX('Valo FX'!$R:$R,MATCH($A17,'Valo FX'!$A:$A,0)),INDEX(Base!$U:$U,MATCH($A17,Base!$A:$A,0)),IF(IY$1=INDEX('Valo FX'!$R:$R,MATCH($A17,'Valo FX'!$A:$A,0)),INDEX(Base!$V:$V,MATCH($A17,Base!$A:$A,0)),0)))</f>
        <v>13.09985</v>
      </c>
      <c r="IZ17" s="21">
        <f>IF(IZ$1&lt;INDEX('Valo FX'!$Q:$Q,MATCH($A17,'Valo FX'!$A:$A,0)),0,IF(IZ$1&lt;INDEX('Valo FX'!$R:$R,MATCH($A17,'Valo FX'!$A:$A,0)),INDEX(Base!$U:$U,MATCH($A17,Base!$A:$A,0)),IF(IZ$1=INDEX('Valo FX'!$R:$R,MATCH($A17,'Valo FX'!$A:$A,0)),INDEX(Base!$V:$V,MATCH($A17,Base!$A:$A,0)),0)))</f>
        <v>13.09985</v>
      </c>
      <c r="JA17" s="21">
        <f>IF(JA$1&lt;INDEX('Valo FX'!$Q:$Q,MATCH($A17,'Valo FX'!$A:$A,0)),0,IF(JA$1&lt;INDEX('Valo FX'!$R:$R,MATCH($A17,'Valo FX'!$A:$A,0)),INDEX(Base!$U:$U,MATCH($A17,Base!$A:$A,0)),IF(JA$1=INDEX('Valo FX'!$R:$R,MATCH($A17,'Valo FX'!$A:$A,0)),INDEX(Base!$V:$V,MATCH($A17,Base!$A:$A,0)),0)))</f>
        <v>13.09985</v>
      </c>
      <c r="JB17" s="21">
        <f>IF(JB$1&lt;INDEX('Valo FX'!$Q:$Q,MATCH($A17,'Valo FX'!$A:$A,0)),0,IF(JB$1&lt;INDEX('Valo FX'!$R:$R,MATCH($A17,'Valo FX'!$A:$A,0)),INDEX(Base!$U:$U,MATCH($A17,Base!$A:$A,0)),IF(JB$1=INDEX('Valo FX'!$R:$R,MATCH($A17,'Valo FX'!$A:$A,0)),INDEX(Base!$V:$V,MATCH($A17,Base!$A:$A,0)),0)))</f>
        <v>13.09985</v>
      </c>
      <c r="JC17" s="21">
        <f>IF(JC$1&lt;INDEX('Valo FX'!$Q:$Q,MATCH($A17,'Valo FX'!$A:$A,0)),0,IF(JC$1&lt;INDEX('Valo FX'!$R:$R,MATCH($A17,'Valo FX'!$A:$A,0)),INDEX(Base!$U:$U,MATCH($A17,Base!$A:$A,0)),IF(JC$1=INDEX('Valo FX'!$R:$R,MATCH($A17,'Valo FX'!$A:$A,0)),INDEX(Base!$V:$V,MATCH($A17,Base!$A:$A,0)),0)))</f>
        <v>13.09985</v>
      </c>
      <c r="JD17" s="21">
        <f>IF(JD$1&lt;INDEX('Valo FX'!$Q:$Q,MATCH($A17,'Valo FX'!$A:$A,0)),0,IF(JD$1&lt;INDEX('Valo FX'!$R:$R,MATCH($A17,'Valo FX'!$A:$A,0)),INDEX(Base!$U:$U,MATCH($A17,Base!$A:$A,0)),IF(JD$1=INDEX('Valo FX'!$R:$R,MATCH($A17,'Valo FX'!$A:$A,0)),INDEX(Base!$V:$V,MATCH($A17,Base!$A:$A,0)),0)))</f>
        <v>13.09985</v>
      </c>
      <c r="JE17" s="21">
        <f>IF(JE$1&lt;INDEX('Valo FX'!$Q:$Q,MATCH($A17,'Valo FX'!$A:$A,0)),0,IF(JE$1&lt;INDEX('Valo FX'!$R:$R,MATCH($A17,'Valo FX'!$A:$A,0)),INDEX(Base!$U:$U,MATCH($A17,Base!$A:$A,0)),IF(JE$1=INDEX('Valo FX'!$R:$R,MATCH($A17,'Valo FX'!$A:$A,0)),INDEX(Base!$V:$V,MATCH($A17,Base!$A:$A,0)),0)))</f>
        <v>13.09985</v>
      </c>
      <c r="JF17" s="21">
        <f>IF(JF$1&lt;INDEX('Valo FX'!$Q:$Q,MATCH($A17,'Valo FX'!$A:$A,0)),0,IF(JF$1&lt;INDEX('Valo FX'!$R:$R,MATCH($A17,'Valo FX'!$A:$A,0)),INDEX(Base!$U:$U,MATCH($A17,Base!$A:$A,0)),IF(JF$1=INDEX('Valo FX'!$R:$R,MATCH($A17,'Valo FX'!$A:$A,0)),INDEX(Base!$V:$V,MATCH($A17,Base!$A:$A,0)),0)))</f>
        <v>13.09985</v>
      </c>
      <c r="JG17" s="21">
        <f>IF(JG$1&lt;INDEX('Valo FX'!$Q:$Q,MATCH($A17,'Valo FX'!$A:$A,0)),0,IF(JG$1&lt;INDEX('Valo FX'!$R:$R,MATCH($A17,'Valo FX'!$A:$A,0)),INDEX(Base!$U:$U,MATCH($A17,Base!$A:$A,0)),IF(JG$1=INDEX('Valo FX'!$R:$R,MATCH($A17,'Valo FX'!$A:$A,0)),INDEX(Base!$V:$V,MATCH($A17,Base!$A:$A,0)),0)))</f>
        <v>13.09985</v>
      </c>
      <c r="JH17" s="21">
        <f>IF(JH$1&lt;INDEX('Valo FX'!$Q:$Q,MATCH($A17,'Valo FX'!$A:$A,0)),0,IF(JH$1&lt;INDEX('Valo FX'!$R:$R,MATCH($A17,'Valo FX'!$A:$A,0)),INDEX(Base!$U:$U,MATCH($A17,Base!$A:$A,0)),IF(JH$1=INDEX('Valo FX'!$R:$R,MATCH($A17,'Valo FX'!$A:$A,0)),INDEX(Base!$V:$V,MATCH($A17,Base!$A:$A,0)),0)))</f>
        <v>13.09985</v>
      </c>
      <c r="JI17" s="21">
        <f>IF(JI$1&lt;INDEX('Valo FX'!$Q:$Q,MATCH($A17,'Valo FX'!$A:$A,0)),0,IF(JI$1&lt;INDEX('Valo FX'!$R:$R,MATCH($A17,'Valo FX'!$A:$A,0)),INDEX(Base!$U:$U,MATCH($A17,Base!$A:$A,0)),IF(JI$1=INDEX('Valo FX'!$R:$R,MATCH($A17,'Valo FX'!$A:$A,0)),INDEX(Base!$V:$V,MATCH($A17,Base!$A:$A,0)),0)))</f>
        <v>13.09985</v>
      </c>
      <c r="JJ17" s="21">
        <f>IF(JJ$1&lt;INDEX('Valo FX'!$Q:$Q,MATCH($A17,'Valo FX'!$A:$A,0)),0,IF(JJ$1&lt;INDEX('Valo FX'!$R:$R,MATCH($A17,'Valo FX'!$A:$A,0)),INDEX(Base!$U:$U,MATCH($A17,Base!$A:$A,0)),IF(JJ$1=INDEX('Valo FX'!$R:$R,MATCH($A17,'Valo FX'!$A:$A,0)),INDEX(Base!$V:$V,MATCH($A17,Base!$A:$A,0)),0)))</f>
        <v>13.09985</v>
      </c>
      <c r="JK17" s="21">
        <f>IF(JK$1&lt;INDEX('Valo FX'!$Q:$Q,MATCH($A17,'Valo FX'!$A:$A,0)),0,IF(JK$1&lt;INDEX('Valo FX'!$R:$R,MATCH($A17,'Valo FX'!$A:$A,0)),INDEX(Base!$U:$U,MATCH($A17,Base!$A:$A,0)),IF(JK$1=INDEX('Valo FX'!$R:$R,MATCH($A17,'Valo FX'!$A:$A,0)),INDEX(Base!$V:$V,MATCH($A17,Base!$A:$A,0)),0)))</f>
        <v>13.09985</v>
      </c>
      <c r="JL17" s="21">
        <f>IF(JL$1&lt;INDEX('Valo FX'!$Q:$Q,MATCH($A17,'Valo FX'!$A:$A,0)),0,IF(JL$1&lt;INDEX('Valo FX'!$R:$R,MATCH($A17,'Valo FX'!$A:$A,0)),INDEX(Base!$U:$U,MATCH($A17,Base!$A:$A,0)),IF(JL$1=INDEX('Valo FX'!$R:$R,MATCH($A17,'Valo FX'!$A:$A,0)),INDEX(Base!$V:$V,MATCH($A17,Base!$A:$A,0)),0)))</f>
        <v>13.09985</v>
      </c>
      <c r="JM17" s="21">
        <f>IF(JM$1&lt;INDEX('Valo FX'!$Q:$Q,MATCH($A17,'Valo FX'!$A:$A,0)),0,IF(JM$1&lt;INDEX('Valo FX'!$R:$R,MATCH($A17,'Valo FX'!$A:$A,0)),INDEX(Base!$U:$U,MATCH($A17,Base!$A:$A,0)),IF(JM$1=INDEX('Valo FX'!$R:$R,MATCH($A17,'Valo FX'!$A:$A,0)),INDEX(Base!$V:$V,MATCH($A17,Base!$A:$A,0)),0)))</f>
        <v>13.09985</v>
      </c>
      <c r="JN17" s="21">
        <f>IF(JN$1&lt;INDEX('Valo FX'!$Q:$Q,MATCH($A17,'Valo FX'!$A:$A,0)),0,IF(JN$1&lt;INDEX('Valo FX'!$R:$R,MATCH($A17,'Valo FX'!$A:$A,0)),INDEX(Base!$U:$U,MATCH($A17,Base!$A:$A,0)),IF(JN$1=INDEX('Valo FX'!$R:$R,MATCH($A17,'Valo FX'!$A:$A,0)),INDEX(Base!$V:$V,MATCH($A17,Base!$A:$A,0)),0)))</f>
        <v>13.09985</v>
      </c>
      <c r="JO17" s="21">
        <f>IF(JO$1&lt;INDEX('Valo FX'!$Q:$Q,MATCH($A17,'Valo FX'!$A:$A,0)),0,IF(JO$1&lt;INDEX('Valo FX'!$R:$R,MATCH($A17,'Valo FX'!$A:$A,0)),INDEX(Base!$U:$U,MATCH($A17,Base!$A:$A,0)),IF(JO$1=INDEX('Valo FX'!$R:$R,MATCH($A17,'Valo FX'!$A:$A,0)),INDEX(Base!$V:$V,MATCH($A17,Base!$A:$A,0)),0)))</f>
        <v>13.09985</v>
      </c>
      <c r="JP17" s="21">
        <f>IF(JP$1&lt;INDEX('Valo FX'!$Q:$Q,MATCH($A17,'Valo FX'!$A:$A,0)),0,IF(JP$1&lt;INDEX('Valo FX'!$R:$R,MATCH($A17,'Valo FX'!$A:$A,0)),INDEX(Base!$U:$U,MATCH($A17,Base!$A:$A,0)),IF(JP$1=INDEX('Valo FX'!$R:$R,MATCH($A17,'Valo FX'!$A:$A,0)),INDEX(Base!$V:$V,MATCH($A17,Base!$A:$A,0)),0)))</f>
        <v>13.09985</v>
      </c>
      <c r="JQ17" s="21">
        <f>IF(JQ$1&lt;INDEX('Valo FX'!$Q:$Q,MATCH($A17,'Valo FX'!$A:$A,0)),0,IF(JQ$1&lt;INDEX('Valo FX'!$R:$R,MATCH($A17,'Valo FX'!$A:$A,0)),INDEX(Base!$U:$U,MATCH($A17,Base!$A:$A,0)),IF(JQ$1=INDEX('Valo FX'!$R:$R,MATCH($A17,'Valo FX'!$A:$A,0)),INDEX(Base!$V:$V,MATCH($A17,Base!$A:$A,0)),0)))</f>
        <v>13.09985</v>
      </c>
      <c r="JR17" s="21">
        <f>IF(JR$1&lt;INDEX('Valo FX'!$Q:$Q,MATCH($A17,'Valo FX'!$A:$A,0)),0,IF(JR$1&lt;INDEX('Valo FX'!$R:$R,MATCH($A17,'Valo FX'!$A:$A,0)),INDEX(Base!$U:$U,MATCH($A17,Base!$A:$A,0)),IF(JR$1=INDEX('Valo FX'!$R:$R,MATCH($A17,'Valo FX'!$A:$A,0)),INDEX(Base!$V:$V,MATCH($A17,Base!$A:$A,0)),0)))</f>
        <v>13.09985</v>
      </c>
      <c r="JS17" s="21">
        <f>IF(JS$1&lt;INDEX('Valo FX'!$Q:$Q,MATCH($A17,'Valo FX'!$A:$A,0)),0,IF(JS$1&lt;INDEX('Valo FX'!$R:$R,MATCH($A17,'Valo FX'!$A:$A,0)),INDEX(Base!$U:$U,MATCH($A17,Base!$A:$A,0)),IF(JS$1=INDEX('Valo FX'!$R:$R,MATCH($A17,'Valo FX'!$A:$A,0)),INDEX(Base!$V:$V,MATCH($A17,Base!$A:$A,0)),0)))</f>
        <v>13.09985</v>
      </c>
      <c r="JT17" s="21">
        <f>IF(JT$1&lt;INDEX('Valo FX'!$Q:$Q,MATCH($A17,'Valo FX'!$A:$A,0)),0,IF(JT$1&lt;INDEX('Valo FX'!$R:$R,MATCH($A17,'Valo FX'!$A:$A,0)),INDEX(Base!$U:$U,MATCH($A17,Base!$A:$A,0)),IF(JT$1=INDEX('Valo FX'!$R:$R,MATCH($A17,'Valo FX'!$A:$A,0)),INDEX(Base!$V:$V,MATCH($A17,Base!$A:$A,0)),0)))</f>
        <v>13.09985</v>
      </c>
      <c r="JU17" s="21">
        <f>IF(JU$1&lt;INDEX('Valo FX'!$Q:$Q,MATCH($A17,'Valo FX'!$A:$A,0)),0,IF(JU$1&lt;INDEX('Valo FX'!$R:$R,MATCH($A17,'Valo FX'!$A:$A,0)),INDEX(Base!$U:$U,MATCH($A17,Base!$A:$A,0)),IF(JU$1=INDEX('Valo FX'!$R:$R,MATCH($A17,'Valo FX'!$A:$A,0)),INDEX(Base!$V:$V,MATCH($A17,Base!$A:$A,0)),0)))</f>
        <v>13.09985</v>
      </c>
      <c r="JV17" s="21">
        <f>IF(JV$1&lt;INDEX('Valo FX'!$Q:$Q,MATCH($A17,'Valo FX'!$A:$A,0)),0,IF(JV$1&lt;INDEX('Valo FX'!$R:$R,MATCH($A17,'Valo FX'!$A:$A,0)),INDEX(Base!$U:$U,MATCH($A17,Base!$A:$A,0)),IF(JV$1=INDEX('Valo FX'!$R:$R,MATCH($A17,'Valo FX'!$A:$A,0)),INDEX(Base!$V:$V,MATCH($A17,Base!$A:$A,0)),0)))</f>
        <v>13.09985</v>
      </c>
      <c r="JW17" s="21">
        <f>IF(JW$1&lt;INDEX('Valo FX'!$Q:$Q,MATCH($A17,'Valo FX'!$A:$A,0)),0,IF(JW$1&lt;INDEX('Valo FX'!$R:$R,MATCH($A17,'Valo FX'!$A:$A,0)),INDEX(Base!$U:$U,MATCH($A17,Base!$A:$A,0)),IF(JW$1=INDEX('Valo FX'!$R:$R,MATCH($A17,'Valo FX'!$A:$A,0)),INDEX(Base!$V:$V,MATCH($A17,Base!$A:$A,0)),0)))</f>
        <v>13.09985</v>
      </c>
      <c r="JX17" s="21">
        <f>IF(JX$1&lt;INDEX('Valo FX'!$Q:$Q,MATCH($A17,'Valo FX'!$A:$A,0)),0,IF(JX$1&lt;INDEX('Valo FX'!$R:$R,MATCH($A17,'Valo FX'!$A:$A,0)),INDEX(Base!$U:$U,MATCH($A17,Base!$A:$A,0)),IF(JX$1=INDEX('Valo FX'!$R:$R,MATCH($A17,'Valo FX'!$A:$A,0)),INDEX(Base!$V:$V,MATCH($A17,Base!$A:$A,0)),0)))</f>
        <v>13.09985</v>
      </c>
      <c r="JY17" s="21">
        <f>IF(JY$1&lt;INDEX('Valo FX'!$Q:$Q,MATCH($A17,'Valo FX'!$A:$A,0)),0,IF(JY$1&lt;INDEX('Valo FX'!$R:$R,MATCH($A17,'Valo FX'!$A:$A,0)),INDEX(Base!$U:$U,MATCH($A17,Base!$A:$A,0)),IF(JY$1=INDEX('Valo FX'!$R:$R,MATCH($A17,'Valo FX'!$A:$A,0)),INDEX(Base!$V:$V,MATCH($A17,Base!$A:$A,0)),0)))</f>
        <v>13.09985</v>
      </c>
      <c r="JZ17" s="21">
        <f>IF(JZ$1&lt;INDEX('Valo FX'!$Q:$Q,MATCH($A17,'Valo FX'!$A:$A,0)),0,IF(JZ$1&lt;INDEX('Valo FX'!$R:$R,MATCH($A17,'Valo FX'!$A:$A,0)),INDEX(Base!$U:$U,MATCH($A17,Base!$A:$A,0)),IF(JZ$1=INDEX('Valo FX'!$R:$R,MATCH($A17,'Valo FX'!$A:$A,0)),INDEX(Base!$V:$V,MATCH($A17,Base!$A:$A,0)),0)))</f>
        <v>13.09985</v>
      </c>
      <c r="KA17" s="21">
        <f>IF(KA$1&lt;INDEX('Valo FX'!$Q:$Q,MATCH($A17,'Valo FX'!$A:$A,0)),0,IF(KA$1&lt;INDEX('Valo FX'!$R:$R,MATCH($A17,'Valo FX'!$A:$A,0)),INDEX(Base!$U:$U,MATCH($A17,Base!$A:$A,0)),IF(KA$1=INDEX('Valo FX'!$R:$R,MATCH($A17,'Valo FX'!$A:$A,0)),INDEX(Base!$V:$V,MATCH($A17,Base!$A:$A,0)),0)))</f>
        <v>13.09985</v>
      </c>
      <c r="KB17" s="21">
        <f>IF(KB$1&lt;INDEX('Valo FX'!$Q:$Q,MATCH($A17,'Valo FX'!$A:$A,0)),0,IF(KB$1&lt;INDEX('Valo FX'!$R:$R,MATCH($A17,'Valo FX'!$A:$A,0)),INDEX(Base!$U:$U,MATCH($A17,Base!$A:$A,0)),IF(KB$1=INDEX('Valo FX'!$R:$R,MATCH($A17,'Valo FX'!$A:$A,0)),INDEX(Base!$V:$V,MATCH($A17,Base!$A:$A,0)),0)))</f>
        <v>13.09985</v>
      </c>
      <c r="KC17" s="21">
        <f>IF(KC$1&lt;INDEX('Valo FX'!$Q:$Q,MATCH($A17,'Valo FX'!$A:$A,0)),0,IF(KC$1&lt;INDEX('Valo FX'!$R:$R,MATCH($A17,'Valo FX'!$A:$A,0)),INDEX(Base!$U:$U,MATCH($A17,Base!$A:$A,0)),IF(KC$1=INDEX('Valo FX'!$R:$R,MATCH($A17,'Valo FX'!$A:$A,0)),INDEX(Base!$V:$V,MATCH($A17,Base!$A:$A,0)),0)))</f>
        <v>13.09985</v>
      </c>
      <c r="KD17" s="21">
        <f>IF(KD$1&lt;INDEX('Valo FX'!$Q:$Q,MATCH($A17,'Valo FX'!$A:$A,0)),0,IF(KD$1&lt;INDEX('Valo FX'!$R:$R,MATCH($A17,'Valo FX'!$A:$A,0)),INDEX(Base!$U:$U,MATCH($A17,Base!$A:$A,0)),IF(KD$1=INDEX('Valo FX'!$R:$R,MATCH($A17,'Valo FX'!$A:$A,0)),INDEX(Base!$V:$V,MATCH($A17,Base!$A:$A,0)),0)))</f>
        <v>13.09985</v>
      </c>
      <c r="KE17" s="21">
        <f>IF(KE$1&lt;INDEX('Valo FX'!$Q:$Q,MATCH($A17,'Valo FX'!$A:$A,0)),0,IF(KE$1&lt;INDEX('Valo FX'!$R:$R,MATCH($A17,'Valo FX'!$A:$A,0)),INDEX(Base!$U:$U,MATCH($A17,Base!$A:$A,0)),IF(KE$1=INDEX('Valo FX'!$R:$R,MATCH($A17,'Valo FX'!$A:$A,0)),INDEX(Base!$V:$V,MATCH($A17,Base!$A:$A,0)),0)))</f>
        <v>13.09985</v>
      </c>
      <c r="KF17" s="21">
        <f>IF(KF$1&lt;INDEX('Valo FX'!$Q:$Q,MATCH($A17,'Valo FX'!$A:$A,0)),0,IF(KF$1&lt;INDEX('Valo FX'!$R:$R,MATCH($A17,'Valo FX'!$A:$A,0)),INDEX(Base!$U:$U,MATCH($A17,Base!$A:$A,0)),IF(KF$1=INDEX('Valo FX'!$R:$R,MATCH($A17,'Valo FX'!$A:$A,0)),INDEX(Base!$V:$V,MATCH($A17,Base!$A:$A,0)),0)))</f>
        <v>13.09985</v>
      </c>
      <c r="KG17" s="21">
        <f>IF(KG$1&lt;INDEX('Valo FX'!$Q:$Q,MATCH($A17,'Valo FX'!$A:$A,0)),0,IF(KG$1&lt;INDEX('Valo FX'!$R:$R,MATCH($A17,'Valo FX'!$A:$A,0)),INDEX(Base!$U:$U,MATCH($A17,Base!$A:$A,0)),IF(KG$1=INDEX('Valo FX'!$R:$R,MATCH($A17,'Valo FX'!$A:$A,0)),INDEX(Base!$V:$V,MATCH($A17,Base!$A:$A,0)),0)))</f>
        <v>13.09985</v>
      </c>
      <c r="KH17" s="21">
        <f>IF(KH$1&lt;INDEX('Valo FX'!$Q:$Q,MATCH($A17,'Valo FX'!$A:$A,0)),0,IF(KH$1&lt;INDEX('Valo FX'!$R:$R,MATCH($A17,'Valo FX'!$A:$A,0)),INDEX(Base!$U:$U,MATCH($A17,Base!$A:$A,0)),IF(KH$1=INDEX('Valo FX'!$R:$R,MATCH($A17,'Valo FX'!$A:$A,0)),INDEX(Base!$V:$V,MATCH($A17,Base!$A:$A,0)),0)))</f>
        <v>13.09985</v>
      </c>
      <c r="KI17" s="21">
        <f>IF(KI$1&lt;INDEX('Valo FX'!$Q:$Q,MATCH($A17,'Valo FX'!$A:$A,0)),0,IF(KI$1&lt;INDEX('Valo FX'!$R:$R,MATCH($A17,'Valo FX'!$A:$A,0)),INDEX(Base!$U:$U,MATCH($A17,Base!$A:$A,0)),IF(KI$1=INDEX('Valo FX'!$R:$R,MATCH($A17,'Valo FX'!$A:$A,0)),INDEX(Base!$V:$V,MATCH($A17,Base!$A:$A,0)),0)))</f>
        <v>13.09985</v>
      </c>
      <c r="KJ17" s="21">
        <f>IF(KJ$1&lt;INDEX('Valo FX'!$Q:$Q,MATCH($A17,'Valo FX'!$A:$A,0)),0,IF(KJ$1&lt;INDEX('Valo FX'!$R:$R,MATCH($A17,'Valo FX'!$A:$A,0)),INDEX(Base!$U:$U,MATCH($A17,Base!$A:$A,0)),IF(KJ$1=INDEX('Valo FX'!$R:$R,MATCH($A17,'Valo FX'!$A:$A,0)),INDEX(Base!$V:$V,MATCH($A17,Base!$A:$A,0)),0)))</f>
        <v>13.09985</v>
      </c>
      <c r="KK17" s="21">
        <f>IF(KK$1&lt;INDEX('Valo FX'!$Q:$Q,MATCH($A17,'Valo FX'!$A:$A,0)),0,IF(KK$1&lt;INDEX('Valo FX'!$R:$R,MATCH($A17,'Valo FX'!$A:$A,0)),INDEX(Base!$U:$U,MATCH($A17,Base!$A:$A,0)),IF(KK$1=INDEX('Valo FX'!$R:$R,MATCH($A17,'Valo FX'!$A:$A,0)),INDEX(Base!$V:$V,MATCH($A17,Base!$A:$A,0)),0)))</f>
        <v>13.09985</v>
      </c>
      <c r="KL17" s="21">
        <f>IF(KL$1&lt;INDEX('Valo FX'!$Q:$Q,MATCH($A17,'Valo FX'!$A:$A,0)),0,IF(KL$1&lt;INDEX('Valo FX'!$R:$R,MATCH($A17,'Valo FX'!$A:$A,0)),INDEX(Base!$U:$U,MATCH($A17,Base!$A:$A,0)),IF(KL$1=INDEX('Valo FX'!$R:$R,MATCH($A17,'Valo FX'!$A:$A,0)),INDEX(Base!$V:$V,MATCH($A17,Base!$A:$A,0)),0)))</f>
        <v>13.09985</v>
      </c>
      <c r="KM17" s="21">
        <f>IF(KM$1&lt;INDEX('Valo FX'!$Q:$Q,MATCH($A17,'Valo FX'!$A:$A,0)),0,IF(KM$1&lt;INDEX('Valo FX'!$R:$R,MATCH($A17,'Valo FX'!$A:$A,0)),INDEX(Base!$U:$U,MATCH($A17,Base!$A:$A,0)),IF(KM$1=INDEX('Valo FX'!$R:$R,MATCH($A17,'Valo FX'!$A:$A,0)),INDEX(Base!$V:$V,MATCH($A17,Base!$A:$A,0)),0)))</f>
        <v>13.09985</v>
      </c>
      <c r="KN17" s="21">
        <f>IF(KN$1&lt;INDEX('Valo FX'!$Q:$Q,MATCH($A17,'Valo FX'!$A:$A,0)),0,IF(KN$1&lt;INDEX('Valo FX'!$R:$R,MATCH($A17,'Valo FX'!$A:$A,0)),INDEX(Base!$U:$U,MATCH($A17,Base!$A:$A,0)),IF(KN$1=INDEX('Valo FX'!$R:$R,MATCH($A17,'Valo FX'!$A:$A,0)),INDEX(Base!$V:$V,MATCH($A17,Base!$A:$A,0)),0)))</f>
        <v>13.09985</v>
      </c>
      <c r="KO17" s="21">
        <f>IF(KO$1&lt;INDEX('Valo FX'!$Q:$Q,MATCH($A17,'Valo FX'!$A:$A,0)),0,IF(KO$1&lt;INDEX('Valo FX'!$R:$R,MATCH($A17,'Valo FX'!$A:$A,0)),INDEX(Base!$U:$U,MATCH($A17,Base!$A:$A,0)),IF(KO$1=INDEX('Valo FX'!$R:$R,MATCH($A17,'Valo FX'!$A:$A,0)),INDEX(Base!$V:$V,MATCH($A17,Base!$A:$A,0)),0)))</f>
        <v>13.09985</v>
      </c>
      <c r="KP17" s="21">
        <f>IF(KP$1&lt;INDEX('Valo FX'!$Q:$Q,MATCH($A17,'Valo FX'!$A:$A,0)),0,IF(KP$1&lt;INDEX('Valo FX'!$R:$R,MATCH($A17,'Valo FX'!$A:$A,0)),INDEX(Base!$U:$U,MATCH($A17,Base!$A:$A,0)),IF(KP$1=INDEX('Valo FX'!$R:$R,MATCH($A17,'Valo FX'!$A:$A,0)),INDEX(Base!$V:$V,MATCH($A17,Base!$A:$A,0)),0)))</f>
        <v>13.09985</v>
      </c>
      <c r="KQ17" s="21">
        <f>IF(KQ$1&lt;INDEX('Valo FX'!$Q:$Q,MATCH($A17,'Valo FX'!$A:$A,0)),0,IF(KQ$1&lt;INDEX('Valo FX'!$R:$R,MATCH($A17,'Valo FX'!$A:$A,0)),INDEX(Base!$U:$U,MATCH($A17,Base!$A:$A,0)),IF(KQ$1=INDEX('Valo FX'!$R:$R,MATCH($A17,'Valo FX'!$A:$A,0)),INDEX(Base!$V:$V,MATCH($A17,Base!$A:$A,0)),0)))</f>
        <v>13.09985</v>
      </c>
      <c r="KR17" s="21">
        <f>IF(KR$1&lt;INDEX('Valo FX'!$Q:$Q,MATCH($A17,'Valo FX'!$A:$A,0)),0,IF(KR$1&lt;INDEX('Valo FX'!$R:$R,MATCH($A17,'Valo FX'!$A:$A,0)),INDEX(Base!$U:$U,MATCH($A17,Base!$A:$A,0)),IF(KR$1=INDEX('Valo FX'!$R:$R,MATCH($A17,'Valo FX'!$A:$A,0)),INDEX(Base!$V:$V,MATCH($A17,Base!$A:$A,0)),0)))</f>
        <v>13.09985</v>
      </c>
      <c r="KS17" s="21">
        <f>IF(KS$1&lt;INDEX('Valo FX'!$Q:$Q,MATCH($A17,'Valo FX'!$A:$A,0)),0,IF(KS$1&lt;INDEX('Valo FX'!$R:$R,MATCH($A17,'Valo FX'!$A:$A,0)),INDEX(Base!$U:$U,MATCH($A17,Base!$A:$A,0)),IF(KS$1=INDEX('Valo FX'!$R:$R,MATCH($A17,'Valo FX'!$A:$A,0)),INDEX(Base!$V:$V,MATCH($A17,Base!$A:$A,0)),0)))</f>
        <v>13.09985</v>
      </c>
      <c r="KT17" s="21">
        <f>IF(KT$1&lt;INDEX('Valo FX'!$Q:$Q,MATCH($A17,'Valo FX'!$A:$A,0)),0,IF(KT$1&lt;INDEX('Valo FX'!$R:$R,MATCH($A17,'Valo FX'!$A:$A,0)),INDEX(Base!$U:$U,MATCH($A17,Base!$A:$A,0)),IF(KT$1=INDEX('Valo FX'!$R:$R,MATCH($A17,'Valo FX'!$A:$A,0)),INDEX(Base!$V:$V,MATCH($A17,Base!$A:$A,0)),0)))</f>
        <v>13.09985</v>
      </c>
      <c r="KU17" s="21">
        <f>IF(KU$1&lt;INDEX('Valo FX'!$Q:$Q,MATCH($A17,'Valo FX'!$A:$A,0)),0,IF(KU$1&lt;INDEX('Valo FX'!$R:$R,MATCH($A17,'Valo FX'!$A:$A,0)),INDEX(Base!$U:$U,MATCH($A17,Base!$A:$A,0)),IF(KU$1=INDEX('Valo FX'!$R:$R,MATCH($A17,'Valo FX'!$A:$A,0)),INDEX(Base!$V:$V,MATCH($A17,Base!$A:$A,0)),0)))</f>
        <v>13.09985</v>
      </c>
      <c r="KV17" s="21">
        <f>IF(KV$1&lt;INDEX('Valo FX'!$Q:$Q,MATCH($A17,'Valo FX'!$A:$A,0)),0,IF(KV$1&lt;INDEX('Valo FX'!$R:$R,MATCH($A17,'Valo FX'!$A:$A,0)),INDEX(Base!$U:$U,MATCH($A17,Base!$A:$A,0)),IF(KV$1=INDEX('Valo FX'!$R:$R,MATCH($A17,'Valo FX'!$A:$A,0)),INDEX(Base!$V:$V,MATCH($A17,Base!$A:$A,0)),0)))</f>
        <v>13.09985</v>
      </c>
      <c r="KW17" s="21">
        <f>IF(KW$1&lt;INDEX('Valo FX'!$Q:$Q,MATCH($A17,'Valo FX'!$A:$A,0)),0,IF(KW$1&lt;INDEX('Valo FX'!$R:$R,MATCH($A17,'Valo FX'!$A:$A,0)),INDEX(Base!$U:$U,MATCH($A17,Base!$A:$A,0)),IF(KW$1=INDEX('Valo FX'!$R:$R,MATCH($A17,'Valo FX'!$A:$A,0)),INDEX(Base!$V:$V,MATCH($A17,Base!$A:$A,0)),0)))</f>
        <v>13.09985</v>
      </c>
      <c r="KX17" s="21">
        <f>IF(KX$1&lt;INDEX('Valo FX'!$Q:$Q,MATCH($A17,'Valo FX'!$A:$A,0)),0,IF(KX$1&lt;INDEX('Valo FX'!$R:$R,MATCH($A17,'Valo FX'!$A:$A,0)),INDEX(Base!$U:$U,MATCH($A17,Base!$A:$A,0)),IF(KX$1=INDEX('Valo FX'!$R:$R,MATCH($A17,'Valo FX'!$A:$A,0)),INDEX(Base!$V:$V,MATCH($A17,Base!$A:$A,0)),0)))</f>
        <v>13.09985</v>
      </c>
      <c r="KY17" s="21">
        <f>IF(KY$1&lt;INDEX('Valo FX'!$Q:$Q,MATCH($A17,'Valo FX'!$A:$A,0)),0,IF(KY$1&lt;INDEX('Valo FX'!$R:$R,MATCH($A17,'Valo FX'!$A:$A,0)),INDEX(Base!$U:$U,MATCH($A17,Base!$A:$A,0)),IF(KY$1=INDEX('Valo FX'!$R:$R,MATCH($A17,'Valo FX'!$A:$A,0)),INDEX(Base!$V:$V,MATCH($A17,Base!$A:$A,0)),0)))</f>
        <v>13.09985</v>
      </c>
      <c r="KZ17" s="21">
        <f>IF(KZ$1&lt;INDEX('Valo FX'!$Q:$Q,MATCH($A17,'Valo FX'!$A:$A,0)),0,IF(KZ$1&lt;INDEX('Valo FX'!$R:$R,MATCH($A17,'Valo FX'!$A:$A,0)),INDEX(Base!$U:$U,MATCH($A17,Base!$A:$A,0)),IF(KZ$1=INDEX('Valo FX'!$R:$R,MATCH($A17,'Valo FX'!$A:$A,0)),INDEX(Base!$V:$V,MATCH($A17,Base!$A:$A,0)),0)))</f>
        <v>13.09985</v>
      </c>
      <c r="LA17" s="21">
        <f>IF(LA$1&lt;INDEX('Valo FX'!$Q:$Q,MATCH($A17,'Valo FX'!$A:$A,0)),0,IF(LA$1&lt;INDEX('Valo FX'!$R:$R,MATCH($A17,'Valo FX'!$A:$A,0)),INDEX(Base!$U:$U,MATCH($A17,Base!$A:$A,0)),IF(LA$1=INDEX('Valo FX'!$R:$R,MATCH($A17,'Valo FX'!$A:$A,0)),INDEX(Base!$V:$V,MATCH($A17,Base!$A:$A,0)),0)))</f>
        <v>13.09985</v>
      </c>
      <c r="LB17" s="21">
        <f>IF(LB$1&lt;INDEX('Valo FX'!$Q:$Q,MATCH($A17,'Valo FX'!$A:$A,0)),0,IF(LB$1&lt;INDEX('Valo FX'!$R:$R,MATCH($A17,'Valo FX'!$A:$A,0)),INDEX(Base!$U:$U,MATCH($A17,Base!$A:$A,0)),IF(LB$1=INDEX('Valo FX'!$R:$R,MATCH($A17,'Valo FX'!$A:$A,0)),INDEX(Base!$V:$V,MATCH($A17,Base!$A:$A,0)),0)))</f>
        <v>13.09985</v>
      </c>
      <c r="LC17" s="21">
        <f>IF(LC$1&lt;INDEX('Valo FX'!$Q:$Q,MATCH($A17,'Valo FX'!$A:$A,0)),0,IF(LC$1&lt;INDEX('Valo FX'!$R:$R,MATCH($A17,'Valo FX'!$A:$A,0)),INDEX(Base!$U:$U,MATCH($A17,Base!$A:$A,0)),IF(LC$1=INDEX('Valo FX'!$R:$R,MATCH($A17,'Valo FX'!$A:$A,0)),INDEX(Base!$V:$V,MATCH($A17,Base!$A:$A,0)),0)))</f>
        <v>13.09985</v>
      </c>
      <c r="LD17" s="21">
        <f>IF(LD$1&lt;INDEX('Valo FX'!$Q:$Q,MATCH($A17,'Valo FX'!$A:$A,0)),0,IF(LD$1&lt;INDEX('Valo FX'!$R:$R,MATCH($A17,'Valo FX'!$A:$A,0)),INDEX(Base!$U:$U,MATCH($A17,Base!$A:$A,0)),IF(LD$1=INDEX('Valo FX'!$R:$R,MATCH($A17,'Valo FX'!$A:$A,0)),INDEX(Base!$V:$V,MATCH($A17,Base!$A:$A,0)),0)))</f>
        <v>13.09985</v>
      </c>
      <c r="LE17" s="21">
        <f>IF(LE$1&lt;INDEX('Valo FX'!$Q:$Q,MATCH($A17,'Valo FX'!$A:$A,0)),0,IF(LE$1&lt;INDEX('Valo FX'!$R:$R,MATCH($A17,'Valo FX'!$A:$A,0)),INDEX(Base!$U:$U,MATCH($A17,Base!$A:$A,0)),IF(LE$1=INDEX('Valo FX'!$R:$R,MATCH($A17,'Valo FX'!$A:$A,0)),INDEX(Base!$V:$V,MATCH($A17,Base!$A:$A,0)),0)))</f>
        <v>13.09985</v>
      </c>
      <c r="LF17" s="21">
        <f>IF(LF$1&lt;INDEX('Valo FX'!$Q:$Q,MATCH($A17,'Valo FX'!$A:$A,0)),0,IF(LF$1&lt;INDEX('Valo FX'!$R:$R,MATCH($A17,'Valo FX'!$A:$A,0)),INDEX(Base!$U:$U,MATCH($A17,Base!$A:$A,0)),IF(LF$1=INDEX('Valo FX'!$R:$R,MATCH($A17,'Valo FX'!$A:$A,0)),INDEX(Base!$V:$V,MATCH($A17,Base!$A:$A,0)),0)))</f>
        <v>13.09985</v>
      </c>
      <c r="LG17" s="21">
        <f>IF(LG$1&lt;INDEX('Valo FX'!$Q:$Q,MATCH($A17,'Valo FX'!$A:$A,0)),0,IF(LG$1&lt;INDEX('Valo FX'!$R:$R,MATCH($A17,'Valo FX'!$A:$A,0)),INDEX(Base!$U:$U,MATCH($A17,Base!$A:$A,0)),IF(LG$1=INDEX('Valo FX'!$R:$R,MATCH($A17,'Valo FX'!$A:$A,0)),INDEX(Base!$V:$V,MATCH($A17,Base!$A:$A,0)),0)))</f>
        <v>13.09985</v>
      </c>
      <c r="LH17" s="21">
        <f>IF(LH$1&lt;INDEX('Valo FX'!$Q:$Q,MATCH($A17,'Valo FX'!$A:$A,0)),0,IF(LH$1&lt;INDEX('Valo FX'!$R:$R,MATCH($A17,'Valo FX'!$A:$A,0)),INDEX(Base!$U:$U,MATCH($A17,Base!$A:$A,0)),IF(LH$1=INDEX('Valo FX'!$R:$R,MATCH($A17,'Valo FX'!$A:$A,0)),INDEX(Base!$V:$V,MATCH($A17,Base!$A:$A,0)),0)))</f>
        <v>13.09985</v>
      </c>
      <c r="LI17" s="21">
        <f>IF(LI$1&lt;INDEX('Valo FX'!$Q:$Q,MATCH($A17,'Valo FX'!$A:$A,0)),0,IF(LI$1&lt;INDEX('Valo FX'!$R:$R,MATCH($A17,'Valo FX'!$A:$A,0)),INDEX(Base!$U:$U,MATCH($A17,Base!$A:$A,0)),IF(LI$1=INDEX('Valo FX'!$R:$R,MATCH($A17,'Valo FX'!$A:$A,0)),INDEX(Base!$V:$V,MATCH($A17,Base!$A:$A,0)),0)))</f>
        <v>13.09985</v>
      </c>
      <c r="LJ17" s="21">
        <f>IF(LJ$1&lt;INDEX('Valo FX'!$Q:$Q,MATCH($A17,'Valo FX'!$A:$A,0)),0,IF(LJ$1&lt;INDEX('Valo FX'!$R:$R,MATCH($A17,'Valo FX'!$A:$A,0)),INDEX(Base!$U:$U,MATCH($A17,Base!$A:$A,0)),IF(LJ$1=INDEX('Valo FX'!$R:$R,MATCH($A17,'Valo FX'!$A:$A,0)),INDEX(Base!$V:$V,MATCH($A17,Base!$A:$A,0)),0)))</f>
        <v>13.09985</v>
      </c>
      <c r="LK17" s="21">
        <f>IF(LK$1&lt;INDEX('Valo FX'!$Q:$Q,MATCH($A17,'Valo FX'!$A:$A,0)),0,IF(LK$1&lt;INDEX('Valo FX'!$R:$R,MATCH($A17,'Valo FX'!$A:$A,0)),INDEX(Base!$U:$U,MATCH($A17,Base!$A:$A,0)),IF(LK$1=INDEX('Valo FX'!$R:$R,MATCH($A17,'Valo FX'!$A:$A,0)),INDEX(Base!$V:$V,MATCH($A17,Base!$A:$A,0)),0)))</f>
        <v>13.09985</v>
      </c>
      <c r="LL17" s="21">
        <f>IF(LL$1&lt;INDEX('Valo FX'!$Q:$Q,MATCH($A17,'Valo FX'!$A:$A,0)),0,IF(LL$1&lt;INDEX('Valo FX'!$R:$R,MATCH($A17,'Valo FX'!$A:$A,0)),INDEX(Base!$U:$U,MATCH($A17,Base!$A:$A,0)),IF(LL$1=INDEX('Valo FX'!$R:$R,MATCH($A17,'Valo FX'!$A:$A,0)),INDEX(Base!$V:$V,MATCH($A17,Base!$A:$A,0)),0)))</f>
        <v>13.09985</v>
      </c>
      <c r="LM17" s="21">
        <f>IF(LM$1&lt;INDEX('Valo FX'!$Q:$Q,MATCH($A17,'Valo FX'!$A:$A,0)),0,IF(LM$1&lt;INDEX('Valo FX'!$R:$R,MATCH($A17,'Valo FX'!$A:$A,0)),INDEX(Base!$U:$U,MATCH($A17,Base!$A:$A,0)),IF(LM$1=INDEX('Valo FX'!$R:$R,MATCH($A17,'Valo FX'!$A:$A,0)),INDEX(Base!$V:$V,MATCH($A17,Base!$A:$A,0)),0)))</f>
        <v>13.09985</v>
      </c>
      <c r="LN17" s="21">
        <f>IF(LN$1&lt;INDEX('Valo FX'!$Q:$Q,MATCH($A17,'Valo FX'!$A:$A,0)),0,IF(LN$1&lt;INDEX('Valo FX'!$R:$R,MATCH($A17,'Valo FX'!$A:$A,0)),INDEX(Base!$U:$U,MATCH($A17,Base!$A:$A,0)),IF(LN$1=INDEX('Valo FX'!$R:$R,MATCH($A17,'Valo FX'!$A:$A,0)),INDEX(Base!$V:$V,MATCH($A17,Base!$A:$A,0)),0)))</f>
        <v>13.09985</v>
      </c>
      <c r="LO17" s="21">
        <f>IF(LO$1&lt;INDEX('Valo FX'!$Q:$Q,MATCH($A17,'Valo FX'!$A:$A,0)),0,IF(LO$1&lt;INDEX('Valo FX'!$R:$R,MATCH($A17,'Valo FX'!$A:$A,0)),INDEX(Base!$U:$U,MATCH($A17,Base!$A:$A,0)),IF(LO$1=INDEX('Valo FX'!$R:$R,MATCH($A17,'Valo FX'!$A:$A,0)),INDEX(Base!$V:$V,MATCH($A17,Base!$A:$A,0)),0)))</f>
        <v>13.09985</v>
      </c>
      <c r="LP17" s="21">
        <f>IF(LP$1&lt;INDEX('Valo FX'!$Q:$Q,MATCH($A17,'Valo FX'!$A:$A,0)),0,IF(LP$1&lt;INDEX('Valo FX'!$R:$R,MATCH($A17,'Valo FX'!$A:$A,0)),INDEX(Base!$U:$U,MATCH($A17,Base!$A:$A,0)),IF(LP$1=INDEX('Valo FX'!$R:$R,MATCH($A17,'Valo FX'!$A:$A,0)),INDEX(Base!$V:$V,MATCH($A17,Base!$A:$A,0)),0)))</f>
        <v>13.09985</v>
      </c>
      <c r="LQ17" s="21">
        <f>IF(LQ$1&lt;INDEX('Valo FX'!$Q:$Q,MATCH($A17,'Valo FX'!$A:$A,0)),0,IF(LQ$1&lt;INDEX('Valo FX'!$R:$R,MATCH($A17,'Valo FX'!$A:$A,0)),INDEX(Base!$U:$U,MATCH($A17,Base!$A:$A,0)),IF(LQ$1=INDEX('Valo FX'!$R:$R,MATCH($A17,'Valo FX'!$A:$A,0)),INDEX(Base!$V:$V,MATCH($A17,Base!$A:$A,0)),0)))</f>
        <v>13.09985</v>
      </c>
      <c r="LR17" s="21">
        <f>IF(LR$1&lt;INDEX('Valo FX'!$Q:$Q,MATCH($A17,'Valo FX'!$A:$A,0)),0,IF(LR$1&lt;INDEX('Valo FX'!$R:$R,MATCH($A17,'Valo FX'!$A:$A,0)),INDEX(Base!$U:$U,MATCH($A17,Base!$A:$A,0)),IF(LR$1=INDEX('Valo FX'!$R:$R,MATCH($A17,'Valo FX'!$A:$A,0)),INDEX(Base!$V:$V,MATCH($A17,Base!$A:$A,0)),0)))</f>
        <v>13.09985</v>
      </c>
      <c r="LS17" s="21">
        <f>IF(LS$1&lt;INDEX('Valo FX'!$Q:$Q,MATCH($A17,'Valo FX'!$A:$A,0)),0,IF(LS$1&lt;INDEX('Valo FX'!$R:$R,MATCH($A17,'Valo FX'!$A:$A,0)),INDEX(Base!$U:$U,MATCH($A17,Base!$A:$A,0)),IF(LS$1=INDEX('Valo FX'!$R:$R,MATCH($A17,'Valo FX'!$A:$A,0)),INDEX(Base!$V:$V,MATCH($A17,Base!$A:$A,0)),0)))</f>
        <v>13.09985</v>
      </c>
      <c r="LT17" s="21">
        <f>IF(LT$1&lt;INDEX('Valo FX'!$Q:$Q,MATCH($A17,'Valo FX'!$A:$A,0)),0,IF(LT$1&lt;INDEX('Valo FX'!$R:$R,MATCH($A17,'Valo FX'!$A:$A,0)),INDEX(Base!$U:$U,MATCH($A17,Base!$A:$A,0)),IF(LT$1=INDEX('Valo FX'!$R:$R,MATCH($A17,'Valo FX'!$A:$A,0)),INDEX(Base!$V:$V,MATCH($A17,Base!$A:$A,0)),0)))</f>
        <v>13.09985</v>
      </c>
      <c r="LU17" s="21">
        <f>IF(LU$1&lt;INDEX('Valo FX'!$Q:$Q,MATCH($A17,'Valo FX'!$A:$A,0)),0,IF(LU$1&lt;INDEX('Valo FX'!$R:$R,MATCH($A17,'Valo FX'!$A:$A,0)),INDEX(Base!$U:$U,MATCH($A17,Base!$A:$A,0)),IF(LU$1=INDEX('Valo FX'!$R:$R,MATCH($A17,'Valo FX'!$A:$A,0)),INDEX(Base!$V:$V,MATCH($A17,Base!$A:$A,0)),0)))</f>
        <v>13.09985</v>
      </c>
      <c r="LV17" s="21">
        <f>IF(LV$1&lt;INDEX('Valo FX'!$Q:$Q,MATCH($A17,'Valo FX'!$A:$A,0)),0,IF(LV$1&lt;INDEX('Valo FX'!$R:$R,MATCH($A17,'Valo FX'!$A:$A,0)),INDEX(Base!$U:$U,MATCH($A17,Base!$A:$A,0)),IF(LV$1=INDEX('Valo FX'!$R:$R,MATCH($A17,'Valo FX'!$A:$A,0)),INDEX(Base!$V:$V,MATCH($A17,Base!$A:$A,0)),0)))</f>
        <v>13.09985</v>
      </c>
      <c r="LW17" s="21">
        <f>IF(LW$1&lt;INDEX('Valo FX'!$Q:$Q,MATCH($A17,'Valo FX'!$A:$A,0)),0,IF(LW$1&lt;INDEX('Valo FX'!$R:$R,MATCH($A17,'Valo FX'!$A:$A,0)),INDEX(Base!$U:$U,MATCH($A17,Base!$A:$A,0)),IF(LW$1=INDEX('Valo FX'!$R:$R,MATCH($A17,'Valo FX'!$A:$A,0)),INDEX(Base!$V:$V,MATCH($A17,Base!$A:$A,0)),0)))</f>
        <v>13.09985</v>
      </c>
      <c r="LX17" s="21">
        <f>IF(LX$1&lt;INDEX('Valo FX'!$Q:$Q,MATCH($A17,'Valo FX'!$A:$A,0)),0,IF(LX$1&lt;INDEX('Valo FX'!$R:$R,MATCH($A17,'Valo FX'!$A:$A,0)),INDEX(Base!$U:$U,MATCH($A17,Base!$A:$A,0)),IF(LX$1=INDEX('Valo FX'!$R:$R,MATCH($A17,'Valo FX'!$A:$A,0)),INDEX(Base!$V:$V,MATCH($A17,Base!$A:$A,0)),0)))</f>
        <v>13.09985</v>
      </c>
      <c r="LY17" s="21">
        <f>IF(LY$1&lt;INDEX('Valo FX'!$Q:$Q,MATCH($A17,'Valo FX'!$A:$A,0)),0,IF(LY$1&lt;INDEX('Valo FX'!$R:$R,MATCH($A17,'Valo FX'!$A:$A,0)),INDEX(Base!$U:$U,MATCH($A17,Base!$A:$A,0)),IF(LY$1=INDEX('Valo FX'!$R:$R,MATCH($A17,'Valo FX'!$A:$A,0)),INDEX(Base!$V:$V,MATCH($A17,Base!$A:$A,0)),0)))</f>
        <v>13.09985</v>
      </c>
      <c r="LZ17" s="21">
        <f>IF(LZ$1&lt;INDEX('Valo FX'!$Q:$Q,MATCH($A17,'Valo FX'!$A:$A,0)),0,IF(LZ$1&lt;INDEX('Valo FX'!$R:$R,MATCH($A17,'Valo FX'!$A:$A,0)),INDEX(Base!$U:$U,MATCH($A17,Base!$A:$A,0)),IF(LZ$1=INDEX('Valo FX'!$R:$R,MATCH($A17,'Valo FX'!$A:$A,0)),INDEX(Base!$V:$V,MATCH($A17,Base!$A:$A,0)),0)))</f>
        <v>13.09985</v>
      </c>
      <c r="MA17" s="21">
        <f>IF(MA$1&lt;INDEX('Valo FX'!$Q:$Q,MATCH($A17,'Valo FX'!$A:$A,0)),0,IF(MA$1&lt;INDEX('Valo FX'!$R:$R,MATCH($A17,'Valo FX'!$A:$A,0)),INDEX(Base!$U:$U,MATCH($A17,Base!$A:$A,0)),IF(MA$1=INDEX('Valo FX'!$R:$R,MATCH($A17,'Valo FX'!$A:$A,0)),INDEX(Base!$V:$V,MATCH($A17,Base!$A:$A,0)),0)))</f>
        <v>13.09985</v>
      </c>
      <c r="MB17" s="21">
        <f>IF(MB$1&lt;INDEX('Valo FX'!$Q:$Q,MATCH($A17,'Valo FX'!$A:$A,0)),0,IF(MB$1&lt;INDEX('Valo FX'!$R:$R,MATCH($A17,'Valo FX'!$A:$A,0)),INDEX(Base!$U:$U,MATCH($A17,Base!$A:$A,0)),IF(MB$1=INDEX('Valo FX'!$R:$R,MATCH($A17,'Valo FX'!$A:$A,0)),INDEX(Base!$V:$V,MATCH($A17,Base!$A:$A,0)),0)))</f>
        <v>13.09985</v>
      </c>
      <c r="MC17" s="21">
        <f>IF(MC$1&lt;INDEX('Valo FX'!$Q:$Q,MATCH($A17,'Valo FX'!$A:$A,0)),0,IF(MC$1&lt;INDEX('Valo FX'!$R:$R,MATCH($A17,'Valo FX'!$A:$A,0)),INDEX(Base!$U:$U,MATCH($A17,Base!$A:$A,0)),IF(MC$1=INDEX('Valo FX'!$R:$R,MATCH($A17,'Valo FX'!$A:$A,0)),INDEX(Base!$V:$V,MATCH($A17,Base!$A:$A,0)),0)))</f>
        <v>13.09985</v>
      </c>
      <c r="MD17" s="21">
        <f>IF(MD$1&lt;INDEX('Valo FX'!$Q:$Q,MATCH($A17,'Valo FX'!$A:$A,0)),0,IF(MD$1&lt;INDEX('Valo FX'!$R:$R,MATCH($A17,'Valo FX'!$A:$A,0)),INDEX(Base!$U:$U,MATCH($A17,Base!$A:$A,0)),IF(MD$1=INDEX('Valo FX'!$R:$R,MATCH($A17,'Valo FX'!$A:$A,0)),INDEX(Base!$V:$V,MATCH($A17,Base!$A:$A,0)),0)))</f>
        <v>13.09985</v>
      </c>
      <c r="ME17" s="21">
        <f>IF(ME$1&lt;INDEX('Valo FX'!$Q:$Q,MATCH($A17,'Valo FX'!$A:$A,0)),0,IF(ME$1&lt;INDEX('Valo FX'!$R:$R,MATCH($A17,'Valo FX'!$A:$A,0)),INDEX(Base!$U:$U,MATCH($A17,Base!$A:$A,0)),IF(ME$1=INDEX('Valo FX'!$R:$R,MATCH($A17,'Valo FX'!$A:$A,0)),INDEX(Base!$V:$V,MATCH($A17,Base!$A:$A,0)),0)))</f>
        <v>13.09985</v>
      </c>
      <c r="MF17" s="21">
        <f>IF(MF$1&lt;INDEX('Valo FX'!$Q:$Q,MATCH($A17,'Valo FX'!$A:$A,0)),0,IF(MF$1&lt;INDEX('Valo FX'!$R:$R,MATCH($A17,'Valo FX'!$A:$A,0)),INDEX(Base!$U:$U,MATCH($A17,Base!$A:$A,0)),IF(MF$1=INDEX('Valo FX'!$R:$R,MATCH($A17,'Valo FX'!$A:$A,0)),INDEX(Base!$V:$V,MATCH($A17,Base!$A:$A,0)),0)))</f>
        <v>13.09985</v>
      </c>
      <c r="MG17" s="21">
        <f>IF(MG$1&lt;INDEX('Valo FX'!$Q:$Q,MATCH($A17,'Valo FX'!$A:$A,0)),0,IF(MG$1&lt;INDEX('Valo FX'!$R:$R,MATCH($A17,'Valo FX'!$A:$A,0)),INDEX(Base!$U:$U,MATCH($A17,Base!$A:$A,0)),IF(MG$1=INDEX('Valo FX'!$R:$R,MATCH($A17,'Valo FX'!$A:$A,0)),INDEX(Base!$V:$V,MATCH($A17,Base!$A:$A,0)),0)))</f>
        <v>13.09985</v>
      </c>
      <c r="MH17" s="21">
        <f>IF(MH$1&lt;INDEX('Valo FX'!$Q:$Q,MATCH($A17,'Valo FX'!$A:$A,0)),0,IF(MH$1&lt;INDEX('Valo FX'!$R:$R,MATCH($A17,'Valo FX'!$A:$A,0)),INDEX(Base!$U:$U,MATCH($A17,Base!$A:$A,0)),IF(MH$1=INDEX('Valo FX'!$R:$R,MATCH($A17,'Valo FX'!$A:$A,0)),INDEX(Base!$V:$V,MATCH($A17,Base!$A:$A,0)),0)))</f>
        <v>13.09985</v>
      </c>
      <c r="MI17" s="21">
        <f>IF(MI$1&lt;INDEX('Valo FX'!$Q:$Q,MATCH($A17,'Valo FX'!$A:$A,0)),0,IF(MI$1&lt;INDEX('Valo FX'!$R:$R,MATCH($A17,'Valo FX'!$A:$A,0)),INDEX(Base!$U:$U,MATCH($A17,Base!$A:$A,0)),IF(MI$1=INDEX('Valo FX'!$R:$R,MATCH($A17,'Valo FX'!$A:$A,0)),INDEX(Base!$V:$V,MATCH($A17,Base!$A:$A,0)),0)))</f>
        <v>13.09985</v>
      </c>
      <c r="MJ17" s="21">
        <f>IF(MJ$1&lt;INDEX('Valo FX'!$Q:$Q,MATCH($A17,'Valo FX'!$A:$A,0)),0,IF(MJ$1&lt;INDEX('Valo FX'!$R:$R,MATCH($A17,'Valo FX'!$A:$A,0)),INDEX(Base!$U:$U,MATCH($A17,Base!$A:$A,0)),IF(MJ$1=INDEX('Valo FX'!$R:$R,MATCH($A17,'Valo FX'!$A:$A,0)),INDEX(Base!$V:$V,MATCH($A17,Base!$A:$A,0)),0)))</f>
        <v>13.09985</v>
      </c>
      <c r="MK17" s="21">
        <f>IF(MK$1&lt;INDEX('Valo FX'!$Q:$Q,MATCH($A17,'Valo FX'!$A:$A,0)),0,IF(MK$1&lt;INDEX('Valo FX'!$R:$R,MATCH($A17,'Valo FX'!$A:$A,0)),INDEX(Base!$U:$U,MATCH($A17,Base!$A:$A,0)),IF(MK$1=INDEX('Valo FX'!$R:$R,MATCH($A17,'Valo FX'!$A:$A,0)),INDEX(Base!$V:$V,MATCH($A17,Base!$A:$A,0)),0)))</f>
        <v>13.09985</v>
      </c>
      <c r="ML17" s="21">
        <f>IF(ML$1&lt;INDEX('Valo FX'!$Q:$Q,MATCH($A17,'Valo FX'!$A:$A,0)),0,IF(ML$1&lt;INDEX('Valo FX'!$R:$R,MATCH($A17,'Valo FX'!$A:$A,0)),INDEX(Base!$U:$U,MATCH($A17,Base!$A:$A,0)),IF(ML$1=INDEX('Valo FX'!$R:$R,MATCH($A17,'Valo FX'!$A:$A,0)),INDEX(Base!$V:$V,MATCH($A17,Base!$A:$A,0)),0)))</f>
        <v>13.09985</v>
      </c>
      <c r="MM17" s="21">
        <f>IF(MM$1&lt;INDEX('Valo FX'!$Q:$Q,MATCH($A17,'Valo FX'!$A:$A,0)),0,IF(MM$1&lt;INDEX('Valo FX'!$R:$R,MATCH($A17,'Valo FX'!$A:$A,0)),INDEX(Base!$U:$U,MATCH($A17,Base!$A:$A,0)),IF(MM$1=INDEX('Valo FX'!$R:$R,MATCH($A17,'Valo FX'!$A:$A,0)),INDEX(Base!$V:$V,MATCH($A17,Base!$A:$A,0)),0)))</f>
        <v>13.09985</v>
      </c>
      <c r="MN17" s="21">
        <f>IF(MN$1&lt;INDEX('Valo FX'!$Q:$Q,MATCH($A17,'Valo FX'!$A:$A,0)),0,IF(MN$1&lt;INDEX('Valo FX'!$R:$R,MATCH($A17,'Valo FX'!$A:$A,0)),INDEX(Base!$U:$U,MATCH($A17,Base!$A:$A,0)),IF(MN$1=INDEX('Valo FX'!$R:$R,MATCH($A17,'Valo FX'!$A:$A,0)),INDEX(Base!$V:$V,MATCH($A17,Base!$A:$A,0)),0)))</f>
        <v>13.09985</v>
      </c>
      <c r="MO17" s="21">
        <f>IF(MO$1&lt;INDEX('Valo FX'!$Q:$Q,MATCH($A17,'Valo FX'!$A:$A,0)),0,IF(MO$1&lt;INDEX('Valo FX'!$R:$R,MATCH($A17,'Valo FX'!$A:$A,0)),INDEX(Base!$U:$U,MATCH($A17,Base!$A:$A,0)),IF(MO$1=INDEX('Valo FX'!$R:$R,MATCH($A17,'Valo FX'!$A:$A,0)),INDEX(Base!$V:$V,MATCH($A17,Base!$A:$A,0)),0)))</f>
        <v>13.09985</v>
      </c>
      <c r="MP17" s="21">
        <f>IF(MP$1&lt;INDEX('Valo FX'!$Q:$Q,MATCH($A17,'Valo FX'!$A:$A,0)),0,IF(MP$1&lt;INDEX('Valo FX'!$R:$R,MATCH($A17,'Valo FX'!$A:$A,0)),INDEX(Base!$U:$U,MATCH($A17,Base!$A:$A,0)),IF(MP$1=INDEX('Valo FX'!$R:$R,MATCH($A17,'Valo FX'!$A:$A,0)),INDEX(Base!$V:$V,MATCH($A17,Base!$A:$A,0)),0)))</f>
        <v>13.09985</v>
      </c>
      <c r="MQ17" s="21">
        <f>IF(MQ$1&lt;INDEX('Valo FX'!$Q:$Q,MATCH($A17,'Valo FX'!$A:$A,0)),0,IF(MQ$1&lt;INDEX('Valo FX'!$R:$R,MATCH($A17,'Valo FX'!$A:$A,0)),INDEX(Base!$U:$U,MATCH($A17,Base!$A:$A,0)),IF(MQ$1=INDEX('Valo FX'!$R:$R,MATCH($A17,'Valo FX'!$A:$A,0)),INDEX(Base!$V:$V,MATCH($A17,Base!$A:$A,0)),0)))</f>
        <v>13.09985</v>
      </c>
      <c r="MR17" s="21">
        <f>IF(MR$1&lt;INDEX('Valo FX'!$Q:$Q,MATCH($A17,'Valo FX'!$A:$A,0)),0,IF(MR$1&lt;INDEX('Valo FX'!$R:$R,MATCH($A17,'Valo FX'!$A:$A,0)),INDEX(Base!$U:$U,MATCH($A17,Base!$A:$A,0)),IF(MR$1=INDEX('Valo FX'!$R:$R,MATCH($A17,'Valo FX'!$A:$A,0)),INDEX(Base!$V:$V,MATCH($A17,Base!$A:$A,0)),0)))</f>
        <v>13.09985</v>
      </c>
      <c r="MS17" s="21">
        <f>IF(MS$1&lt;INDEX('Valo FX'!$Q:$Q,MATCH($A17,'Valo FX'!$A:$A,0)),0,IF(MS$1&lt;INDEX('Valo FX'!$R:$R,MATCH($A17,'Valo FX'!$A:$A,0)),INDEX(Base!$U:$U,MATCH($A17,Base!$A:$A,0)),IF(MS$1=INDEX('Valo FX'!$R:$R,MATCH($A17,'Valo FX'!$A:$A,0)),INDEX(Base!$V:$V,MATCH($A17,Base!$A:$A,0)),0)))</f>
        <v>13.09985</v>
      </c>
      <c r="MT17" s="21">
        <f>IF(MT$1&lt;INDEX('Valo FX'!$Q:$Q,MATCH($A17,'Valo FX'!$A:$A,0)),0,IF(MT$1&lt;INDEX('Valo FX'!$R:$R,MATCH($A17,'Valo FX'!$A:$A,0)),INDEX(Base!$U:$U,MATCH($A17,Base!$A:$A,0)),IF(MT$1=INDEX('Valo FX'!$R:$R,MATCH($A17,'Valo FX'!$A:$A,0)),INDEX(Base!$V:$V,MATCH($A17,Base!$A:$A,0)),0)))</f>
        <v>13.09985</v>
      </c>
      <c r="MU17" s="21">
        <f>IF(MU$1&lt;INDEX('Valo FX'!$Q:$Q,MATCH($A17,'Valo FX'!$A:$A,0)),0,IF(MU$1&lt;INDEX('Valo FX'!$R:$R,MATCH($A17,'Valo FX'!$A:$A,0)),INDEX(Base!$U:$U,MATCH($A17,Base!$A:$A,0)),IF(MU$1=INDEX('Valo FX'!$R:$R,MATCH($A17,'Valo FX'!$A:$A,0)),INDEX(Base!$V:$V,MATCH($A17,Base!$A:$A,0)),0)))</f>
        <v>13.09985</v>
      </c>
      <c r="MV17" s="21">
        <f>IF(MV$1&lt;INDEX('Valo FX'!$Q:$Q,MATCH($A17,'Valo FX'!$A:$A,0)),0,IF(MV$1&lt;INDEX('Valo FX'!$R:$R,MATCH($A17,'Valo FX'!$A:$A,0)),INDEX(Base!$U:$U,MATCH($A17,Base!$A:$A,0)),IF(MV$1=INDEX('Valo FX'!$R:$R,MATCH($A17,'Valo FX'!$A:$A,0)),INDEX(Base!$V:$V,MATCH($A17,Base!$A:$A,0)),0)))</f>
        <v>13.09985</v>
      </c>
      <c r="MW17" s="21">
        <f>IF(MW$1&lt;INDEX('Valo FX'!$Q:$Q,MATCH($A17,'Valo FX'!$A:$A,0)),0,IF(MW$1&lt;INDEX('Valo FX'!$R:$R,MATCH($A17,'Valo FX'!$A:$A,0)),INDEX(Base!$U:$U,MATCH($A17,Base!$A:$A,0)),IF(MW$1=INDEX('Valo FX'!$R:$R,MATCH($A17,'Valo FX'!$A:$A,0)),INDEX(Base!$V:$V,MATCH($A17,Base!$A:$A,0)),0)))</f>
        <v>13.09985</v>
      </c>
      <c r="MX17" s="21">
        <f>IF(MX$1&lt;INDEX('Valo FX'!$Q:$Q,MATCH($A17,'Valo FX'!$A:$A,0)),0,IF(MX$1&lt;INDEX('Valo FX'!$R:$R,MATCH($A17,'Valo FX'!$A:$A,0)),INDEX(Base!$U:$U,MATCH($A17,Base!$A:$A,0)),IF(MX$1=INDEX('Valo FX'!$R:$R,MATCH($A17,'Valo FX'!$A:$A,0)),INDEX(Base!$V:$V,MATCH($A17,Base!$A:$A,0)),0)))</f>
        <v>13.09985</v>
      </c>
      <c r="MY17" s="21">
        <f>IF(MY$1&lt;INDEX('Valo FX'!$Q:$Q,MATCH($A17,'Valo FX'!$A:$A,0)),0,IF(MY$1&lt;INDEX('Valo FX'!$R:$R,MATCH($A17,'Valo FX'!$A:$A,0)),INDEX(Base!$U:$U,MATCH($A17,Base!$A:$A,0)),IF(MY$1=INDEX('Valo FX'!$R:$R,MATCH($A17,'Valo FX'!$A:$A,0)),INDEX(Base!$V:$V,MATCH($A17,Base!$A:$A,0)),0)))</f>
        <v>13.447649999999999</v>
      </c>
    </row>
    <row r="18" spans="1:363" x14ac:dyDescent="0.2">
      <c r="A18" s="7">
        <f>+'Valo FX'!A19</f>
        <v>16</v>
      </c>
      <c r="B18" s="58">
        <f>-'Valo FX'!T19</f>
        <v>-1710.1546291816587</v>
      </c>
      <c r="C18" s="21">
        <f>IF(C$1&lt;INDEX('Valo FX'!$Q:$Q,MATCH($A18,'Valo FX'!$A:$A,0)),0,IF(C$1&lt;INDEX('Valo FX'!$R:$R,MATCH($A18,'Valo FX'!$A:$A,0)),INDEX(Base!$U:$U,MATCH($A18,Base!$A:$A,0)),IF(C$1=INDEX('Valo FX'!$R:$R,MATCH($A18,'Valo FX'!$A:$A,0)),INDEX(Base!$V:$V,MATCH($A18,Base!$A:$A,0)),0)))</f>
        <v>0</v>
      </c>
      <c r="D18" s="21">
        <f>IF(D$1&lt;INDEX('Valo FX'!$Q:$Q,MATCH($A18,'Valo FX'!$A:$A,0)),0,IF(D$1&lt;INDEX('Valo FX'!$R:$R,MATCH($A18,'Valo FX'!$A:$A,0)),INDEX(Base!$U:$U,MATCH($A18,Base!$A:$A,0)),IF(D$1=INDEX('Valo FX'!$R:$R,MATCH($A18,'Valo FX'!$A:$A,0)),INDEX(Base!$V:$V,MATCH($A18,Base!$A:$A,0)),0)))</f>
        <v>0</v>
      </c>
      <c r="E18" s="21">
        <f>IF(E$1&lt;INDEX('Valo FX'!$Q:$Q,MATCH($A18,'Valo FX'!$A:$A,0)),0,IF(E$1&lt;INDEX('Valo FX'!$R:$R,MATCH($A18,'Valo FX'!$A:$A,0)),INDEX(Base!$U:$U,MATCH($A18,Base!$A:$A,0)),IF(E$1=INDEX('Valo FX'!$R:$R,MATCH($A18,'Valo FX'!$A:$A,0)),INDEX(Base!$V:$V,MATCH($A18,Base!$A:$A,0)),0)))</f>
        <v>0</v>
      </c>
      <c r="F18" s="21">
        <f>IF(F$1&lt;INDEX('Valo FX'!$Q:$Q,MATCH($A18,'Valo FX'!$A:$A,0)),0,IF(F$1&lt;INDEX('Valo FX'!$R:$R,MATCH($A18,'Valo FX'!$A:$A,0)),INDEX(Base!$U:$U,MATCH($A18,Base!$A:$A,0)),IF(F$1=INDEX('Valo FX'!$R:$R,MATCH($A18,'Valo FX'!$A:$A,0)),INDEX(Base!$V:$V,MATCH($A18,Base!$A:$A,0)),0)))</f>
        <v>0</v>
      </c>
      <c r="G18" s="21">
        <f>IF(G$1&lt;INDEX('Valo FX'!$Q:$Q,MATCH($A18,'Valo FX'!$A:$A,0)),0,IF(G$1&lt;INDEX('Valo FX'!$R:$R,MATCH($A18,'Valo FX'!$A:$A,0)),INDEX(Base!$U:$U,MATCH($A18,Base!$A:$A,0)),IF(G$1=INDEX('Valo FX'!$R:$R,MATCH($A18,'Valo FX'!$A:$A,0)),INDEX(Base!$V:$V,MATCH($A18,Base!$A:$A,0)),0)))</f>
        <v>0</v>
      </c>
      <c r="H18" s="21">
        <f>IF(H$1&lt;INDEX('Valo FX'!$Q:$Q,MATCH($A18,'Valo FX'!$A:$A,0)),0,IF(H$1&lt;INDEX('Valo FX'!$R:$R,MATCH($A18,'Valo FX'!$A:$A,0)),INDEX(Base!$U:$U,MATCH($A18,Base!$A:$A,0)),IF(H$1=INDEX('Valo FX'!$R:$R,MATCH($A18,'Valo FX'!$A:$A,0)),INDEX(Base!$V:$V,MATCH($A18,Base!$A:$A,0)),0)))</f>
        <v>0</v>
      </c>
      <c r="I18" s="21">
        <f>IF(I$1&lt;INDEX('Valo FX'!$Q:$Q,MATCH($A18,'Valo FX'!$A:$A,0)),0,IF(I$1&lt;INDEX('Valo FX'!$R:$R,MATCH($A18,'Valo FX'!$A:$A,0)),INDEX(Base!$U:$U,MATCH($A18,Base!$A:$A,0)),IF(I$1=INDEX('Valo FX'!$R:$R,MATCH($A18,'Valo FX'!$A:$A,0)),INDEX(Base!$V:$V,MATCH($A18,Base!$A:$A,0)),0)))</f>
        <v>11.648244999999999</v>
      </c>
      <c r="J18" s="21">
        <f>IF(J$1&lt;INDEX('Valo FX'!$Q:$Q,MATCH($A18,'Valo FX'!$A:$A,0)),0,IF(J$1&lt;INDEX('Valo FX'!$R:$R,MATCH($A18,'Valo FX'!$A:$A,0)),INDEX(Base!$U:$U,MATCH($A18,Base!$A:$A,0)),IF(J$1=INDEX('Valo FX'!$R:$R,MATCH($A18,'Valo FX'!$A:$A,0)),INDEX(Base!$V:$V,MATCH($A18,Base!$A:$A,0)),0)))</f>
        <v>11.648244999999999</v>
      </c>
      <c r="K18" s="21">
        <f>IF(K$1&lt;INDEX('Valo FX'!$Q:$Q,MATCH($A18,'Valo FX'!$A:$A,0)),0,IF(K$1&lt;INDEX('Valo FX'!$R:$R,MATCH($A18,'Valo FX'!$A:$A,0)),INDEX(Base!$U:$U,MATCH($A18,Base!$A:$A,0)),IF(K$1=INDEX('Valo FX'!$R:$R,MATCH($A18,'Valo FX'!$A:$A,0)),INDEX(Base!$V:$V,MATCH($A18,Base!$A:$A,0)),0)))</f>
        <v>11.648244999999999</v>
      </c>
      <c r="L18" s="21">
        <f>IF(L$1&lt;INDEX('Valo FX'!$Q:$Q,MATCH($A18,'Valo FX'!$A:$A,0)),0,IF(L$1&lt;INDEX('Valo FX'!$R:$R,MATCH($A18,'Valo FX'!$A:$A,0)),INDEX(Base!$U:$U,MATCH($A18,Base!$A:$A,0)),IF(L$1=INDEX('Valo FX'!$R:$R,MATCH($A18,'Valo FX'!$A:$A,0)),INDEX(Base!$V:$V,MATCH($A18,Base!$A:$A,0)),0)))</f>
        <v>11.648244999999999</v>
      </c>
      <c r="M18" s="21">
        <f>IF(M$1&lt;INDEX('Valo FX'!$Q:$Q,MATCH($A18,'Valo FX'!$A:$A,0)),0,IF(M$1&lt;INDEX('Valo FX'!$R:$R,MATCH($A18,'Valo FX'!$A:$A,0)),INDEX(Base!$U:$U,MATCH($A18,Base!$A:$A,0)),IF(M$1=INDEX('Valo FX'!$R:$R,MATCH($A18,'Valo FX'!$A:$A,0)),INDEX(Base!$V:$V,MATCH($A18,Base!$A:$A,0)),0)))</f>
        <v>11.648244999999999</v>
      </c>
      <c r="N18" s="21">
        <f>IF(N$1&lt;INDEX('Valo FX'!$Q:$Q,MATCH($A18,'Valo FX'!$A:$A,0)),0,IF(N$1&lt;INDEX('Valo FX'!$R:$R,MATCH($A18,'Valo FX'!$A:$A,0)),INDEX(Base!$U:$U,MATCH($A18,Base!$A:$A,0)),IF(N$1=INDEX('Valo FX'!$R:$R,MATCH($A18,'Valo FX'!$A:$A,0)),INDEX(Base!$V:$V,MATCH($A18,Base!$A:$A,0)),0)))</f>
        <v>11.648244999999999</v>
      </c>
      <c r="O18" s="21">
        <f>IF(O$1&lt;INDEX('Valo FX'!$Q:$Q,MATCH($A18,'Valo FX'!$A:$A,0)),0,IF(O$1&lt;INDEX('Valo FX'!$R:$R,MATCH($A18,'Valo FX'!$A:$A,0)),INDEX(Base!$U:$U,MATCH($A18,Base!$A:$A,0)),IF(O$1=INDEX('Valo FX'!$R:$R,MATCH($A18,'Valo FX'!$A:$A,0)),INDEX(Base!$V:$V,MATCH($A18,Base!$A:$A,0)),0)))</f>
        <v>11.648244999999999</v>
      </c>
      <c r="P18" s="21">
        <f>IF(P$1&lt;INDEX('Valo FX'!$Q:$Q,MATCH($A18,'Valo FX'!$A:$A,0)),0,IF(P$1&lt;INDEX('Valo FX'!$R:$R,MATCH($A18,'Valo FX'!$A:$A,0)),INDEX(Base!$U:$U,MATCH($A18,Base!$A:$A,0)),IF(P$1=INDEX('Valo FX'!$R:$R,MATCH($A18,'Valo FX'!$A:$A,0)),INDEX(Base!$V:$V,MATCH($A18,Base!$A:$A,0)),0)))</f>
        <v>11.648244999999999</v>
      </c>
      <c r="Q18" s="21">
        <f>IF(Q$1&lt;INDEX('Valo FX'!$Q:$Q,MATCH($A18,'Valo FX'!$A:$A,0)),0,IF(Q$1&lt;INDEX('Valo FX'!$R:$R,MATCH($A18,'Valo FX'!$A:$A,0)),INDEX(Base!$U:$U,MATCH($A18,Base!$A:$A,0)),IF(Q$1=INDEX('Valo FX'!$R:$R,MATCH($A18,'Valo FX'!$A:$A,0)),INDEX(Base!$V:$V,MATCH($A18,Base!$A:$A,0)),0)))</f>
        <v>11.648244999999999</v>
      </c>
      <c r="R18" s="21">
        <f>IF(R$1&lt;INDEX('Valo FX'!$Q:$Q,MATCH($A18,'Valo FX'!$A:$A,0)),0,IF(R$1&lt;INDEX('Valo FX'!$R:$R,MATCH($A18,'Valo FX'!$A:$A,0)),INDEX(Base!$U:$U,MATCH($A18,Base!$A:$A,0)),IF(R$1=INDEX('Valo FX'!$R:$R,MATCH($A18,'Valo FX'!$A:$A,0)),INDEX(Base!$V:$V,MATCH($A18,Base!$A:$A,0)),0)))</f>
        <v>11.648244999999999</v>
      </c>
      <c r="S18" s="21">
        <f>IF(S$1&lt;INDEX('Valo FX'!$Q:$Q,MATCH($A18,'Valo FX'!$A:$A,0)),0,IF(S$1&lt;INDEX('Valo FX'!$R:$R,MATCH($A18,'Valo FX'!$A:$A,0)),INDEX(Base!$U:$U,MATCH($A18,Base!$A:$A,0)),IF(S$1=INDEX('Valo FX'!$R:$R,MATCH($A18,'Valo FX'!$A:$A,0)),INDEX(Base!$V:$V,MATCH($A18,Base!$A:$A,0)),0)))</f>
        <v>11.648244999999999</v>
      </c>
      <c r="T18" s="21">
        <f>IF(T$1&lt;INDEX('Valo FX'!$Q:$Q,MATCH($A18,'Valo FX'!$A:$A,0)),0,IF(T$1&lt;INDEX('Valo FX'!$R:$R,MATCH($A18,'Valo FX'!$A:$A,0)),INDEX(Base!$U:$U,MATCH($A18,Base!$A:$A,0)),IF(T$1=INDEX('Valo FX'!$R:$R,MATCH($A18,'Valo FX'!$A:$A,0)),INDEX(Base!$V:$V,MATCH($A18,Base!$A:$A,0)),0)))</f>
        <v>11.648244999999999</v>
      </c>
      <c r="U18" s="21">
        <f>IF(U$1&lt;INDEX('Valo FX'!$Q:$Q,MATCH($A18,'Valo FX'!$A:$A,0)),0,IF(U$1&lt;INDEX('Valo FX'!$R:$R,MATCH($A18,'Valo FX'!$A:$A,0)),INDEX(Base!$U:$U,MATCH($A18,Base!$A:$A,0)),IF(U$1=INDEX('Valo FX'!$R:$R,MATCH($A18,'Valo FX'!$A:$A,0)),INDEX(Base!$V:$V,MATCH($A18,Base!$A:$A,0)),0)))</f>
        <v>11.648244999999999</v>
      </c>
      <c r="V18" s="21">
        <f>IF(V$1&lt;INDEX('Valo FX'!$Q:$Q,MATCH($A18,'Valo FX'!$A:$A,0)),0,IF(V$1&lt;INDEX('Valo FX'!$R:$R,MATCH($A18,'Valo FX'!$A:$A,0)),INDEX(Base!$U:$U,MATCH($A18,Base!$A:$A,0)),IF(V$1=INDEX('Valo FX'!$R:$R,MATCH($A18,'Valo FX'!$A:$A,0)),INDEX(Base!$V:$V,MATCH($A18,Base!$A:$A,0)),0)))</f>
        <v>11.648244999999999</v>
      </c>
      <c r="W18" s="21">
        <f>IF(W$1&lt;INDEX('Valo FX'!$Q:$Q,MATCH($A18,'Valo FX'!$A:$A,0)),0,IF(W$1&lt;INDEX('Valo FX'!$R:$R,MATCH($A18,'Valo FX'!$A:$A,0)),INDEX(Base!$U:$U,MATCH($A18,Base!$A:$A,0)),IF(W$1=INDEX('Valo FX'!$R:$R,MATCH($A18,'Valo FX'!$A:$A,0)),INDEX(Base!$V:$V,MATCH($A18,Base!$A:$A,0)),0)))</f>
        <v>11.648244999999999</v>
      </c>
      <c r="X18" s="21">
        <f>IF(X$1&lt;INDEX('Valo FX'!$Q:$Q,MATCH($A18,'Valo FX'!$A:$A,0)),0,IF(X$1&lt;INDEX('Valo FX'!$R:$R,MATCH($A18,'Valo FX'!$A:$A,0)),INDEX(Base!$U:$U,MATCH($A18,Base!$A:$A,0)),IF(X$1=INDEX('Valo FX'!$R:$R,MATCH($A18,'Valo FX'!$A:$A,0)),INDEX(Base!$V:$V,MATCH($A18,Base!$A:$A,0)),0)))</f>
        <v>11.648244999999999</v>
      </c>
      <c r="Y18" s="21">
        <f>IF(Y$1&lt;INDEX('Valo FX'!$Q:$Q,MATCH($A18,'Valo FX'!$A:$A,0)),0,IF(Y$1&lt;INDEX('Valo FX'!$R:$R,MATCH($A18,'Valo FX'!$A:$A,0)),INDEX(Base!$U:$U,MATCH($A18,Base!$A:$A,0)),IF(Y$1=INDEX('Valo FX'!$R:$R,MATCH($A18,'Valo FX'!$A:$A,0)),INDEX(Base!$V:$V,MATCH($A18,Base!$A:$A,0)),0)))</f>
        <v>11.648244999999999</v>
      </c>
      <c r="Z18" s="21">
        <f>IF(Z$1&lt;INDEX('Valo FX'!$Q:$Q,MATCH($A18,'Valo FX'!$A:$A,0)),0,IF(Z$1&lt;INDEX('Valo FX'!$R:$R,MATCH($A18,'Valo FX'!$A:$A,0)),INDEX(Base!$U:$U,MATCH($A18,Base!$A:$A,0)),IF(Z$1=INDEX('Valo FX'!$R:$R,MATCH($A18,'Valo FX'!$A:$A,0)),INDEX(Base!$V:$V,MATCH($A18,Base!$A:$A,0)),0)))</f>
        <v>11.648244999999999</v>
      </c>
      <c r="AA18" s="21">
        <f>IF(AA$1&lt;INDEX('Valo FX'!$Q:$Q,MATCH($A18,'Valo FX'!$A:$A,0)),0,IF(AA$1&lt;INDEX('Valo FX'!$R:$R,MATCH($A18,'Valo FX'!$A:$A,0)),INDEX(Base!$U:$U,MATCH($A18,Base!$A:$A,0)),IF(AA$1=INDEX('Valo FX'!$R:$R,MATCH($A18,'Valo FX'!$A:$A,0)),INDEX(Base!$V:$V,MATCH($A18,Base!$A:$A,0)),0)))</f>
        <v>11.648244999999999</v>
      </c>
      <c r="AB18" s="21">
        <f>IF(AB$1&lt;INDEX('Valo FX'!$Q:$Q,MATCH($A18,'Valo FX'!$A:$A,0)),0,IF(AB$1&lt;INDEX('Valo FX'!$R:$R,MATCH($A18,'Valo FX'!$A:$A,0)),INDEX(Base!$U:$U,MATCH($A18,Base!$A:$A,0)),IF(AB$1=INDEX('Valo FX'!$R:$R,MATCH($A18,'Valo FX'!$A:$A,0)),INDEX(Base!$V:$V,MATCH($A18,Base!$A:$A,0)),0)))</f>
        <v>11.648244999999999</v>
      </c>
      <c r="AC18" s="21">
        <f>IF(AC$1&lt;INDEX('Valo FX'!$Q:$Q,MATCH($A18,'Valo FX'!$A:$A,0)),0,IF(AC$1&lt;INDEX('Valo FX'!$R:$R,MATCH($A18,'Valo FX'!$A:$A,0)),INDEX(Base!$U:$U,MATCH($A18,Base!$A:$A,0)),IF(AC$1=INDEX('Valo FX'!$R:$R,MATCH($A18,'Valo FX'!$A:$A,0)),INDEX(Base!$V:$V,MATCH($A18,Base!$A:$A,0)),0)))</f>
        <v>11.648244999999999</v>
      </c>
      <c r="AD18" s="21">
        <f>IF(AD$1&lt;INDEX('Valo FX'!$Q:$Q,MATCH($A18,'Valo FX'!$A:$A,0)),0,IF(AD$1&lt;INDEX('Valo FX'!$R:$R,MATCH($A18,'Valo FX'!$A:$A,0)),INDEX(Base!$U:$U,MATCH($A18,Base!$A:$A,0)),IF(AD$1=INDEX('Valo FX'!$R:$R,MATCH($A18,'Valo FX'!$A:$A,0)),INDEX(Base!$V:$V,MATCH($A18,Base!$A:$A,0)),0)))</f>
        <v>11.648244999999999</v>
      </c>
      <c r="AE18" s="21">
        <f>IF(AE$1&lt;INDEX('Valo FX'!$Q:$Q,MATCH($A18,'Valo FX'!$A:$A,0)),0,IF(AE$1&lt;INDEX('Valo FX'!$R:$R,MATCH($A18,'Valo FX'!$A:$A,0)),INDEX(Base!$U:$U,MATCH($A18,Base!$A:$A,0)),IF(AE$1=INDEX('Valo FX'!$R:$R,MATCH($A18,'Valo FX'!$A:$A,0)),INDEX(Base!$V:$V,MATCH($A18,Base!$A:$A,0)),0)))</f>
        <v>11.648244999999999</v>
      </c>
      <c r="AF18" s="21">
        <f>IF(AF$1&lt;INDEX('Valo FX'!$Q:$Q,MATCH($A18,'Valo FX'!$A:$A,0)),0,IF(AF$1&lt;INDEX('Valo FX'!$R:$R,MATCH($A18,'Valo FX'!$A:$A,0)),INDEX(Base!$U:$U,MATCH($A18,Base!$A:$A,0)),IF(AF$1=INDEX('Valo FX'!$R:$R,MATCH($A18,'Valo FX'!$A:$A,0)),INDEX(Base!$V:$V,MATCH($A18,Base!$A:$A,0)),0)))</f>
        <v>11.648244999999999</v>
      </c>
      <c r="AG18" s="21">
        <f>IF(AG$1&lt;INDEX('Valo FX'!$Q:$Q,MATCH($A18,'Valo FX'!$A:$A,0)),0,IF(AG$1&lt;INDEX('Valo FX'!$R:$R,MATCH($A18,'Valo FX'!$A:$A,0)),INDEX(Base!$U:$U,MATCH($A18,Base!$A:$A,0)),IF(AG$1=INDEX('Valo FX'!$R:$R,MATCH($A18,'Valo FX'!$A:$A,0)),INDEX(Base!$V:$V,MATCH($A18,Base!$A:$A,0)),0)))</f>
        <v>11.648244999999999</v>
      </c>
      <c r="AH18" s="21">
        <f>IF(AH$1&lt;INDEX('Valo FX'!$Q:$Q,MATCH($A18,'Valo FX'!$A:$A,0)),0,IF(AH$1&lt;INDEX('Valo FX'!$R:$R,MATCH($A18,'Valo FX'!$A:$A,0)),INDEX(Base!$U:$U,MATCH($A18,Base!$A:$A,0)),IF(AH$1=INDEX('Valo FX'!$R:$R,MATCH($A18,'Valo FX'!$A:$A,0)),INDEX(Base!$V:$V,MATCH($A18,Base!$A:$A,0)),0)))</f>
        <v>11.648244999999999</v>
      </c>
      <c r="AI18" s="21">
        <f>IF(AI$1&lt;INDEX('Valo FX'!$Q:$Q,MATCH($A18,'Valo FX'!$A:$A,0)),0,IF(AI$1&lt;INDEX('Valo FX'!$R:$R,MATCH($A18,'Valo FX'!$A:$A,0)),INDEX(Base!$U:$U,MATCH($A18,Base!$A:$A,0)),IF(AI$1=INDEX('Valo FX'!$R:$R,MATCH($A18,'Valo FX'!$A:$A,0)),INDEX(Base!$V:$V,MATCH($A18,Base!$A:$A,0)),0)))</f>
        <v>11.648244999999999</v>
      </c>
      <c r="AJ18" s="21">
        <f>IF(AJ$1&lt;INDEX('Valo FX'!$Q:$Q,MATCH($A18,'Valo FX'!$A:$A,0)),0,IF(AJ$1&lt;INDEX('Valo FX'!$R:$R,MATCH($A18,'Valo FX'!$A:$A,0)),INDEX(Base!$U:$U,MATCH($A18,Base!$A:$A,0)),IF(AJ$1=INDEX('Valo FX'!$R:$R,MATCH($A18,'Valo FX'!$A:$A,0)),INDEX(Base!$V:$V,MATCH($A18,Base!$A:$A,0)),0)))</f>
        <v>11.648244999999999</v>
      </c>
      <c r="AK18" s="21">
        <f>IF(AK$1&lt;INDEX('Valo FX'!$Q:$Q,MATCH($A18,'Valo FX'!$A:$A,0)),0,IF(AK$1&lt;INDEX('Valo FX'!$R:$R,MATCH($A18,'Valo FX'!$A:$A,0)),INDEX(Base!$U:$U,MATCH($A18,Base!$A:$A,0)),IF(AK$1=INDEX('Valo FX'!$R:$R,MATCH($A18,'Valo FX'!$A:$A,0)),INDEX(Base!$V:$V,MATCH($A18,Base!$A:$A,0)),0)))</f>
        <v>11.648244999999999</v>
      </c>
      <c r="AL18" s="21">
        <f>IF(AL$1&lt;INDEX('Valo FX'!$Q:$Q,MATCH($A18,'Valo FX'!$A:$A,0)),0,IF(AL$1&lt;INDEX('Valo FX'!$R:$R,MATCH($A18,'Valo FX'!$A:$A,0)),INDEX(Base!$U:$U,MATCH($A18,Base!$A:$A,0)),IF(AL$1=INDEX('Valo FX'!$R:$R,MATCH($A18,'Valo FX'!$A:$A,0)),INDEX(Base!$V:$V,MATCH($A18,Base!$A:$A,0)),0)))</f>
        <v>11.648244999999999</v>
      </c>
      <c r="AM18" s="21">
        <f>IF(AM$1&lt;INDEX('Valo FX'!$Q:$Q,MATCH($A18,'Valo FX'!$A:$A,0)),0,IF(AM$1&lt;INDEX('Valo FX'!$R:$R,MATCH($A18,'Valo FX'!$A:$A,0)),INDEX(Base!$U:$U,MATCH($A18,Base!$A:$A,0)),IF(AM$1=INDEX('Valo FX'!$R:$R,MATCH($A18,'Valo FX'!$A:$A,0)),INDEX(Base!$V:$V,MATCH($A18,Base!$A:$A,0)),0)))</f>
        <v>11.648244999999999</v>
      </c>
      <c r="AN18" s="21">
        <f>IF(AN$1&lt;INDEX('Valo FX'!$Q:$Q,MATCH($A18,'Valo FX'!$A:$A,0)),0,IF(AN$1&lt;INDEX('Valo FX'!$R:$R,MATCH($A18,'Valo FX'!$A:$A,0)),INDEX(Base!$U:$U,MATCH($A18,Base!$A:$A,0)),IF(AN$1=INDEX('Valo FX'!$R:$R,MATCH($A18,'Valo FX'!$A:$A,0)),INDEX(Base!$V:$V,MATCH($A18,Base!$A:$A,0)),0)))</f>
        <v>11.648244999999999</v>
      </c>
      <c r="AO18" s="21">
        <f>IF(AO$1&lt;INDEX('Valo FX'!$Q:$Q,MATCH($A18,'Valo FX'!$A:$A,0)),0,IF(AO$1&lt;INDEX('Valo FX'!$R:$R,MATCH($A18,'Valo FX'!$A:$A,0)),INDEX(Base!$U:$U,MATCH($A18,Base!$A:$A,0)),IF(AO$1=INDEX('Valo FX'!$R:$R,MATCH($A18,'Valo FX'!$A:$A,0)),INDEX(Base!$V:$V,MATCH($A18,Base!$A:$A,0)),0)))</f>
        <v>11.648244999999999</v>
      </c>
      <c r="AP18" s="21">
        <f>IF(AP$1&lt;INDEX('Valo FX'!$Q:$Q,MATCH($A18,'Valo FX'!$A:$A,0)),0,IF(AP$1&lt;INDEX('Valo FX'!$R:$R,MATCH($A18,'Valo FX'!$A:$A,0)),INDEX(Base!$U:$U,MATCH($A18,Base!$A:$A,0)),IF(AP$1=INDEX('Valo FX'!$R:$R,MATCH($A18,'Valo FX'!$A:$A,0)),INDEX(Base!$V:$V,MATCH($A18,Base!$A:$A,0)),0)))</f>
        <v>11.648244999999999</v>
      </c>
      <c r="AQ18" s="21">
        <f>IF(AQ$1&lt;INDEX('Valo FX'!$Q:$Q,MATCH($A18,'Valo FX'!$A:$A,0)),0,IF(AQ$1&lt;INDEX('Valo FX'!$R:$R,MATCH($A18,'Valo FX'!$A:$A,0)),INDEX(Base!$U:$U,MATCH($A18,Base!$A:$A,0)),IF(AQ$1=INDEX('Valo FX'!$R:$R,MATCH($A18,'Valo FX'!$A:$A,0)),INDEX(Base!$V:$V,MATCH($A18,Base!$A:$A,0)),0)))</f>
        <v>11.648244999999999</v>
      </c>
      <c r="AR18" s="21">
        <f>IF(AR$1&lt;INDEX('Valo FX'!$Q:$Q,MATCH($A18,'Valo FX'!$A:$A,0)),0,IF(AR$1&lt;INDEX('Valo FX'!$R:$R,MATCH($A18,'Valo FX'!$A:$A,0)),INDEX(Base!$U:$U,MATCH($A18,Base!$A:$A,0)),IF(AR$1=INDEX('Valo FX'!$R:$R,MATCH($A18,'Valo FX'!$A:$A,0)),INDEX(Base!$V:$V,MATCH($A18,Base!$A:$A,0)),0)))</f>
        <v>11.648244999999999</v>
      </c>
      <c r="AS18" s="21">
        <f>IF(AS$1&lt;INDEX('Valo FX'!$Q:$Q,MATCH($A18,'Valo FX'!$A:$A,0)),0,IF(AS$1&lt;INDEX('Valo FX'!$R:$R,MATCH($A18,'Valo FX'!$A:$A,0)),INDEX(Base!$U:$U,MATCH($A18,Base!$A:$A,0)),IF(AS$1=INDEX('Valo FX'!$R:$R,MATCH($A18,'Valo FX'!$A:$A,0)),INDEX(Base!$V:$V,MATCH($A18,Base!$A:$A,0)),0)))</f>
        <v>11.648244999999999</v>
      </c>
      <c r="AT18" s="21">
        <f>IF(AT$1&lt;INDEX('Valo FX'!$Q:$Q,MATCH($A18,'Valo FX'!$A:$A,0)),0,IF(AT$1&lt;INDEX('Valo FX'!$R:$R,MATCH($A18,'Valo FX'!$A:$A,0)),INDEX(Base!$U:$U,MATCH($A18,Base!$A:$A,0)),IF(AT$1=INDEX('Valo FX'!$R:$R,MATCH($A18,'Valo FX'!$A:$A,0)),INDEX(Base!$V:$V,MATCH($A18,Base!$A:$A,0)),0)))</f>
        <v>11.648244999999999</v>
      </c>
      <c r="AU18" s="21">
        <f>IF(AU$1&lt;INDEX('Valo FX'!$Q:$Q,MATCH($A18,'Valo FX'!$A:$A,0)),0,IF(AU$1&lt;INDEX('Valo FX'!$R:$R,MATCH($A18,'Valo FX'!$A:$A,0)),INDEX(Base!$U:$U,MATCH($A18,Base!$A:$A,0)),IF(AU$1=INDEX('Valo FX'!$R:$R,MATCH($A18,'Valo FX'!$A:$A,0)),INDEX(Base!$V:$V,MATCH($A18,Base!$A:$A,0)),0)))</f>
        <v>11.648244999999999</v>
      </c>
      <c r="AV18" s="21">
        <f>IF(AV$1&lt;INDEX('Valo FX'!$Q:$Q,MATCH($A18,'Valo FX'!$A:$A,0)),0,IF(AV$1&lt;INDEX('Valo FX'!$R:$R,MATCH($A18,'Valo FX'!$A:$A,0)),INDEX(Base!$U:$U,MATCH($A18,Base!$A:$A,0)),IF(AV$1=INDEX('Valo FX'!$R:$R,MATCH($A18,'Valo FX'!$A:$A,0)),INDEX(Base!$V:$V,MATCH($A18,Base!$A:$A,0)),0)))</f>
        <v>11.648244999999999</v>
      </c>
      <c r="AW18" s="21">
        <f>IF(AW$1&lt;INDEX('Valo FX'!$Q:$Q,MATCH($A18,'Valo FX'!$A:$A,0)),0,IF(AW$1&lt;INDEX('Valo FX'!$R:$R,MATCH($A18,'Valo FX'!$A:$A,0)),INDEX(Base!$U:$U,MATCH($A18,Base!$A:$A,0)),IF(AW$1=INDEX('Valo FX'!$R:$R,MATCH($A18,'Valo FX'!$A:$A,0)),INDEX(Base!$V:$V,MATCH($A18,Base!$A:$A,0)),0)))</f>
        <v>11.648244999999999</v>
      </c>
      <c r="AX18" s="21">
        <f>IF(AX$1&lt;INDEX('Valo FX'!$Q:$Q,MATCH($A18,'Valo FX'!$A:$A,0)),0,IF(AX$1&lt;INDEX('Valo FX'!$R:$R,MATCH($A18,'Valo FX'!$A:$A,0)),INDEX(Base!$U:$U,MATCH($A18,Base!$A:$A,0)),IF(AX$1=INDEX('Valo FX'!$R:$R,MATCH($A18,'Valo FX'!$A:$A,0)),INDEX(Base!$V:$V,MATCH($A18,Base!$A:$A,0)),0)))</f>
        <v>11.648244999999999</v>
      </c>
      <c r="AY18" s="21">
        <f>IF(AY$1&lt;INDEX('Valo FX'!$Q:$Q,MATCH($A18,'Valo FX'!$A:$A,0)),0,IF(AY$1&lt;INDEX('Valo FX'!$R:$R,MATCH($A18,'Valo FX'!$A:$A,0)),INDEX(Base!$U:$U,MATCH($A18,Base!$A:$A,0)),IF(AY$1=INDEX('Valo FX'!$R:$R,MATCH($A18,'Valo FX'!$A:$A,0)),INDEX(Base!$V:$V,MATCH($A18,Base!$A:$A,0)),0)))</f>
        <v>11.648244999999999</v>
      </c>
      <c r="AZ18" s="21">
        <f>IF(AZ$1&lt;INDEX('Valo FX'!$Q:$Q,MATCH($A18,'Valo FX'!$A:$A,0)),0,IF(AZ$1&lt;INDEX('Valo FX'!$R:$R,MATCH($A18,'Valo FX'!$A:$A,0)),INDEX(Base!$U:$U,MATCH($A18,Base!$A:$A,0)),IF(AZ$1=INDEX('Valo FX'!$R:$R,MATCH($A18,'Valo FX'!$A:$A,0)),INDEX(Base!$V:$V,MATCH($A18,Base!$A:$A,0)),0)))</f>
        <v>11.648244999999999</v>
      </c>
      <c r="BA18" s="21">
        <f>IF(BA$1&lt;INDEX('Valo FX'!$Q:$Q,MATCH($A18,'Valo FX'!$A:$A,0)),0,IF(BA$1&lt;INDEX('Valo FX'!$R:$R,MATCH($A18,'Valo FX'!$A:$A,0)),INDEX(Base!$U:$U,MATCH($A18,Base!$A:$A,0)),IF(BA$1=INDEX('Valo FX'!$R:$R,MATCH($A18,'Valo FX'!$A:$A,0)),INDEX(Base!$V:$V,MATCH($A18,Base!$A:$A,0)),0)))</f>
        <v>11.648244999999999</v>
      </c>
      <c r="BB18" s="21">
        <f>IF(BB$1&lt;INDEX('Valo FX'!$Q:$Q,MATCH($A18,'Valo FX'!$A:$A,0)),0,IF(BB$1&lt;INDEX('Valo FX'!$R:$R,MATCH($A18,'Valo FX'!$A:$A,0)),INDEX(Base!$U:$U,MATCH($A18,Base!$A:$A,0)),IF(BB$1=INDEX('Valo FX'!$R:$R,MATCH($A18,'Valo FX'!$A:$A,0)),INDEX(Base!$V:$V,MATCH($A18,Base!$A:$A,0)),0)))</f>
        <v>11.648244999999999</v>
      </c>
      <c r="BC18" s="21">
        <f>IF(BC$1&lt;INDEX('Valo FX'!$Q:$Q,MATCH($A18,'Valo FX'!$A:$A,0)),0,IF(BC$1&lt;INDEX('Valo FX'!$R:$R,MATCH($A18,'Valo FX'!$A:$A,0)),INDEX(Base!$U:$U,MATCH($A18,Base!$A:$A,0)),IF(BC$1=INDEX('Valo FX'!$R:$R,MATCH($A18,'Valo FX'!$A:$A,0)),INDEX(Base!$V:$V,MATCH($A18,Base!$A:$A,0)),0)))</f>
        <v>11.648244999999999</v>
      </c>
      <c r="BD18" s="21">
        <f>IF(BD$1&lt;INDEX('Valo FX'!$Q:$Q,MATCH($A18,'Valo FX'!$A:$A,0)),0,IF(BD$1&lt;INDEX('Valo FX'!$R:$R,MATCH($A18,'Valo FX'!$A:$A,0)),INDEX(Base!$U:$U,MATCH($A18,Base!$A:$A,0)),IF(BD$1=INDEX('Valo FX'!$R:$R,MATCH($A18,'Valo FX'!$A:$A,0)),INDEX(Base!$V:$V,MATCH($A18,Base!$A:$A,0)),0)))</f>
        <v>11.648244999999999</v>
      </c>
      <c r="BE18" s="21">
        <f>IF(BE$1&lt;INDEX('Valo FX'!$Q:$Q,MATCH($A18,'Valo FX'!$A:$A,0)),0,IF(BE$1&lt;INDEX('Valo FX'!$R:$R,MATCH($A18,'Valo FX'!$A:$A,0)),INDEX(Base!$U:$U,MATCH($A18,Base!$A:$A,0)),IF(BE$1=INDEX('Valo FX'!$R:$R,MATCH($A18,'Valo FX'!$A:$A,0)),INDEX(Base!$V:$V,MATCH($A18,Base!$A:$A,0)),0)))</f>
        <v>11.648244999999999</v>
      </c>
      <c r="BF18" s="21">
        <f>IF(BF$1&lt;INDEX('Valo FX'!$Q:$Q,MATCH($A18,'Valo FX'!$A:$A,0)),0,IF(BF$1&lt;INDEX('Valo FX'!$R:$R,MATCH($A18,'Valo FX'!$A:$A,0)),INDEX(Base!$U:$U,MATCH($A18,Base!$A:$A,0)),IF(BF$1=INDEX('Valo FX'!$R:$R,MATCH($A18,'Valo FX'!$A:$A,0)),INDEX(Base!$V:$V,MATCH($A18,Base!$A:$A,0)),0)))</f>
        <v>11.648244999999999</v>
      </c>
      <c r="BG18" s="21">
        <f>IF(BG$1&lt;INDEX('Valo FX'!$Q:$Q,MATCH($A18,'Valo FX'!$A:$A,0)),0,IF(BG$1&lt;INDEX('Valo FX'!$R:$R,MATCH($A18,'Valo FX'!$A:$A,0)),INDEX(Base!$U:$U,MATCH($A18,Base!$A:$A,0)),IF(BG$1=INDEX('Valo FX'!$R:$R,MATCH($A18,'Valo FX'!$A:$A,0)),INDEX(Base!$V:$V,MATCH($A18,Base!$A:$A,0)),0)))</f>
        <v>11.648244999999999</v>
      </c>
      <c r="BH18" s="21">
        <f>IF(BH$1&lt;INDEX('Valo FX'!$Q:$Q,MATCH($A18,'Valo FX'!$A:$A,0)),0,IF(BH$1&lt;INDEX('Valo FX'!$R:$R,MATCH($A18,'Valo FX'!$A:$A,0)),INDEX(Base!$U:$U,MATCH($A18,Base!$A:$A,0)),IF(BH$1=INDEX('Valo FX'!$R:$R,MATCH($A18,'Valo FX'!$A:$A,0)),INDEX(Base!$V:$V,MATCH($A18,Base!$A:$A,0)),0)))</f>
        <v>11.648244999999999</v>
      </c>
      <c r="BI18" s="21">
        <f>IF(BI$1&lt;INDEX('Valo FX'!$Q:$Q,MATCH($A18,'Valo FX'!$A:$A,0)),0,IF(BI$1&lt;INDEX('Valo FX'!$R:$R,MATCH($A18,'Valo FX'!$A:$A,0)),INDEX(Base!$U:$U,MATCH($A18,Base!$A:$A,0)),IF(BI$1=INDEX('Valo FX'!$R:$R,MATCH($A18,'Valo FX'!$A:$A,0)),INDEX(Base!$V:$V,MATCH($A18,Base!$A:$A,0)),0)))</f>
        <v>11.648244999999999</v>
      </c>
      <c r="BJ18" s="21">
        <f>IF(BJ$1&lt;INDEX('Valo FX'!$Q:$Q,MATCH($A18,'Valo FX'!$A:$A,0)),0,IF(BJ$1&lt;INDEX('Valo FX'!$R:$R,MATCH($A18,'Valo FX'!$A:$A,0)),INDEX(Base!$U:$U,MATCH($A18,Base!$A:$A,0)),IF(BJ$1=INDEX('Valo FX'!$R:$R,MATCH($A18,'Valo FX'!$A:$A,0)),INDEX(Base!$V:$V,MATCH($A18,Base!$A:$A,0)),0)))</f>
        <v>11.648244999999999</v>
      </c>
      <c r="BK18" s="21">
        <f>IF(BK$1&lt;INDEX('Valo FX'!$Q:$Q,MATCH($A18,'Valo FX'!$A:$A,0)),0,IF(BK$1&lt;INDEX('Valo FX'!$R:$R,MATCH($A18,'Valo FX'!$A:$A,0)),INDEX(Base!$U:$U,MATCH($A18,Base!$A:$A,0)),IF(BK$1=INDEX('Valo FX'!$R:$R,MATCH($A18,'Valo FX'!$A:$A,0)),INDEX(Base!$V:$V,MATCH($A18,Base!$A:$A,0)),0)))</f>
        <v>11.648244999999999</v>
      </c>
      <c r="BL18" s="21">
        <f>IF(BL$1&lt;INDEX('Valo FX'!$Q:$Q,MATCH($A18,'Valo FX'!$A:$A,0)),0,IF(BL$1&lt;INDEX('Valo FX'!$R:$R,MATCH($A18,'Valo FX'!$A:$A,0)),INDEX(Base!$U:$U,MATCH($A18,Base!$A:$A,0)),IF(BL$1=INDEX('Valo FX'!$R:$R,MATCH($A18,'Valo FX'!$A:$A,0)),INDEX(Base!$V:$V,MATCH($A18,Base!$A:$A,0)),0)))</f>
        <v>11.648244999999999</v>
      </c>
      <c r="BM18" s="21">
        <f>IF(BM$1&lt;INDEX('Valo FX'!$Q:$Q,MATCH($A18,'Valo FX'!$A:$A,0)),0,IF(BM$1&lt;INDEX('Valo FX'!$R:$R,MATCH($A18,'Valo FX'!$A:$A,0)),INDEX(Base!$U:$U,MATCH($A18,Base!$A:$A,0)),IF(BM$1=INDEX('Valo FX'!$R:$R,MATCH($A18,'Valo FX'!$A:$A,0)),INDEX(Base!$V:$V,MATCH($A18,Base!$A:$A,0)),0)))</f>
        <v>11.648244999999999</v>
      </c>
      <c r="BN18" s="21">
        <f>IF(BN$1&lt;INDEX('Valo FX'!$Q:$Q,MATCH($A18,'Valo FX'!$A:$A,0)),0,IF(BN$1&lt;INDEX('Valo FX'!$R:$R,MATCH($A18,'Valo FX'!$A:$A,0)),INDEX(Base!$U:$U,MATCH($A18,Base!$A:$A,0)),IF(BN$1=INDEX('Valo FX'!$R:$R,MATCH($A18,'Valo FX'!$A:$A,0)),INDEX(Base!$V:$V,MATCH($A18,Base!$A:$A,0)),0)))</f>
        <v>11.648244999999999</v>
      </c>
      <c r="BO18" s="21">
        <f>IF(BO$1&lt;INDEX('Valo FX'!$Q:$Q,MATCH($A18,'Valo FX'!$A:$A,0)),0,IF(BO$1&lt;INDEX('Valo FX'!$R:$R,MATCH($A18,'Valo FX'!$A:$A,0)),INDEX(Base!$U:$U,MATCH($A18,Base!$A:$A,0)),IF(BO$1=INDEX('Valo FX'!$R:$R,MATCH($A18,'Valo FX'!$A:$A,0)),INDEX(Base!$V:$V,MATCH($A18,Base!$A:$A,0)),0)))</f>
        <v>11.648244999999999</v>
      </c>
      <c r="BP18" s="21">
        <f>IF(BP$1&lt;INDEX('Valo FX'!$Q:$Q,MATCH($A18,'Valo FX'!$A:$A,0)),0,IF(BP$1&lt;INDEX('Valo FX'!$R:$R,MATCH($A18,'Valo FX'!$A:$A,0)),INDEX(Base!$U:$U,MATCH($A18,Base!$A:$A,0)),IF(BP$1=INDEX('Valo FX'!$R:$R,MATCH($A18,'Valo FX'!$A:$A,0)),INDEX(Base!$V:$V,MATCH($A18,Base!$A:$A,0)),0)))</f>
        <v>11.648244999999999</v>
      </c>
      <c r="BQ18" s="21">
        <f>IF(BQ$1&lt;INDEX('Valo FX'!$Q:$Q,MATCH($A18,'Valo FX'!$A:$A,0)),0,IF(BQ$1&lt;INDEX('Valo FX'!$R:$R,MATCH($A18,'Valo FX'!$A:$A,0)),INDEX(Base!$U:$U,MATCH($A18,Base!$A:$A,0)),IF(BQ$1=INDEX('Valo FX'!$R:$R,MATCH($A18,'Valo FX'!$A:$A,0)),INDEX(Base!$V:$V,MATCH($A18,Base!$A:$A,0)),0)))</f>
        <v>11.648244999999999</v>
      </c>
      <c r="BR18" s="21">
        <f>IF(BR$1&lt;INDEX('Valo FX'!$Q:$Q,MATCH($A18,'Valo FX'!$A:$A,0)),0,IF(BR$1&lt;INDEX('Valo FX'!$R:$R,MATCH($A18,'Valo FX'!$A:$A,0)),INDEX(Base!$U:$U,MATCH($A18,Base!$A:$A,0)),IF(BR$1=INDEX('Valo FX'!$R:$R,MATCH($A18,'Valo FX'!$A:$A,0)),INDEX(Base!$V:$V,MATCH($A18,Base!$A:$A,0)),0)))</f>
        <v>11.648244999999999</v>
      </c>
      <c r="BS18" s="21">
        <f>IF(BS$1&lt;INDEX('Valo FX'!$Q:$Q,MATCH($A18,'Valo FX'!$A:$A,0)),0,IF(BS$1&lt;INDEX('Valo FX'!$R:$R,MATCH($A18,'Valo FX'!$A:$A,0)),INDEX(Base!$U:$U,MATCH($A18,Base!$A:$A,0)),IF(BS$1=INDEX('Valo FX'!$R:$R,MATCH($A18,'Valo FX'!$A:$A,0)),INDEX(Base!$V:$V,MATCH($A18,Base!$A:$A,0)),0)))</f>
        <v>11.648244999999999</v>
      </c>
      <c r="BT18" s="21">
        <f>IF(BT$1&lt;INDEX('Valo FX'!$Q:$Q,MATCH($A18,'Valo FX'!$A:$A,0)),0,IF(BT$1&lt;INDEX('Valo FX'!$R:$R,MATCH($A18,'Valo FX'!$A:$A,0)),INDEX(Base!$U:$U,MATCH($A18,Base!$A:$A,0)),IF(BT$1=INDEX('Valo FX'!$R:$R,MATCH($A18,'Valo FX'!$A:$A,0)),INDEX(Base!$V:$V,MATCH($A18,Base!$A:$A,0)),0)))</f>
        <v>11.648244999999999</v>
      </c>
      <c r="BU18" s="21">
        <f>IF(BU$1&lt;INDEX('Valo FX'!$Q:$Q,MATCH($A18,'Valo FX'!$A:$A,0)),0,IF(BU$1&lt;INDEX('Valo FX'!$R:$R,MATCH($A18,'Valo FX'!$A:$A,0)),INDEX(Base!$U:$U,MATCH($A18,Base!$A:$A,0)),IF(BU$1=INDEX('Valo FX'!$R:$R,MATCH($A18,'Valo FX'!$A:$A,0)),INDEX(Base!$V:$V,MATCH($A18,Base!$A:$A,0)),0)))</f>
        <v>11.648244999999999</v>
      </c>
      <c r="BV18" s="21">
        <f>IF(BV$1&lt;INDEX('Valo FX'!$Q:$Q,MATCH($A18,'Valo FX'!$A:$A,0)),0,IF(BV$1&lt;INDEX('Valo FX'!$R:$R,MATCH($A18,'Valo FX'!$A:$A,0)),INDEX(Base!$U:$U,MATCH($A18,Base!$A:$A,0)),IF(BV$1=INDEX('Valo FX'!$R:$R,MATCH($A18,'Valo FX'!$A:$A,0)),INDEX(Base!$V:$V,MATCH($A18,Base!$A:$A,0)),0)))</f>
        <v>11.648244999999999</v>
      </c>
      <c r="BW18" s="21">
        <f>IF(BW$1&lt;INDEX('Valo FX'!$Q:$Q,MATCH($A18,'Valo FX'!$A:$A,0)),0,IF(BW$1&lt;INDEX('Valo FX'!$R:$R,MATCH($A18,'Valo FX'!$A:$A,0)),INDEX(Base!$U:$U,MATCH($A18,Base!$A:$A,0)),IF(BW$1=INDEX('Valo FX'!$R:$R,MATCH($A18,'Valo FX'!$A:$A,0)),INDEX(Base!$V:$V,MATCH($A18,Base!$A:$A,0)),0)))</f>
        <v>11.648244999999999</v>
      </c>
      <c r="BX18" s="21">
        <f>IF(BX$1&lt;INDEX('Valo FX'!$Q:$Q,MATCH($A18,'Valo FX'!$A:$A,0)),0,IF(BX$1&lt;INDEX('Valo FX'!$R:$R,MATCH($A18,'Valo FX'!$A:$A,0)),INDEX(Base!$U:$U,MATCH($A18,Base!$A:$A,0)),IF(BX$1=INDEX('Valo FX'!$R:$R,MATCH($A18,'Valo FX'!$A:$A,0)),INDEX(Base!$V:$V,MATCH($A18,Base!$A:$A,0)),0)))</f>
        <v>11.648244999999999</v>
      </c>
      <c r="BY18" s="21">
        <f>IF(BY$1&lt;INDEX('Valo FX'!$Q:$Q,MATCH($A18,'Valo FX'!$A:$A,0)),0,IF(BY$1&lt;INDEX('Valo FX'!$R:$R,MATCH($A18,'Valo FX'!$A:$A,0)),INDEX(Base!$U:$U,MATCH($A18,Base!$A:$A,0)),IF(BY$1=INDEX('Valo FX'!$R:$R,MATCH($A18,'Valo FX'!$A:$A,0)),INDEX(Base!$V:$V,MATCH($A18,Base!$A:$A,0)),0)))</f>
        <v>11.648244999999999</v>
      </c>
      <c r="BZ18" s="21">
        <f>IF(BZ$1&lt;INDEX('Valo FX'!$Q:$Q,MATCH($A18,'Valo FX'!$A:$A,0)),0,IF(BZ$1&lt;INDEX('Valo FX'!$R:$R,MATCH($A18,'Valo FX'!$A:$A,0)),INDEX(Base!$U:$U,MATCH($A18,Base!$A:$A,0)),IF(BZ$1=INDEX('Valo FX'!$R:$R,MATCH($A18,'Valo FX'!$A:$A,0)),INDEX(Base!$V:$V,MATCH($A18,Base!$A:$A,0)),0)))</f>
        <v>11.648244999999999</v>
      </c>
      <c r="CA18" s="21">
        <f>IF(CA$1&lt;INDEX('Valo FX'!$Q:$Q,MATCH($A18,'Valo FX'!$A:$A,0)),0,IF(CA$1&lt;INDEX('Valo FX'!$R:$R,MATCH($A18,'Valo FX'!$A:$A,0)),INDEX(Base!$U:$U,MATCH($A18,Base!$A:$A,0)),IF(CA$1=INDEX('Valo FX'!$R:$R,MATCH($A18,'Valo FX'!$A:$A,0)),INDEX(Base!$V:$V,MATCH($A18,Base!$A:$A,0)),0)))</f>
        <v>11.648244999999999</v>
      </c>
      <c r="CB18" s="21">
        <f>IF(CB$1&lt;INDEX('Valo FX'!$Q:$Q,MATCH($A18,'Valo FX'!$A:$A,0)),0,IF(CB$1&lt;INDEX('Valo FX'!$R:$R,MATCH($A18,'Valo FX'!$A:$A,0)),INDEX(Base!$U:$U,MATCH($A18,Base!$A:$A,0)),IF(CB$1=INDEX('Valo FX'!$R:$R,MATCH($A18,'Valo FX'!$A:$A,0)),INDEX(Base!$V:$V,MATCH($A18,Base!$A:$A,0)),0)))</f>
        <v>11.648244999999999</v>
      </c>
      <c r="CC18" s="21">
        <f>IF(CC$1&lt;INDEX('Valo FX'!$Q:$Q,MATCH($A18,'Valo FX'!$A:$A,0)),0,IF(CC$1&lt;INDEX('Valo FX'!$R:$R,MATCH($A18,'Valo FX'!$A:$A,0)),INDEX(Base!$U:$U,MATCH($A18,Base!$A:$A,0)),IF(CC$1=INDEX('Valo FX'!$R:$R,MATCH($A18,'Valo FX'!$A:$A,0)),INDEX(Base!$V:$V,MATCH($A18,Base!$A:$A,0)),0)))</f>
        <v>11.648244999999999</v>
      </c>
      <c r="CD18" s="21">
        <f>IF(CD$1&lt;INDEX('Valo FX'!$Q:$Q,MATCH($A18,'Valo FX'!$A:$A,0)),0,IF(CD$1&lt;INDEX('Valo FX'!$R:$R,MATCH($A18,'Valo FX'!$A:$A,0)),INDEX(Base!$U:$U,MATCH($A18,Base!$A:$A,0)),IF(CD$1=INDEX('Valo FX'!$R:$R,MATCH($A18,'Valo FX'!$A:$A,0)),INDEX(Base!$V:$V,MATCH($A18,Base!$A:$A,0)),0)))</f>
        <v>11.648244999999999</v>
      </c>
      <c r="CE18" s="21">
        <f>IF(CE$1&lt;INDEX('Valo FX'!$Q:$Q,MATCH($A18,'Valo FX'!$A:$A,0)),0,IF(CE$1&lt;INDEX('Valo FX'!$R:$R,MATCH($A18,'Valo FX'!$A:$A,0)),INDEX(Base!$U:$U,MATCH($A18,Base!$A:$A,0)),IF(CE$1=INDEX('Valo FX'!$R:$R,MATCH($A18,'Valo FX'!$A:$A,0)),INDEX(Base!$V:$V,MATCH($A18,Base!$A:$A,0)),0)))</f>
        <v>11.648244999999999</v>
      </c>
      <c r="CF18" s="21">
        <f>IF(CF$1&lt;INDEX('Valo FX'!$Q:$Q,MATCH($A18,'Valo FX'!$A:$A,0)),0,IF(CF$1&lt;INDEX('Valo FX'!$R:$R,MATCH($A18,'Valo FX'!$A:$A,0)),INDEX(Base!$U:$U,MATCH($A18,Base!$A:$A,0)),IF(CF$1=INDEX('Valo FX'!$R:$R,MATCH($A18,'Valo FX'!$A:$A,0)),INDEX(Base!$V:$V,MATCH($A18,Base!$A:$A,0)),0)))</f>
        <v>11.648244999999999</v>
      </c>
      <c r="CG18" s="21">
        <f>IF(CG$1&lt;INDEX('Valo FX'!$Q:$Q,MATCH($A18,'Valo FX'!$A:$A,0)),0,IF(CG$1&lt;INDEX('Valo FX'!$R:$R,MATCH($A18,'Valo FX'!$A:$A,0)),INDEX(Base!$U:$U,MATCH($A18,Base!$A:$A,0)),IF(CG$1=INDEX('Valo FX'!$R:$R,MATCH($A18,'Valo FX'!$A:$A,0)),INDEX(Base!$V:$V,MATCH($A18,Base!$A:$A,0)),0)))</f>
        <v>11.648244999999999</v>
      </c>
      <c r="CH18" s="21">
        <f>IF(CH$1&lt;INDEX('Valo FX'!$Q:$Q,MATCH($A18,'Valo FX'!$A:$A,0)),0,IF(CH$1&lt;INDEX('Valo FX'!$R:$R,MATCH($A18,'Valo FX'!$A:$A,0)),INDEX(Base!$U:$U,MATCH($A18,Base!$A:$A,0)),IF(CH$1=INDEX('Valo FX'!$R:$R,MATCH($A18,'Valo FX'!$A:$A,0)),INDEX(Base!$V:$V,MATCH($A18,Base!$A:$A,0)),0)))</f>
        <v>11.648244999999999</v>
      </c>
      <c r="CI18" s="21">
        <f>IF(CI$1&lt;INDEX('Valo FX'!$Q:$Q,MATCH($A18,'Valo FX'!$A:$A,0)),0,IF(CI$1&lt;INDEX('Valo FX'!$R:$R,MATCH($A18,'Valo FX'!$A:$A,0)),INDEX(Base!$U:$U,MATCH($A18,Base!$A:$A,0)),IF(CI$1=INDEX('Valo FX'!$R:$R,MATCH($A18,'Valo FX'!$A:$A,0)),INDEX(Base!$V:$V,MATCH($A18,Base!$A:$A,0)),0)))</f>
        <v>11.648244999999999</v>
      </c>
      <c r="CJ18" s="21">
        <f>IF(CJ$1&lt;INDEX('Valo FX'!$Q:$Q,MATCH($A18,'Valo FX'!$A:$A,0)),0,IF(CJ$1&lt;INDEX('Valo FX'!$R:$R,MATCH($A18,'Valo FX'!$A:$A,0)),INDEX(Base!$U:$U,MATCH($A18,Base!$A:$A,0)),IF(CJ$1=INDEX('Valo FX'!$R:$R,MATCH($A18,'Valo FX'!$A:$A,0)),INDEX(Base!$V:$V,MATCH($A18,Base!$A:$A,0)),0)))</f>
        <v>11.648244999999999</v>
      </c>
      <c r="CK18" s="21">
        <f>IF(CK$1&lt;INDEX('Valo FX'!$Q:$Q,MATCH($A18,'Valo FX'!$A:$A,0)),0,IF(CK$1&lt;INDEX('Valo FX'!$R:$R,MATCH($A18,'Valo FX'!$A:$A,0)),INDEX(Base!$U:$U,MATCH($A18,Base!$A:$A,0)),IF(CK$1=INDEX('Valo FX'!$R:$R,MATCH($A18,'Valo FX'!$A:$A,0)),INDEX(Base!$V:$V,MATCH($A18,Base!$A:$A,0)),0)))</f>
        <v>11.648244999999999</v>
      </c>
      <c r="CL18" s="21">
        <f>IF(CL$1&lt;INDEX('Valo FX'!$Q:$Q,MATCH($A18,'Valo FX'!$A:$A,0)),0,IF(CL$1&lt;INDEX('Valo FX'!$R:$R,MATCH($A18,'Valo FX'!$A:$A,0)),INDEX(Base!$U:$U,MATCH($A18,Base!$A:$A,0)),IF(CL$1=INDEX('Valo FX'!$R:$R,MATCH($A18,'Valo FX'!$A:$A,0)),INDEX(Base!$V:$V,MATCH($A18,Base!$A:$A,0)),0)))</f>
        <v>11.648244999999999</v>
      </c>
      <c r="CM18" s="21">
        <f>IF(CM$1&lt;INDEX('Valo FX'!$Q:$Q,MATCH($A18,'Valo FX'!$A:$A,0)),0,IF(CM$1&lt;INDEX('Valo FX'!$R:$R,MATCH($A18,'Valo FX'!$A:$A,0)),INDEX(Base!$U:$U,MATCH($A18,Base!$A:$A,0)),IF(CM$1=INDEX('Valo FX'!$R:$R,MATCH($A18,'Valo FX'!$A:$A,0)),INDEX(Base!$V:$V,MATCH($A18,Base!$A:$A,0)),0)))</f>
        <v>11.648244999999999</v>
      </c>
      <c r="CN18" s="21">
        <f>IF(CN$1&lt;INDEX('Valo FX'!$Q:$Q,MATCH($A18,'Valo FX'!$A:$A,0)),0,IF(CN$1&lt;INDEX('Valo FX'!$R:$R,MATCH($A18,'Valo FX'!$A:$A,0)),INDEX(Base!$U:$U,MATCH($A18,Base!$A:$A,0)),IF(CN$1=INDEX('Valo FX'!$R:$R,MATCH($A18,'Valo FX'!$A:$A,0)),INDEX(Base!$V:$V,MATCH($A18,Base!$A:$A,0)),0)))</f>
        <v>11.648244999999999</v>
      </c>
      <c r="CO18" s="21">
        <f>IF(CO$1&lt;INDEX('Valo FX'!$Q:$Q,MATCH($A18,'Valo FX'!$A:$A,0)),0,IF(CO$1&lt;INDEX('Valo FX'!$R:$R,MATCH($A18,'Valo FX'!$A:$A,0)),INDEX(Base!$U:$U,MATCH($A18,Base!$A:$A,0)),IF(CO$1=INDEX('Valo FX'!$R:$R,MATCH($A18,'Valo FX'!$A:$A,0)),INDEX(Base!$V:$V,MATCH($A18,Base!$A:$A,0)),0)))</f>
        <v>11.648244999999999</v>
      </c>
      <c r="CP18" s="21">
        <f>IF(CP$1&lt;INDEX('Valo FX'!$Q:$Q,MATCH($A18,'Valo FX'!$A:$A,0)),0,IF(CP$1&lt;INDEX('Valo FX'!$R:$R,MATCH($A18,'Valo FX'!$A:$A,0)),INDEX(Base!$U:$U,MATCH($A18,Base!$A:$A,0)),IF(CP$1=INDEX('Valo FX'!$R:$R,MATCH($A18,'Valo FX'!$A:$A,0)),INDEX(Base!$V:$V,MATCH($A18,Base!$A:$A,0)),0)))</f>
        <v>11.648244999999999</v>
      </c>
      <c r="CQ18" s="21">
        <f>IF(CQ$1&lt;INDEX('Valo FX'!$Q:$Q,MATCH($A18,'Valo FX'!$A:$A,0)),0,IF(CQ$1&lt;INDEX('Valo FX'!$R:$R,MATCH($A18,'Valo FX'!$A:$A,0)),INDEX(Base!$U:$U,MATCH($A18,Base!$A:$A,0)),IF(CQ$1=INDEX('Valo FX'!$R:$R,MATCH($A18,'Valo FX'!$A:$A,0)),INDEX(Base!$V:$V,MATCH($A18,Base!$A:$A,0)),0)))</f>
        <v>11.648244999999999</v>
      </c>
      <c r="CR18" s="21">
        <f>IF(CR$1&lt;INDEX('Valo FX'!$Q:$Q,MATCH($A18,'Valo FX'!$A:$A,0)),0,IF(CR$1&lt;INDEX('Valo FX'!$R:$R,MATCH($A18,'Valo FX'!$A:$A,0)),INDEX(Base!$U:$U,MATCH($A18,Base!$A:$A,0)),IF(CR$1=INDEX('Valo FX'!$R:$R,MATCH($A18,'Valo FX'!$A:$A,0)),INDEX(Base!$V:$V,MATCH($A18,Base!$A:$A,0)),0)))</f>
        <v>11.648244999999999</v>
      </c>
      <c r="CS18" s="21">
        <f>IF(CS$1&lt;INDEX('Valo FX'!$Q:$Q,MATCH($A18,'Valo FX'!$A:$A,0)),0,IF(CS$1&lt;INDEX('Valo FX'!$R:$R,MATCH($A18,'Valo FX'!$A:$A,0)),INDEX(Base!$U:$U,MATCH($A18,Base!$A:$A,0)),IF(CS$1=INDEX('Valo FX'!$R:$R,MATCH($A18,'Valo FX'!$A:$A,0)),INDEX(Base!$V:$V,MATCH($A18,Base!$A:$A,0)),0)))</f>
        <v>11.648244999999999</v>
      </c>
      <c r="CT18" s="21">
        <f>IF(CT$1&lt;INDEX('Valo FX'!$Q:$Q,MATCH($A18,'Valo FX'!$A:$A,0)),0,IF(CT$1&lt;INDEX('Valo FX'!$R:$R,MATCH($A18,'Valo FX'!$A:$A,0)),INDEX(Base!$U:$U,MATCH($A18,Base!$A:$A,0)),IF(CT$1=INDEX('Valo FX'!$R:$R,MATCH($A18,'Valo FX'!$A:$A,0)),INDEX(Base!$V:$V,MATCH($A18,Base!$A:$A,0)),0)))</f>
        <v>11.648244999999999</v>
      </c>
      <c r="CU18" s="21">
        <f>IF(CU$1&lt;INDEX('Valo FX'!$Q:$Q,MATCH($A18,'Valo FX'!$A:$A,0)),0,IF(CU$1&lt;INDEX('Valo FX'!$R:$R,MATCH($A18,'Valo FX'!$A:$A,0)),INDEX(Base!$U:$U,MATCH($A18,Base!$A:$A,0)),IF(CU$1=INDEX('Valo FX'!$R:$R,MATCH($A18,'Valo FX'!$A:$A,0)),INDEX(Base!$V:$V,MATCH($A18,Base!$A:$A,0)),0)))</f>
        <v>11.648244999999999</v>
      </c>
      <c r="CV18" s="21">
        <f>IF(CV$1&lt;INDEX('Valo FX'!$Q:$Q,MATCH($A18,'Valo FX'!$A:$A,0)),0,IF(CV$1&lt;INDEX('Valo FX'!$R:$R,MATCH($A18,'Valo FX'!$A:$A,0)),INDEX(Base!$U:$U,MATCH($A18,Base!$A:$A,0)),IF(CV$1=INDEX('Valo FX'!$R:$R,MATCH($A18,'Valo FX'!$A:$A,0)),INDEX(Base!$V:$V,MATCH($A18,Base!$A:$A,0)),0)))</f>
        <v>11.648244999999999</v>
      </c>
      <c r="CW18" s="21">
        <f>IF(CW$1&lt;INDEX('Valo FX'!$Q:$Q,MATCH($A18,'Valo FX'!$A:$A,0)),0,IF(CW$1&lt;INDEX('Valo FX'!$R:$R,MATCH($A18,'Valo FX'!$A:$A,0)),INDEX(Base!$U:$U,MATCH($A18,Base!$A:$A,0)),IF(CW$1=INDEX('Valo FX'!$R:$R,MATCH($A18,'Valo FX'!$A:$A,0)),INDEX(Base!$V:$V,MATCH($A18,Base!$A:$A,0)),0)))</f>
        <v>11.648244999999999</v>
      </c>
      <c r="CX18" s="21">
        <f>IF(CX$1&lt;INDEX('Valo FX'!$Q:$Q,MATCH($A18,'Valo FX'!$A:$A,0)),0,IF(CX$1&lt;INDEX('Valo FX'!$R:$R,MATCH($A18,'Valo FX'!$A:$A,0)),INDEX(Base!$U:$U,MATCH($A18,Base!$A:$A,0)),IF(CX$1=INDEX('Valo FX'!$R:$R,MATCH($A18,'Valo FX'!$A:$A,0)),INDEX(Base!$V:$V,MATCH($A18,Base!$A:$A,0)),0)))</f>
        <v>11.648244999999999</v>
      </c>
      <c r="CY18" s="21">
        <f>IF(CY$1&lt;INDEX('Valo FX'!$Q:$Q,MATCH($A18,'Valo FX'!$A:$A,0)),0,IF(CY$1&lt;INDEX('Valo FX'!$R:$R,MATCH($A18,'Valo FX'!$A:$A,0)),INDEX(Base!$U:$U,MATCH($A18,Base!$A:$A,0)),IF(CY$1=INDEX('Valo FX'!$R:$R,MATCH($A18,'Valo FX'!$A:$A,0)),INDEX(Base!$V:$V,MATCH($A18,Base!$A:$A,0)),0)))</f>
        <v>11.648244999999999</v>
      </c>
      <c r="CZ18" s="21">
        <f>IF(CZ$1&lt;INDEX('Valo FX'!$Q:$Q,MATCH($A18,'Valo FX'!$A:$A,0)),0,IF(CZ$1&lt;INDEX('Valo FX'!$R:$R,MATCH($A18,'Valo FX'!$A:$A,0)),INDEX(Base!$U:$U,MATCH($A18,Base!$A:$A,0)),IF(CZ$1=INDEX('Valo FX'!$R:$R,MATCH($A18,'Valo FX'!$A:$A,0)),INDEX(Base!$V:$V,MATCH($A18,Base!$A:$A,0)),0)))</f>
        <v>11.648244999999999</v>
      </c>
      <c r="DA18" s="21">
        <f>IF(DA$1&lt;INDEX('Valo FX'!$Q:$Q,MATCH($A18,'Valo FX'!$A:$A,0)),0,IF(DA$1&lt;INDEX('Valo FX'!$R:$R,MATCH($A18,'Valo FX'!$A:$A,0)),INDEX(Base!$U:$U,MATCH($A18,Base!$A:$A,0)),IF(DA$1=INDEX('Valo FX'!$R:$R,MATCH($A18,'Valo FX'!$A:$A,0)),INDEX(Base!$V:$V,MATCH($A18,Base!$A:$A,0)),0)))</f>
        <v>11.648244999999999</v>
      </c>
      <c r="DB18" s="21">
        <f>IF(DB$1&lt;INDEX('Valo FX'!$Q:$Q,MATCH($A18,'Valo FX'!$A:$A,0)),0,IF(DB$1&lt;INDEX('Valo FX'!$R:$R,MATCH($A18,'Valo FX'!$A:$A,0)),INDEX(Base!$U:$U,MATCH($A18,Base!$A:$A,0)),IF(DB$1=INDEX('Valo FX'!$R:$R,MATCH($A18,'Valo FX'!$A:$A,0)),INDEX(Base!$V:$V,MATCH($A18,Base!$A:$A,0)),0)))</f>
        <v>11.648244999999999</v>
      </c>
      <c r="DC18" s="21">
        <f>IF(DC$1&lt;INDEX('Valo FX'!$Q:$Q,MATCH($A18,'Valo FX'!$A:$A,0)),0,IF(DC$1&lt;INDEX('Valo FX'!$R:$R,MATCH($A18,'Valo FX'!$A:$A,0)),INDEX(Base!$U:$U,MATCH($A18,Base!$A:$A,0)),IF(DC$1=INDEX('Valo FX'!$R:$R,MATCH($A18,'Valo FX'!$A:$A,0)),INDEX(Base!$V:$V,MATCH($A18,Base!$A:$A,0)),0)))</f>
        <v>11.648244999999999</v>
      </c>
      <c r="DD18" s="21">
        <f>IF(DD$1&lt;INDEX('Valo FX'!$Q:$Q,MATCH($A18,'Valo FX'!$A:$A,0)),0,IF(DD$1&lt;INDEX('Valo FX'!$R:$R,MATCH($A18,'Valo FX'!$A:$A,0)),INDEX(Base!$U:$U,MATCH($A18,Base!$A:$A,0)),IF(DD$1=INDEX('Valo FX'!$R:$R,MATCH($A18,'Valo FX'!$A:$A,0)),INDEX(Base!$V:$V,MATCH($A18,Base!$A:$A,0)),0)))</f>
        <v>11.648244999999999</v>
      </c>
      <c r="DE18" s="21">
        <f>IF(DE$1&lt;INDEX('Valo FX'!$Q:$Q,MATCH($A18,'Valo FX'!$A:$A,0)),0,IF(DE$1&lt;INDEX('Valo FX'!$R:$R,MATCH($A18,'Valo FX'!$A:$A,0)),INDEX(Base!$U:$U,MATCH($A18,Base!$A:$A,0)),IF(DE$1=INDEX('Valo FX'!$R:$R,MATCH($A18,'Valo FX'!$A:$A,0)),INDEX(Base!$V:$V,MATCH($A18,Base!$A:$A,0)),0)))</f>
        <v>11.648244999999999</v>
      </c>
      <c r="DF18" s="21">
        <f>IF(DF$1&lt;INDEX('Valo FX'!$Q:$Q,MATCH($A18,'Valo FX'!$A:$A,0)),0,IF(DF$1&lt;INDEX('Valo FX'!$R:$R,MATCH($A18,'Valo FX'!$A:$A,0)),INDEX(Base!$U:$U,MATCH($A18,Base!$A:$A,0)),IF(DF$1=INDEX('Valo FX'!$R:$R,MATCH($A18,'Valo FX'!$A:$A,0)),INDEX(Base!$V:$V,MATCH($A18,Base!$A:$A,0)),0)))</f>
        <v>11.648244999999999</v>
      </c>
      <c r="DG18" s="21">
        <f>IF(DG$1&lt;INDEX('Valo FX'!$Q:$Q,MATCH($A18,'Valo FX'!$A:$A,0)),0,IF(DG$1&lt;INDEX('Valo FX'!$R:$R,MATCH($A18,'Valo FX'!$A:$A,0)),INDEX(Base!$U:$U,MATCH($A18,Base!$A:$A,0)),IF(DG$1=INDEX('Valo FX'!$R:$R,MATCH($A18,'Valo FX'!$A:$A,0)),INDEX(Base!$V:$V,MATCH($A18,Base!$A:$A,0)),0)))</f>
        <v>11.648244999999999</v>
      </c>
      <c r="DH18" s="21">
        <f>IF(DH$1&lt;INDEX('Valo FX'!$Q:$Q,MATCH($A18,'Valo FX'!$A:$A,0)),0,IF(DH$1&lt;INDEX('Valo FX'!$R:$R,MATCH($A18,'Valo FX'!$A:$A,0)),INDEX(Base!$U:$U,MATCH($A18,Base!$A:$A,0)),IF(DH$1=INDEX('Valo FX'!$R:$R,MATCH($A18,'Valo FX'!$A:$A,0)),INDEX(Base!$V:$V,MATCH($A18,Base!$A:$A,0)),0)))</f>
        <v>11.648244999999999</v>
      </c>
      <c r="DI18" s="21">
        <f>IF(DI$1&lt;INDEX('Valo FX'!$Q:$Q,MATCH($A18,'Valo FX'!$A:$A,0)),0,IF(DI$1&lt;INDEX('Valo FX'!$R:$R,MATCH($A18,'Valo FX'!$A:$A,0)),INDEX(Base!$U:$U,MATCH($A18,Base!$A:$A,0)),IF(DI$1=INDEX('Valo FX'!$R:$R,MATCH($A18,'Valo FX'!$A:$A,0)),INDEX(Base!$V:$V,MATCH($A18,Base!$A:$A,0)),0)))</f>
        <v>11.648244999999999</v>
      </c>
      <c r="DJ18" s="21">
        <f>IF(DJ$1&lt;INDEX('Valo FX'!$Q:$Q,MATCH($A18,'Valo FX'!$A:$A,0)),0,IF(DJ$1&lt;INDEX('Valo FX'!$R:$R,MATCH($A18,'Valo FX'!$A:$A,0)),INDEX(Base!$U:$U,MATCH($A18,Base!$A:$A,0)),IF(DJ$1=INDEX('Valo FX'!$R:$R,MATCH($A18,'Valo FX'!$A:$A,0)),INDEX(Base!$V:$V,MATCH($A18,Base!$A:$A,0)),0)))</f>
        <v>11.648244999999999</v>
      </c>
      <c r="DK18" s="21">
        <f>IF(DK$1&lt;INDEX('Valo FX'!$Q:$Q,MATCH($A18,'Valo FX'!$A:$A,0)),0,IF(DK$1&lt;INDEX('Valo FX'!$R:$R,MATCH($A18,'Valo FX'!$A:$A,0)),INDEX(Base!$U:$U,MATCH($A18,Base!$A:$A,0)),IF(DK$1=INDEX('Valo FX'!$R:$R,MATCH($A18,'Valo FX'!$A:$A,0)),INDEX(Base!$V:$V,MATCH($A18,Base!$A:$A,0)),0)))</f>
        <v>11.648244999999999</v>
      </c>
      <c r="DL18" s="21">
        <f>IF(DL$1&lt;INDEX('Valo FX'!$Q:$Q,MATCH($A18,'Valo FX'!$A:$A,0)),0,IF(DL$1&lt;INDEX('Valo FX'!$R:$R,MATCH($A18,'Valo FX'!$A:$A,0)),INDEX(Base!$U:$U,MATCH($A18,Base!$A:$A,0)),IF(DL$1=INDEX('Valo FX'!$R:$R,MATCH($A18,'Valo FX'!$A:$A,0)),INDEX(Base!$V:$V,MATCH($A18,Base!$A:$A,0)),0)))</f>
        <v>11.648244999999999</v>
      </c>
      <c r="DM18" s="21">
        <f>IF(DM$1&lt;INDEX('Valo FX'!$Q:$Q,MATCH($A18,'Valo FX'!$A:$A,0)),0,IF(DM$1&lt;INDEX('Valo FX'!$R:$R,MATCH($A18,'Valo FX'!$A:$A,0)),INDEX(Base!$U:$U,MATCH($A18,Base!$A:$A,0)),IF(DM$1=INDEX('Valo FX'!$R:$R,MATCH($A18,'Valo FX'!$A:$A,0)),INDEX(Base!$V:$V,MATCH($A18,Base!$A:$A,0)),0)))</f>
        <v>11.648244999999999</v>
      </c>
      <c r="DN18" s="21">
        <f>IF(DN$1&lt;INDEX('Valo FX'!$Q:$Q,MATCH($A18,'Valo FX'!$A:$A,0)),0,IF(DN$1&lt;INDEX('Valo FX'!$R:$R,MATCH($A18,'Valo FX'!$A:$A,0)),INDEX(Base!$U:$U,MATCH($A18,Base!$A:$A,0)),IF(DN$1=INDEX('Valo FX'!$R:$R,MATCH($A18,'Valo FX'!$A:$A,0)),INDEX(Base!$V:$V,MATCH($A18,Base!$A:$A,0)),0)))</f>
        <v>11.648244999999999</v>
      </c>
      <c r="DO18" s="21">
        <f>IF(DO$1&lt;INDEX('Valo FX'!$Q:$Q,MATCH($A18,'Valo FX'!$A:$A,0)),0,IF(DO$1&lt;INDEX('Valo FX'!$R:$R,MATCH($A18,'Valo FX'!$A:$A,0)),INDEX(Base!$U:$U,MATCH($A18,Base!$A:$A,0)),IF(DO$1=INDEX('Valo FX'!$R:$R,MATCH($A18,'Valo FX'!$A:$A,0)),INDEX(Base!$V:$V,MATCH($A18,Base!$A:$A,0)),0)))</f>
        <v>11.648244999999999</v>
      </c>
      <c r="DP18" s="21">
        <f>IF(DP$1&lt;INDEX('Valo FX'!$Q:$Q,MATCH($A18,'Valo FX'!$A:$A,0)),0,IF(DP$1&lt;INDEX('Valo FX'!$R:$R,MATCH($A18,'Valo FX'!$A:$A,0)),INDEX(Base!$U:$U,MATCH($A18,Base!$A:$A,0)),IF(DP$1=INDEX('Valo FX'!$R:$R,MATCH($A18,'Valo FX'!$A:$A,0)),INDEX(Base!$V:$V,MATCH($A18,Base!$A:$A,0)),0)))</f>
        <v>11.648244999999999</v>
      </c>
      <c r="DQ18" s="21">
        <f>IF(DQ$1&lt;INDEX('Valo FX'!$Q:$Q,MATCH($A18,'Valo FX'!$A:$A,0)),0,IF(DQ$1&lt;INDEX('Valo FX'!$R:$R,MATCH($A18,'Valo FX'!$A:$A,0)),INDEX(Base!$U:$U,MATCH($A18,Base!$A:$A,0)),IF(DQ$1=INDEX('Valo FX'!$R:$R,MATCH($A18,'Valo FX'!$A:$A,0)),INDEX(Base!$V:$V,MATCH($A18,Base!$A:$A,0)),0)))</f>
        <v>11.648244999999999</v>
      </c>
      <c r="DR18" s="21">
        <f>IF(DR$1&lt;INDEX('Valo FX'!$Q:$Q,MATCH($A18,'Valo FX'!$A:$A,0)),0,IF(DR$1&lt;INDEX('Valo FX'!$R:$R,MATCH($A18,'Valo FX'!$A:$A,0)),INDEX(Base!$U:$U,MATCH($A18,Base!$A:$A,0)),IF(DR$1=INDEX('Valo FX'!$R:$R,MATCH($A18,'Valo FX'!$A:$A,0)),INDEX(Base!$V:$V,MATCH($A18,Base!$A:$A,0)),0)))</f>
        <v>11.648244999999999</v>
      </c>
      <c r="DS18" s="21">
        <f>IF(DS$1&lt;INDEX('Valo FX'!$Q:$Q,MATCH($A18,'Valo FX'!$A:$A,0)),0,IF(DS$1&lt;INDEX('Valo FX'!$R:$R,MATCH($A18,'Valo FX'!$A:$A,0)),INDEX(Base!$U:$U,MATCH($A18,Base!$A:$A,0)),IF(DS$1=INDEX('Valo FX'!$R:$R,MATCH($A18,'Valo FX'!$A:$A,0)),INDEX(Base!$V:$V,MATCH($A18,Base!$A:$A,0)),0)))</f>
        <v>11.648244999999999</v>
      </c>
      <c r="DT18" s="21">
        <f>IF(DT$1&lt;INDEX('Valo FX'!$Q:$Q,MATCH($A18,'Valo FX'!$A:$A,0)),0,IF(DT$1&lt;INDEX('Valo FX'!$R:$R,MATCH($A18,'Valo FX'!$A:$A,0)),INDEX(Base!$U:$U,MATCH($A18,Base!$A:$A,0)),IF(DT$1=INDEX('Valo FX'!$R:$R,MATCH($A18,'Valo FX'!$A:$A,0)),INDEX(Base!$V:$V,MATCH($A18,Base!$A:$A,0)),0)))</f>
        <v>11.648244999999999</v>
      </c>
      <c r="DU18" s="21">
        <f>IF(DU$1&lt;INDEX('Valo FX'!$Q:$Q,MATCH($A18,'Valo FX'!$A:$A,0)),0,IF(DU$1&lt;INDEX('Valo FX'!$R:$R,MATCH($A18,'Valo FX'!$A:$A,0)),INDEX(Base!$U:$U,MATCH($A18,Base!$A:$A,0)),IF(DU$1=INDEX('Valo FX'!$R:$R,MATCH($A18,'Valo FX'!$A:$A,0)),INDEX(Base!$V:$V,MATCH($A18,Base!$A:$A,0)),0)))</f>
        <v>11.648244999999999</v>
      </c>
      <c r="DV18" s="21">
        <f>IF(DV$1&lt;INDEX('Valo FX'!$Q:$Q,MATCH($A18,'Valo FX'!$A:$A,0)),0,IF(DV$1&lt;INDEX('Valo FX'!$R:$R,MATCH($A18,'Valo FX'!$A:$A,0)),INDEX(Base!$U:$U,MATCH($A18,Base!$A:$A,0)),IF(DV$1=INDEX('Valo FX'!$R:$R,MATCH($A18,'Valo FX'!$A:$A,0)),INDEX(Base!$V:$V,MATCH($A18,Base!$A:$A,0)),0)))</f>
        <v>11.648244999999999</v>
      </c>
      <c r="DW18" s="21">
        <f>IF(DW$1&lt;INDEX('Valo FX'!$Q:$Q,MATCH($A18,'Valo FX'!$A:$A,0)),0,IF(DW$1&lt;INDEX('Valo FX'!$R:$R,MATCH($A18,'Valo FX'!$A:$A,0)),INDEX(Base!$U:$U,MATCH($A18,Base!$A:$A,0)),IF(DW$1=INDEX('Valo FX'!$R:$R,MATCH($A18,'Valo FX'!$A:$A,0)),INDEX(Base!$V:$V,MATCH($A18,Base!$A:$A,0)),0)))</f>
        <v>11.648244999999999</v>
      </c>
      <c r="DX18" s="21">
        <f>IF(DX$1&lt;INDEX('Valo FX'!$Q:$Q,MATCH($A18,'Valo FX'!$A:$A,0)),0,IF(DX$1&lt;INDEX('Valo FX'!$R:$R,MATCH($A18,'Valo FX'!$A:$A,0)),INDEX(Base!$U:$U,MATCH($A18,Base!$A:$A,0)),IF(DX$1=INDEX('Valo FX'!$R:$R,MATCH($A18,'Valo FX'!$A:$A,0)),INDEX(Base!$V:$V,MATCH($A18,Base!$A:$A,0)),0)))</f>
        <v>11.648244999999999</v>
      </c>
      <c r="DY18" s="21">
        <f>IF(DY$1&lt;INDEX('Valo FX'!$Q:$Q,MATCH($A18,'Valo FX'!$A:$A,0)),0,IF(DY$1&lt;INDEX('Valo FX'!$R:$R,MATCH($A18,'Valo FX'!$A:$A,0)),INDEX(Base!$U:$U,MATCH($A18,Base!$A:$A,0)),IF(DY$1=INDEX('Valo FX'!$R:$R,MATCH($A18,'Valo FX'!$A:$A,0)),INDEX(Base!$V:$V,MATCH($A18,Base!$A:$A,0)),0)))</f>
        <v>11.648244999999999</v>
      </c>
      <c r="DZ18" s="21">
        <f>IF(DZ$1&lt;INDEX('Valo FX'!$Q:$Q,MATCH($A18,'Valo FX'!$A:$A,0)),0,IF(DZ$1&lt;INDEX('Valo FX'!$R:$R,MATCH($A18,'Valo FX'!$A:$A,0)),INDEX(Base!$U:$U,MATCH($A18,Base!$A:$A,0)),IF(DZ$1=INDEX('Valo FX'!$R:$R,MATCH($A18,'Valo FX'!$A:$A,0)),INDEX(Base!$V:$V,MATCH($A18,Base!$A:$A,0)),0)))</f>
        <v>11.648244999999999</v>
      </c>
      <c r="EA18" s="21">
        <f>IF(EA$1&lt;INDEX('Valo FX'!$Q:$Q,MATCH($A18,'Valo FX'!$A:$A,0)),0,IF(EA$1&lt;INDEX('Valo FX'!$R:$R,MATCH($A18,'Valo FX'!$A:$A,0)),INDEX(Base!$U:$U,MATCH($A18,Base!$A:$A,0)),IF(EA$1=INDEX('Valo FX'!$R:$R,MATCH($A18,'Valo FX'!$A:$A,0)),INDEX(Base!$V:$V,MATCH($A18,Base!$A:$A,0)),0)))</f>
        <v>11.648244999999999</v>
      </c>
      <c r="EB18" s="21">
        <f>IF(EB$1&lt;INDEX('Valo FX'!$Q:$Q,MATCH($A18,'Valo FX'!$A:$A,0)),0,IF(EB$1&lt;INDEX('Valo FX'!$R:$R,MATCH($A18,'Valo FX'!$A:$A,0)),INDEX(Base!$U:$U,MATCH($A18,Base!$A:$A,0)),IF(EB$1=INDEX('Valo FX'!$R:$R,MATCH($A18,'Valo FX'!$A:$A,0)),INDEX(Base!$V:$V,MATCH($A18,Base!$A:$A,0)),0)))</f>
        <v>11.648244999999999</v>
      </c>
      <c r="EC18" s="21">
        <f>IF(EC$1&lt;INDEX('Valo FX'!$Q:$Q,MATCH($A18,'Valo FX'!$A:$A,0)),0,IF(EC$1&lt;INDEX('Valo FX'!$R:$R,MATCH($A18,'Valo FX'!$A:$A,0)),INDEX(Base!$U:$U,MATCH($A18,Base!$A:$A,0)),IF(EC$1=INDEX('Valo FX'!$R:$R,MATCH($A18,'Valo FX'!$A:$A,0)),INDEX(Base!$V:$V,MATCH($A18,Base!$A:$A,0)),0)))</f>
        <v>11.648244999999999</v>
      </c>
      <c r="ED18" s="21">
        <f>IF(ED$1&lt;INDEX('Valo FX'!$Q:$Q,MATCH($A18,'Valo FX'!$A:$A,0)),0,IF(ED$1&lt;INDEX('Valo FX'!$R:$R,MATCH($A18,'Valo FX'!$A:$A,0)),INDEX(Base!$U:$U,MATCH($A18,Base!$A:$A,0)),IF(ED$1=INDEX('Valo FX'!$R:$R,MATCH($A18,'Valo FX'!$A:$A,0)),INDEX(Base!$V:$V,MATCH($A18,Base!$A:$A,0)),0)))</f>
        <v>11.648244999999999</v>
      </c>
      <c r="EE18" s="21">
        <f>IF(EE$1&lt;INDEX('Valo FX'!$Q:$Q,MATCH($A18,'Valo FX'!$A:$A,0)),0,IF(EE$1&lt;INDEX('Valo FX'!$R:$R,MATCH($A18,'Valo FX'!$A:$A,0)),INDEX(Base!$U:$U,MATCH($A18,Base!$A:$A,0)),IF(EE$1=INDEX('Valo FX'!$R:$R,MATCH($A18,'Valo FX'!$A:$A,0)),INDEX(Base!$V:$V,MATCH($A18,Base!$A:$A,0)),0)))</f>
        <v>11.648244999999999</v>
      </c>
      <c r="EF18" s="21">
        <f>IF(EF$1&lt;INDEX('Valo FX'!$Q:$Q,MATCH($A18,'Valo FX'!$A:$A,0)),0,IF(EF$1&lt;INDEX('Valo FX'!$R:$R,MATCH($A18,'Valo FX'!$A:$A,0)),INDEX(Base!$U:$U,MATCH($A18,Base!$A:$A,0)),IF(EF$1=INDEX('Valo FX'!$R:$R,MATCH($A18,'Valo FX'!$A:$A,0)),INDEX(Base!$V:$V,MATCH($A18,Base!$A:$A,0)),0)))</f>
        <v>11.648244999999999</v>
      </c>
      <c r="EG18" s="21">
        <f>IF(EG$1&lt;INDEX('Valo FX'!$Q:$Q,MATCH($A18,'Valo FX'!$A:$A,0)),0,IF(EG$1&lt;INDEX('Valo FX'!$R:$R,MATCH($A18,'Valo FX'!$A:$A,0)),INDEX(Base!$U:$U,MATCH($A18,Base!$A:$A,0)),IF(EG$1=INDEX('Valo FX'!$R:$R,MATCH($A18,'Valo FX'!$A:$A,0)),INDEX(Base!$V:$V,MATCH($A18,Base!$A:$A,0)),0)))</f>
        <v>11.648244999999999</v>
      </c>
      <c r="EH18" s="21">
        <f>IF(EH$1&lt;INDEX('Valo FX'!$Q:$Q,MATCH($A18,'Valo FX'!$A:$A,0)),0,IF(EH$1&lt;INDEX('Valo FX'!$R:$R,MATCH($A18,'Valo FX'!$A:$A,0)),INDEX(Base!$U:$U,MATCH($A18,Base!$A:$A,0)),IF(EH$1=INDEX('Valo FX'!$R:$R,MATCH($A18,'Valo FX'!$A:$A,0)),INDEX(Base!$V:$V,MATCH($A18,Base!$A:$A,0)),0)))</f>
        <v>11.648244999999999</v>
      </c>
      <c r="EI18" s="21">
        <f>IF(EI$1&lt;INDEX('Valo FX'!$Q:$Q,MATCH($A18,'Valo FX'!$A:$A,0)),0,IF(EI$1&lt;INDEX('Valo FX'!$R:$R,MATCH($A18,'Valo FX'!$A:$A,0)),INDEX(Base!$U:$U,MATCH($A18,Base!$A:$A,0)),IF(EI$1=INDEX('Valo FX'!$R:$R,MATCH($A18,'Valo FX'!$A:$A,0)),INDEX(Base!$V:$V,MATCH($A18,Base!$A:$A,0)),0)))</f>
        <v>11.648244999999999</v>
      </c>
      <c r="EJ18" s="21">
        <f>IF(EJ$1&lt;INDEX('Valo FX'!$Q:$Q,MATCH($A18,'Valo FX'!$A:$A,0)),0,IF(EJ$1&lt;INDEX('Valo FX'!$R:$R,MATCH($A18,'Valo FX'!$A:$A,0)),INDEX(Base!$U:$U,MATCH($A18,Base!$A:$A,0)),IF(EJ$1=INDEX('Valo FX'!$R:$R,MATCH($A18,'Valo FX'!$A:$A,0)),INDEX(Base!$V:$V,MATCH($A18,Base!$A:$A,0)),0)))</f>
        <v>11.648244999999999</v>
      </c>
      <c r="EK18" s="21">
        <f>IF(EK$1&lt;INDEX('Valo FX'!$Q:$Q,MATCH($A18,'Valo FX'!$A:$A,0)),0,IF(EK$1&lt;INDEX('Valo FX'!$R:$R,MATCH($A18,'Valo FX'!$A:$A,0)),INDEX(Base!$U:$U,MATCH($A18,Base!$A:$A,0)),IF(EK$1=INDEX('Valo FX'!$R:$R,MATCH($A18,'Valo FX'!$A:$A,0)),INDEX(Base!$V:$V,MATCH($A18,Base!$A:$A,0)),0)))</f>
        <v>11.648244999999999</v>
      </c>
      <c r="EL18" s="21">
        <f>IF(EL$1&lt;INDEX('Valo FX'!$Q:$Q,MATCH($A18,'Valo FX'!$A:$A,0)),0,IF(EL$1&lt;INDEX('Valo FX'!$R:$R,MATCH($A18,'Valo FX'!$A:$A,0)),INDEX(Base!$U:$U,MATCH($A18,Base!$A:$A,0)),IF(EL$1=INDEX('Valo FX'!$R:$R,MATCH($A18,'Valo FX'!$A:$A,0)),INDEX(Base!$V:$V,MATCH($A18,Base!$A:$A,0)),0)))</f>
        <v>11.648244999999999</v>
      </c>
      <c r="EM18" s="21">
        <f>IF(EM$1&lt;INDEX('Valo FX'!$Q:$Q,MATCH($A18,'Valo FX'!$A:$A,0)),0,IF(EM$1&lt;INDEX('Valo FX'!$R:$R,MATCH($A18,'Valo FX'!$A:$A,0)),INDEX(Base!$U:$U,MATCH($A18,Base!$A:$A,0)),IF(EM$1=INDEX('Valo FX'!$R:$R,MATCH($A18,'Valo FX'!$A:$A,0)),INDEX(Base!$V:$V,MATCH($A18,Base!$A:$A,0)),0)))</f>
        <v>11.648244999999999</v>
      </c>
      <c r="EN18" s="21">
        <f>IF(EN$1&lt;INDEX('Valo FX'!$Q:$Q,MATCH($A18,'Valo FX'!$A:$A,0)),0,IF(EN$1&lt;INDEX('Valo FX'!$R:$R,MATCH($A18,'Valo FX'!$A:$A,0)),INDEX(Base!$U:$U,MATCH($A18,Base!$A:$A,0)),IF(EN$1=INDEX('Valo FX'!$R:$R,MATCH($A18,'Valo FX'!$A:$A,0)),INDEX(Base!$V:$V,MATCH($A18,Base!$A:$A,0)),0)))</f>
        <v>11.648244999999999</v>
      </c>
      <c r="EO18" s="21">
        <f>IF(EO$1&lt;INDEX('Valo FX'!$Q:$Q,MATCH($A18,'Valo FX'!$A:$A,0)),0,IF(EO$1&lt;INDEX('Valo FX'!$R:$R,MATCH($A18,'Valo FX'!$A:$A,0)),INDEX(Base!$U:$U,MATCH($A18,Base!$A:$A,0)),IF(EO$1=INDEX('Valo FX'!$R:$R,MATCH($A18,'Valo FX'!$A:$A,0)),INDEX(Base!$V:$V,MATCH($A18,Base!$A:$A,0)),0)))</f>
        <v>11.648244999999999</v>
      </c>
      <c r="EP18" s="21">
        <f>IF(EP$1&lt;INDEX('Valo FX'!$Q:$Q,MATCH($A18,'Valo FX'!$A:$A,0)),0,IF(EP$1&lt;INDEX('Valo FX'!$R:$R,MATCH($A18,'Valo FX'!$A:$A,0)),INDEX(Base!$U:$U,MATCH($A18,Base!$A:$A,0)),IF(EP$1=INDEX('Valo FX'!$R:$R,MATCH($A18,'Valo FX'!$A:$A,0)),INDEX(Base!$V:$V,MATCH($A18,Base!$A:$A,0)),0)))</f>
        <v>11.648244999999999</v>
      </c>
      <c r="EQ18" s="21">
        <f>IF(EQ$1&lt;INDEX('Valo FX'!$Q:$Q,MATCH($A18,'Valo FX'!$A:$A,0)),0,IF(EQ$1&lt;INDEX('Valo FX'!$R:$R,MATCH($A18,'Valo FX'!$A:$A,0)),INDEX(Base!$U:$U,MATCH($A18,Base!$A:$A,0)),IF(EQ$1=INDEX('Valo FX'!$R:$R,MATCH($A18,'Valo FX'!$A:$A,0)),INDEX(Base!$V:$V,MATCH($A18,Base!$A:$A,0)),0)))</f>
        <v>11.648244999999999</v>
      </c>
      <c r="ER18" s="21">
        <f>IF(ER$1&lt;INDEX('Valo FX'!$Q:$Q,MATCH($A18,'Valo FX'!$A:$A,0)),0,IF(ER$1&lt;INDEX('Valo FX'!$R:$R,MATCH($A18,'Valo FX'!$A:$A,0)),INDEX(Base!$U:$U,MATCH($A18,Base!$A:$A,0)),IF(ER$1=INDEX('Valo FX'!$R:$R,MATCH($A18,'Valo FX'!$A:$A,0)),INDEX(Base!$V:$V,MATCH($A18,Base!$A:$A,0)),0)))</f>
        <v>11.648244999999999</v>
      </c>
      <c r="ES18" s="21">
        <f>IF(ES$1&lt;INDEX('Valo FX'!$Q:$Q,MATCH($A18,'Valo FX'!$A:$A,0)),0,IF(ES$1&lt;INDEX('Valo FX'!$R:$R,MATCH($A18,'Valo FX'!$A:$A,0)),INDEX(Base!$U:$U,MATCH($A18,Base!$A:$A,0)),IF(ES$1=INDEX('Valo FX'!$R:$R,MATCH($A18,'Valo FX'!$A:$A,0)),INDEX(Base!$V:$V,MATCH($A18,Base!$A:$A,0)),0)))</f>
        <v>11.648244999999999</v>
      </c>
      <c r="ET18" s="21">
        <f>IF(ET$1&lt;INDEX('Valo FX'!$Q:$Q,MATCH($A18,'Valo FX'!$A:$A,0)),0,IF(ET$1&lt;INDEX('Valo FX'!$R:$R,MATCH($A18,'Valo FX'!$A:$A,0)),INDEX(Base!$U:$U,MATCH($A18,Base!$A:$A,0)),IF(ET$1=INDEX('Valo FX'!$R:$R,MATCH($A18,'Valo FX'!$A:$A,0)),INDEX(Base!$V:$V,MATCH($A18,Base!$A:$A,0)),0)))</f>
        <v>11.648244999999999</v>
      </c>
      <c r="EU18" s="21">
        <f>IF(EU$1&lt;INDEX('Valo FX'!$Q:$Q,MATCH($A18,'Valo FX'!$A:$A,0)),0,IF(EU$1&lt;INDEX('Valo FX'!$R:$R,MATCH($A18,'Valo FX'!$A:$A,0)),INDEX(Base!$U:$U,MATCH($A18,Base!$A:$A,0)),IF(EU$1=INDEX('Valo FX'!$R:$R,MATCH($A18,'Valo FX'!$A:$A,0)),INDEX(Base!$V:$V,MATCH($A18,Base!$A:$A,0)),0)))</f>
        <v>11.648244999999999</v>
      </c>
      <c r="EV18" s="21">
        <f>IF(EV$1&lt;INDEX('Valo FX'!$Q:$Q,MATCH($A18,'Valo FX'!$A:$A,0)),0,IF(EV$1&lt;INDEX('Valo FX'!$R:$R,MATCH($A18,'Valo FX'!$A:$A,0)),INDEX(Base!$U:$U,MATCH($A18,Base!$A:$A,0)),IF(EV$1=INDEX('Valo FX'!$R:$R,MATCH($A18,'Valo FX'!$A:$A,0)),INDEX(Base!$V:$V,MATCH($A18,Base!$A:$A,0)),0)))</f>
        <v>11.648244999999999</v>
      </c>
      <c r="EW18" s="21">
        <f>IF(EW$1&lt;INDEX('Valo FX'!$Q:$Q,MATCH($A18,'Valo FX'!$A:$A,0)),0,IF(EW$1&lt;INDEX('Valo FX'!$R:$R,MATCH($A18,'Valo FX'!$A:$A,0)),INDEX(Base!$U:$U,MATCH($A18,Base!$A:$A,0)),IF(EW$1=INDEX('Valo FX'!$R:$R,MATCH($A18,'Valo FX'!$A:$A,0)),INDEX(Base!$V:$V,MATCH($A18,Base!$A:$A,0)),0)))</f>
        <v>11.648244999999999</v>
      </c>
      <c r="EX18" s="21">
        <f>IF(EX$1&lt;INDEX('Valo FX'!$Q:$Q,MATCH($A18,'Valo FX'!$A:$A,0)),0,IF(EX$1&lt;INDEX('Valo FX'!$R:$R,MATCH($A18,'Valo FX'!$A:$A,0)),INDEX(Base!$U:$U,MATCH($A18,Base!$A:$A,0)),IF(EX$1=INDEX('Valo FX'!$R:$R,MATCH($A18,'Valo FX'!$A:$A,0)),INDEX(Base!$V:$V,MATCH($A18,Base!$A:$A,0)),0)))</f>
        <v>11.648244999999999</v>
      </c>
      <c r="EY18" s="21">
        <f>IF(EY$1&lt;INDEX('Valo FX'!$Q:$Q,MATCH($A18,'Valo FX'!$A:$A,0)),0,IF(EY$1&lt;INDEX('Valo FX'!$R:$R,MATCH($A18,'Valo FX'!$A:$A,0)),INDEX(Base!$U:$U,MATCH($A18,Base!$A:$A,0)),IF(EY$1=INDEX('Valo FX'!$R:$R,MATCH($A18,'Valo FX'!$A:$A,0)),INDEX(Base!$V:$V,MATCH($A18,Base!$A:$A,0)),0)))</f>
        <v>11.648244999999999</v>
      </c>
      <c r="EZ18" s="21">
        <f>IF(EZ$1&lt;INDEX('Valo FX'!$Q:$Q,MATCH($A18,'Valo FX'!$A:$A,0)),0,IF(EZ$1&lt;INDEX('Valo FX'!$R:$R,MATCH($A18,'Valo FX'!$A:$A,0)),INDEX(Base!$U:$U,MATCH($A18,Base!$A:$A,0)),IF(EZ$1=INDEX('Valo FX'!$R:$R,MATCH($A18,'Valo FX'!$A:$A,0)),INDEX(Base!$V:$V,MATCH($A18,Base!$A:$A,0)),0)))</f>
        <v>11.648244999999999</v>
      </c>
      <c r="FA18" s="21">
        <f>IF(FA$1&lt;INDEX('Valo FX'!$Q:$Q,MATCH($A18,'Valo FX'!$A:$A,0)),0,IF(FA$1&lt;INDEX('Valo FX'!$R:$R,MATCH($A18,'Valo FX'!$A:$A,0)),INDEX(Base!$U:$U,MATCH($A18,Base!$A:$A,0)),IF(FA$1=INDEX('Valo FX'!$R:$R,MATCH($A18,'Valo FX'!$A:$A,0)),INDEX(Base!$V:$V,MATCH($A18,Base!$A:$A,0)),0)))</f>
        <v>11.648244999999999</v>
      </c>
      <c r="FB18" s="21">
        <f>IF(FB$1&lt;INDEX('Valo FX'!$Q:$Q,MATCH($A18,'Valo FX'!$A:$A,0)),0,IF(FB$1&lt;INDEX('Valo FX'!$R:$R,MATCH($A18,'Valo FX'!$A:$A,0)),INDEX(Base!$U:$U,MATCH($A18,Base!$A:$A,0)),IF(FB$1=INDEX('Valo FX'!$R:$R,MATCH($A18,'Valo FX'!$A:$A,0)),INDEX(Base!$V:$V,MATCH($A18,Base!$A:$A,0)),0)))</f>
        <v>11.648244999999999</v>
      </c>
      <c r="FC18" s="21">
        <f>IF(FC$1&lt;INDEX('Valo FX'!$Q:$Q,MATCH($A18,'Valo FX'!$A:$A,0)),0,IF(FC$1&lt;INDEX('Valo FX'!$R:$R,MATCH($A18,'Valo FX'!$A:$A,0)),INDEX(Base!$U:$U,MATCH($A18,Base!$A:$A,0)),IF(FC$1=INDEX('Valo FX'!$R:$R,MATCH($A18,'Valo FX'!$A:$A,0)),INDEX(Base!$V:$V,MATCH($A18,Base!$A:$A,0)),0)))</f>
        <v>11.648244999999999</v>
      </c>
      <c r="FD18" s="21">
        <f>IF(FD$1&lt;INDEX('Valo FX'!$Q:$Q,MATCH($A18,'Valo FX'!$A:$A,0)),0,IF(FD$1&lt;INDEX('Valo FX'!$R:$R,MATCH($A18,'Valo FX'!$A:$A,0)),INDEX(Base!$U:$U,MATCH($A18,Base!$A:$A,0)),IF(FD$1=INDEX('Valo FX'!$R:$R,MATCH($A18,'Valo FX'!$A:$A,0)),INDEX(Base!$V:$V,MATCH($A18,Base!$A:$A,0)),0)))</f>
        <v>11.648244999999999</v>
      </c>
      <c r="FE18" s="21">
        <f>IF(FE$1&lt;INDEX('Valo FX'!$Q:$Q,MATCH($A18,'Valo FX'!$A:$A,0)),0,IF(FE$1&lt;INDEX('Valo FX'!$R:$R,MATCH($A18,'Valo FX'!$A:$A,0)),INDEX(Base!$U:$U,MATCH($A18,Base!$A:$A,0)),IF(FE$1=INDEX('Valo FX'!$R:$R,MATCH($A18,'Valo FX'!$A:$A,0)),INDEX(Base!$V:$V,MATCH($A18,Base!$A:$A,0)),0)))</f>
        <v>11.648244999999999</v>
      </c>
      <c r="FF18" s="21">
        <f>IF(FF$1&lt;INDEX('Valo FX'!$Q:$Q,MATCH($A18,'Valo FX'!$A:$A,0)),0,IF(FF$1&lt;INDEX('Valo FX'!$R:$R,MATCH($A18,'Valo FX'!$A:$A,0)),INDEX(Base!$U:$U,MATCH($A18,Base!$A:$A,0)),IF(FF$1=INDEX('Valo FX'!$R:$R,MATCH($A18,'Valo FX'!$A:$A,0)),INDEX(Base!$V:$V,MATCH($A18,Base!$A:$A,0)),0)))</f>
        <v>11.648244999999999</v>
      </c>
      <c r="FG18" s="21">
        <f>IF(FG$1&lt;INDEX('Valo FX'!$Q:$Q,MATCH($A18,'Valo FX'!$A:$A,0)),0,IF(FG$1&lt;INDEX('Valo FX'!$R:$R,MATCH($A18,'Valo FX'!$A:$A,0)),INDEX(Base!$U:$U,MATCH($A18,Base!$A:$A,0)),IF(FG$1=INDEX('Valo FX'!$R:$R,MATCH($A18,'Valo FX'!$A:$A,0)),INDEX(Base!$V:$V,MATCH($A18,Base!$A:$A,0)),0)))</f>
        <v>11.648244999999999</v>
      </c>
      <c r="FH18" s="21">
        <f>IF(FH$1&lt;INDEX('Valo FX'!$Q:$Q,MATCH($A18,'Valo FX'!$A:$A,0)),0,IF(FH$1&lt;INDEX('Valo FX'!$R:$R,MATCH($A18,'Valo FX'!$A:$A,0)),INDEX(Base!$U:$U,MATCH($A18,Base!$A:$A,0)),IF(FH$1=INDEX('Valo FX'!$R:$R,MATCH($A18,'Valo FX'!$A:$A,0)),INDEX(Base!$V:$V,MATCH($A18,Base!$A:$A,0)),0)))</f>
        <v>11.648244999999999</v>
      </c>
      <c r="FI18" s="21">
        <f>IF(FI$1&lt;INDEX('Valo FX'!$Q:$Q,MATCH($A18,'Valo FX'!$A:$A,0)),0,IF(FI$1&lt;INDEX('Valo FX'!$R:$R,MATCH($A18,'Valo FX'!$A:$A,0)),INDEX(Base!$U:$U,MATCH($A18,Base!$A:$A,0)),IF(FI$1=INDEX('Valo FX'!$R:$R,MATCH($A18,'Valo FX'!$A:$A,0)),INDEX(Base!$V:$V,MATCH($A18,Base!$A:$A,0)),0)))</f>
        <v>11.648244999999999</v>
      </c>
      <c r="FJ18" s="21">
        <f>IF(FJ$1&lt;INDEX('Valo FX'!$Q:$Q,MATCH($A18,'Valo FX'!$A:$A,0)),0,IF(FJ$1&lt;INDEX('Valo FX'!$R:$R,MATCH($A18,'Valo FX'!$A:$A,0)),INDEX(Base!$U:$U,MATCH($A18,Base!$A:$A,0)),IF(FJ$1=INDEX('Valo FX'!$R:$R,MATCH($A18,'Valo FX'!$A:$A,0)),INDEX(Base!$V:$V,MATCH($A18,Base!$A:$A,0)),0)))</f>
        <v>11.648244999999999</v>
      </c>
      <c r="FK18" s="21">
        <f>IF(FK$1&lt;INDEX('Valo FX'!$Q:$Q,MATCH($A18,'Valo FX'!$A:$A,0)),0,IF(FK$1&lt;INDEX('Valo FX'!$R:$R,MATCH($A18,'Valo FX'!$A:$A,0)),INDEX(Base!$U:$U,MATCH($A18,Base!$A:$A,0)),IF(FK$1=INDEX('Valo FX'!$R:$R,MATCH($A18,'Valo FX'!$A:$A,0)),INDEX(Base!$V:$V,MATCH($A18,Base!$A:$A,0)),0)))</f>
        <v>11.648244999999999</v>
      </c>
      <c r="FL18" s="21">
        <f>IF(FL$1&lt;INDEX('Valo FX'!$Q:$Q,MATCH($A18,'Valo FX'!$A:$A,0)),0,IF(FL$1&lt;INDEX('Valo FX'!$R:$R,MATCH($A18,'Valo FX'!$A:$A,0)),INDEX(Base!$U:$U,MATCH($A18,Base!$A:$A,0)),IF(FL$1=INDEX('Valo FX'!$R:$R,MATCH($A18,'Valo FX'!$A:$A,0)),INDEX(Base!$V:$V,MATCH($A18,Base!$A:$A,0)),0)))</f>
        <v>11.648244999999999</v>
      </c>
      <c r="FM18" s="21">
        <f>IF(FM$1&lt;INDEX('Valo FX'!$Q:$Q,MATCH($A18,'Valo FX'!$A:$A,0)),0,IF(FM$1&lt;INDEX('Valo FX'!$R:$R,MATCH($A18,'Valo FX'!$A:$A,0)),INDEX(Base!$U:$U,MATCH($A18,Base!$A:$A,0)),IF(FM$1=INDEX('Valo FX'!$R:$R,MATCH($A18,'Valo FX'!$A:$A,0)),INDEX(Base!$V:$V,MATCH($A18,Base!$A:$A,0)),0)))</f>
        <v>11.648244999999999</v>
      </c>
      <c r="FN18" s="21">
        <f>IF(FN$1&lt;INDEX('Valo FX'!$Q:$Q,MATCH($A18,'Valo FX'!$A:$A,0)),0,IF(FN$1&lt;INDEX('Valo FX'!$R:$R,MATCH($A18,'Valo FX'!$A:$A,0)),INDEX(Base!$U:$U,MATCH($A18,Base!$A:$A,0)),IF(FN$1=INDEX('Valo FX'!$R:$R,MATCH($A18,'Valo FX'!$A:$A,0)),INDEX(Base!$V:$V,MATCH($A18,Base!$A:$A,0)),0)))</f>
        <v>11.648244999999999</v>
      </c>
      <c r="FO18" s="21">
        <f>IF(FO$1&lt;INDEX('Valo FX'!$Q:$Q,MATCH($A18,'Valo FX'!$A:$A,0)),0,IF(FO$1&lt;INDEX('Valo FX'!$R:$R,MATCH($A18,'Valo FX'!$A:$A,0)),INDEX(Base!$U:$U,MATCH($A18,Base!$A:$A,0)),IF(FO$1=INDEX('Valo FX'!$R:$R,MATCH($A18,'Valo FX'!$A:$A,0)),INDEX(Base!$V:$V,MATCH($A18,Base!$A:$A,0)),0)))</f>
        <v>11.648244999999999</v>
      </c>
      <c r="FP18" s="21">
        <f>IF(FP$1&lt;INDEX('Valo FX'!$Q:$Q,MATCH($A18,'Valo FX'!$A:$A,0)),0,IF(FP$1&lt;INDEX('Valo FX'!$R:$R,MATCH($A18,'Valo FX'!$A:$A,0)),INDEX(Base!$U:$U,MATCH($A18,Base!$A:$A,0)),IF(FP$1=INDEX('Valo FX'!$R:$R,MATCH($A18,'Valo FX'!$A:$A,0)),INDEX(Base!$V:$V,MATCH($A18,Base!$A:$A,0)),0)))</f>
        <v>11.648244999999999</v>
      </c>
      <c r="FQ18" s="21">
        <f>IF(FQ$1&lt;INDEX('Valo FX'!$Q:$Q,MATCH($A18,'Valo FX'!$A:$A,0)),0,IF(FQ$1&lt;INDEX('Valo FX'!$R:$R,MATCH($A18,'Valo FX'!$A:$A,0)),INDEX(Base!$U:$U,MATCH($A18,Base!$A:$A,0)),IF(FQ$1=INDEX('Valo FX'!$R:$R,MATCH($A18,'Valo FX'!$A:$A,0)),INDEX(Base!$V:$V,MATCH($A18,Base!$A:$A,0)),0)))</f>
        <v>11.648244999999999</v>
      </c>
      <c r="FR18" s="21">
        <f>IF(FR$1&lt;INDEX('Valo FX'!$Q:$Q,MATCH($A18,'Valo FX'!$A:$A,0)),0,IF(FR$1&lt;INDEX('Valo FX'!$R:$R,MATCH($A18,'Valo FX'!$A:$A,0)),INDEX(Base!$U:$U,MATCH($A18,Base!$A:$A,0)),IF(FR$1=INDEX('Valo FX'!$R:$R,MATCH($A18,'Valo FX'!$A:$A,0)),INDEX(Base!$V:$V,MATCH($A18,Base!$A:$A,0)),0)))</f>
        <v>11.648244999999999</v>
      </c>
      <c r="FS18" s="21">
        <f>IF(FS$1&lt;INDEX('Valo FX'!$Q:$Q,MATCH($A18,'Valo FX'!$A:$A,0)),0,IF(FS$1&lt;INDEX('Valo FX'!$R:$R,MATCH($A18,'Valo FX'!$A:$A,0)),INDEX(Base!$U:$U,MATCH($A18,Base!$A:$A,0)),IF(FS$1=INDEX('Valo FX'!$R:$R,MATCH($A18,'Valo FX'!$A:$A,0)),INDEX(Base!$V:$V,MATCH($A18,Base!$A:$A,0)),0)))</f>
        <v>11.648244999999999</v>
      </c>
      <c r="FT18" s="21">
        <f>IF(FT$1&lt;INDEX('Valo FX'!$Q:$Q,MATCH($A18,'Valo FX'!$A:$A,0)),0,IF(FT$1&lt;INDEX('Valo FX'!$R:$R,MATCH($A18,'Valo FX'!$A:$A,0)),INDEX(Base!$U:$U,MATCH($A18,Base!$A:$A,0)),IF(FT$1=INDEX('Valo FX'!$R:$R,MATCH($A18,'Valo FX'!$A:$A,0)),INDEX(Base!$V:$V,MATCH($A18,Base!$A:$A,0)),0)))</f>
        <v>11.648244999999999</v>
      </c>
      <c r="FU18" s="21">
        <f>IF(FU$1&lt;INDEX('Valo FX'!$Q:$Q,MATCH($A18,'Valo FX'!$A:$A,0)),0,IF(FU$1&lt;INDEX('Valo FX'!$R:$R,MATCH($A18,'Valo FX'!$A:$A,0)),INDEX(Base!$U:$U,MATCH($A18,Base!$A:$A,0)),IF(FU$1=INDEX('Valo FX'!$R:$R,MATCH($A18,'Valo FX'!$A:$A,0)),INDEX(Base!$V:$V,MATCH($A18,Base!$A:$A,0)),0)))</f>
        <v>11.648244999999999</v>
      </c>
      <c r="FV18" s="21">
        <f>IF(FV$1&lt;INDEX('Valo FX'!$Q:$Q,MATCH($A18,'Valo FX'!$A:$A,0)),0,IF(FV$1&lt;INDEX('Valo FX'!$R:$R,MATCH($A18,'Valo FX'!$A:$A,0)),INDEX(Base!$U:$U,MATCH($A18,Base!$A:$A,0)),IF(FV$1=INDEX('Valo FX'!$R:$R,MATCH($A18,'Valo FX'!$A:$A,0)),INDEX(Base!$V:$V,MATCH($A18,Base!$A:$A,0)),0)))</f>
        <v>11.648244999999999</v>
      </c>
      <c r="FW18" s="21">
        <f>IF(FW$1&lt;INDEX('Valo FX'!$Q:$Q,MATCH($A18,'Valo FX'!$A:$A,0)),0,IF(FW$1&lt;INDEX('Valo FX'!$R:$R,MATCH($A18,'Valo FX'!$A:$A,0)),INDEX(Base!$U:$U,MATCH($A18,Base!$A:$A,0)),IF(FW$1=INDEX('Valo FX'!$R:$R,MATCH($A18,'Valo FX'!$A:$A,0)),INDEX(Base!$V:$V,MATCH($A18,Base!$A:$A,0)),0)))</f>
        <v>11.648244999999999</v>
      </c>
      <c r="FX18" s="21">
        <f>IF(FX$1&lt;INDEX('Valo FX'!$Q:$Q,MATCH($A18,'Valo FX'!$A:$A,0)),0,IF(FX$1&lt;INDEX('Valo FX'!$R:$R,MATCH($A18,'Valo FX'!$A:$A,0)),INDEX(Base!$U:$U,MATCH($A18,Base!$A:$A,0)),IF(FX$1=INDEX('Valo FX'!$R:$R,MATCH($A18,'Valo FX'!$A:$A,0)),INDEX(Base!$V:$V,MATCH($A18,Base!$A:$A,0)),0)))</f>
        <v>11.648244999999999</v>
      </c>
      <c r="FY18" s="21">
        <f>IF(FY$1&lt;INDEX('Valo FX'!$Q:$Q,MATCH($A18,'Valo FX'!$A:$A,0)),0,IF(FY$1&lt;INDEX('Valo FX'!$R:$R,MATCH($A18,'Valo FX'!$A:$A,0)),INDEX(Base!$U:$U,MATCH($A18,Base!$A:$A,0)),IF(FY$1=INDEX('Valo FX'!$R:$R,MATCH($A18,'Valo FX'!$A:$A,0)),INDEX(Base!$V:$V,MATCH($A18,Base!$A:$A,0)),0)))</f>
        <v>11.648244999999999</v>
      </c>
      <c r="FZ18" s="21">
        <f>IF(FZ$1&lt;INDEX('Valo FX'!$Q:$Q,MATCH($A18,'Valo FX'!$A:$A,0)),0,IF(FZ$1&lt;INDEX('Valo FX'!$R:$R,MATCH($A18,'Valo FX'!$A:$A,0)),INDEX(Base!$U:$U,MATCH($A18,Base!$A:$A,0)),IF(FZ$1=INDEX('Valo FX'!$R:$R,MATCH($A18,'Valo FX'!$A:$A,0)),INDEX(Base!$V:$V,MATCH($A18,Base!$A:$A,0)),0)))</f>
        <v>11.648244999999999</v>
      </c>
      <c r="GA18" s="21">
        <f>IF(GA$1&lt;INDEX('Valo FX'!$Q:$Q,MATCH($A18,'Valo FX'!$A:$A,0)),0,IF(GA$1&lt;INDEX('Valo FX'!$R:$R,MATCH($A18,'Valo FX'!$A:$A,0)),INDEX(Base!$U:$U,MATCH($A18,Base!$A:$A,0)),IF(GA$1=INDEX('Valo FX'!$R:$R,MATCH($A18,'Valo FX'!$A:$A,0)),INDEX(Base!$V:$V,MATCH($A18,Base!$A:$A,0)),0)))</f>
        <v>11.648244999999999</v>
      </c>
      <c r="GB18" s="21">
        <f>IF(GB$1&lt;INDEX('Valo FX'!$Q:$Q,MATCH($A18,'Valo FX'!$A:$A,0)),0,IF(GB$1&lt;INDEX('Valo FX'!$R:$R,MATCH($A18,'Valo FX'!$A:$A,0)),INDEX(Base!$U:$U,MATCH($A18,Base!$A:$A,0)),IF(GB$1=INDEX('Valo FX'!$R:$R,MATCH($A18,'Valo FX'!$A:$A,0)),INDEX(Base!$V:$V,MATCH($A18,Base!$A:$A,0)),0)))</f>
        <v>11.648244999999999</v>
      </c>
      <c r="GC18" s="21">
        <f>IF(GC$1&lt;INDEX('Valo FX'!$Q:$Q,MATCH($A18,'Valo FX'!$A:$A,0)),0,IF(GC$1&lt;INDEX('Valo FX'!$R:$R,MATCH($A18,'Valo FX'!$A:$A,0)),INDEX(Base!$U:$U,MATCH($A18,Base!$A:$A,0)),IF(GC$1=INDEX('Valo FX'!$R:$R,MATCH($A18,'Valo FX'!$A:$A,0)),INDEX(Base!$V:$V,MATCH($A18,Base!$A:$A,0)),0)))</f>
        <v>11.648244999999999</v>
      </c>
      <c r="GD18" s="21">
        <f>IF(GD$1&lt;INDEX('Valo FX'!$Q:$Q,MATCH($A18,'Valo FX'!$A:$A,0)),0,IF(GD$1&lt;INDEX('Valo FX'!$R:$R,MATCH($A18,'Valo FX'!$A:$A,0)),INDEX(Base!$U:$U,MATCH($A18,Base!$A:$A,0)),IF(GD$1=INDEX('Valo FX'!$R:$R,MATCH($A18,'Valo FX'!$A:$A,0)),INDEX(Base!$V:$V,MATCH($A18,Base!$A:$A,0)),0)))</f>
        <v>11.648244999999999</v>
      </c>
      <c r="GE18" s="21">
        <f>IF(GE$1&lt;INDEX('Valo FX'!$Q:$Q,MATCH($A18,'Valo FX'!$A:$A,0)),0,IF(GE$1&lt;INDEX('Valo FX'!$R:$R,MATCH($A18,'Valo FX'!$A:$A,0)),INDEX(Base!$U:$U,MATCH($A18,Base!$A:$A,0)),IF(GE$1=INDEX('Valo FX'!$R:$R,MATCH($A18,'Valo FX'!$A:$A,0)),INDEX(Base!$V:$V,MATCH($A18,Base!$A:$A,0)),0)))</f>
        <v>11.648244999999999</v>
      </c>
      <c r="GF18" s="21">
        <f>IF(GF$1&lt;INDEX('Valo FX'!$Q:$Q,MATCH($A18,'Valo FX'!$A:$A,0)),0,IF(GF$1&lt;INDEX('Valo FX'!$R:$R,MATCH($A18,'Valo FX'!$A:$A,0)),INDEX(Base!$U:$U,MATCH($A18,Base!$A:$A,0)),IF(GF$1=INDEX('Valo FX'!$R:$R,MATCH($A18,'Valo FX'!$A:$A,0)),INDEX(Base!$V:$V,MATCH($A18,Base!$A:$A,0)),0)))</f>
        <v>11.648244999999999</v>
      </c>
      <c r="GG18" s="21">
        <f>IF(GG$1&lt;INDEX('Valo FX'!$Q:$Q,MATCH($A18,'Valo FX'!$A:$A,0)),0,IF(GG$1&lt;INDEX('Valo FX'!$R:$R,MATCH($A18,'Valo FX'!$A:$A,0)),INDEX(Base!$U:$U,MATCH($A18,Base!$A:$A,0)),IF(GG$1=INDEX('Valo FX'!$R:$R,MATCH($A18,'Valo FX'!$A:$A,0)),INDEX(Base!$V:$V,MATCH($A18,Base!$A:$A,0)),0)))</f>
        <v>11.648244999999999</v>
      </c>
      <c r="GH18" s="21">
        <f>IF(GH$1&lt;INDEX('Valo FX'!$Q:$Q,MATCH($A18,'Valo FX'!$A:$A,0)),0,IF(GH$1&lt;INDEX('Valo FX'!$R:$R,MATCH($A18,'Valo FX'!$A:$A,0)),INDEX(Base!$U:$U,MATCH($A18,Base!$A:$A,0)),IF(GH$1=INDEX('Valo FX'!$R:$R,MATCH($A18,'Valo FX'!$A:$A,0)),INDEX(Base!$V:$V,MATCH($A18,Base!$A:$A,0)),0)))</f>
        <v>11.648244999999999</v>
      </c>
      <c r="GI18" s="21">
        <f>IF(GI$1&lt;INDEX('Valo FX'!$Q:$Q,MATCH($A18,'Valo FX'!$A:$A,0)),0,IF(GI$1&lt;INDEX('Valo FX'!$R:$R,MATCH($A18,'Valo FX'!$A:$A,0)),INDEX(Base!$U:$U,MATCH($A18,Base!$A:$A,0)),IF(GI$1=INDEX('Valo FX'!$R:$R,MATCH($A18,'Valo FX'!$A:$A,0)),INDEX(Base!$V:$V,MATCH($A18,Base!$A:$A,0)),0)))</f>
        <v>11.648244999999999</v>
      </c>
      <c r="GJ18" s="21">
        <f>IF(GJ$1&lt;INDEX('Valo FX'!$Q:$Q,MATCH($A18,'Valo FX'!$A:$A,0)),0,IF(GJ$1&lt;INDEX('Valo FX'!$R:$R,MATCH($A18,'Valo FX'!$A:$A,0)),INDEX(Base!$U:$U,MATCH($A18,Base!$A:$A,0)),IF(GJ$1=INDEX('Valo FX'!$R:$R,MATCH($A18,'Valo FX'!$A:$A,0)),INDEX(Base!$V:$V,MATCH($A18,Base!$A:$A,0)),0)))</f>
        <v>11.648244999999999</v>
      </c>
      <c r="GK18" s="21">
        <f>IF(GK$1&lt;INDEX('Valo FX'!$Q:$Q,MATCH($A18,'Valo FX'!$A:$A,0)),0,IF(GK$1&lt;INDEX('Valo FX'!$R:$R,MATCH($A18,'Valo FX'!$A:$A,0)),INDEX(Base!$U:$U,MATCH($A18,Base!$A:$A,0)),IF(GK$1=INDEX('Valo FX'!$R:$R,MATCH($A18,'Valo FX'!$A:$A,0)),INDEX(Base!$V:$V,MATCH($A18,Base!$A:$A,0)),0)))</f>
        <v>11.648244999999999</v>
      </c>
      <c r="GL18" s="21">
        <f>IF(GL$1&lt;INDEX('Valo FX'!$Q:$Q,MATCH($A18,'Valo FX'!$A:$A,0)),0,IF(GL$1&lt;INDEX('Valo FX'!$R:$R,MATCH($A18,'Valo FX'!$A:$A,0)),INDEX(Base!$U:$U,MATCH($A18,Base!$A:$A,0)),IF(GL$1=INDEX('Valo FX'!$R:$R,MATCH($A18,'Valo FX'!$A:$A,0)),INDEX(Base!$V:$V,MATCH($A18,Base!$A:$A,0)),0)))</f>
        <v>11.648244999999999</v>
      </c>
      <c r="GM18" s="21">
        <f>IF(GM$1&lt;INDEX('Valo FX'!$Q:$Q,MATCH($A18,'Valo FX'!$A:$A,0)),0,IF(GM$1&lt;INDEX('Valo FX'!$R:$R,MATCH($A18,'Valo FX'!$A:$A,0)),INDEX(Base!$U:$U,MATCH($A18,Base!$A:$A,0)),IF(GM$1=INDEX('Valo FX'!$R:$R,MATCH($A18,'Valo FX'!$A:$A,0)),INDEX(Base!$V:$V,MATCH($A18,Base!$A:$A,0)),0)))</f>
        <v>11.648244999999999</v>
      </c>
      <c r="GN18" s="21">
        <f>IF(GN$1&lt;INDEX('Valo FX'!$Q:$Q,MATCH($A18,'Valo FX'!$A:$A,0)),0,IF(GN$1&lt;INDEX('Valo FX'!$R:$R,MATCH($A18,'Valo FX'!$A:$A,0)),INDEX(Base!$U:$U,MATCH($A18,Base!$A:$A,0)),IF(GN$1=INDEX('Valo FX'!$R:$R,MATCH($A18,'Valo FX'!$A:$A,0)),INDEX(Base!$V:$V,MATCH($A18,Base!$A:$A,0)),0)))</f>
        <v>11.648244999999999</v>
      </c>
      <c r="GO18" s="21">
        <f>IF(GO$1&lt;INDEX('Valo FX'!$Q:$Q,MATCH($A18,'Valo FX'!$A:$A,0)),0,IF(GO$1&lt;INDEX('Valo FX'!$R:$R,MATCH($A18,'Valo FX'!$A:$A,0)),INDEX(Base!$U:$U,MATCH($A18,Base!$A:$A,0)),IF(GO$1=INDEX('Valo FX'!$R:$R,MATCH($A18,'Valo FX'!$A:$A,0)),INDEX(Base!$V:$V,MATCH($A18,Base!$A:$A,0)),0)))</f>
        <v>11.648244999999999</v>
      </c>
      <c r="GP18" s="21">
        <f>IF(GP$1&lt;INDEX('Valo FX'!$Q:$Q,MATCH($A18,'Valo FX'!$A:$A,0)),0,IF(GP$1&lt;INDEX('Valo FX'!$R:$R,MATCH($A18,'Valo FX'!$A:$A,0)),INDEX(Base!$U:$U,MATCH($A18,Base!$A:$A,0)),IF(GP$1=INDEX('Valo FX'!$R:$R,MATCH($A18,'Valo FX'!$A:$A,0)),INDEX(Base!$V:$V,MATCH($A18,Base!$A:$A,0)),0)))</f>
        <v>11.648244999999999</v>
      </c>
      <c r="GQ18" s="21">
        <f>IF(GQ$1&lt;INDEX('Valo FX'!$Q:$Q,MATCH($A18,'Valo FX'!$A:$A,0)),0,IF(GQ$1&lt;INDEX('Valo FX'!$R:$R,MATCH($A18,'Valo FX'!$A:$A,0)),INDEX(Base!$U:$U,MATCH($A18,Base!$A:$A,0)),IF(GQ$1=INDEX('Valo FX'!$R:$R,MATCH($A18,'Valo FX'!$A:$A,0)),INDEX(Base!$V:$V,MATCH($A18,Base!$A:$A,0)),0)))</f>
        <v>11.648244999999999</v>
      </c>
      <c r="GR18" s="21">
        <f>IF(GR$1&lt;INDEX('Valo FX'!$Q:$Q,MATCH($A18,'Valo FX'!$A:$A,0)),0,IF(GR$1&lt;INDEX('Valo FX'!$R:$R,MATCH($A18,'Valo FX'!$A:$A,0)),INDEX(Base!$U:$U,MATCH($A18,Base!$A:$A,0)),IF(GR$1=INDEX('Valo FX'!$R:$R,MATCH($A18,'Valo FX'!$A:$A,0)),INDEX(Base!$V:$V,MATCH($A18,Base!$A:$A,0)),0)))</f>
        <v>11.648244999999999</v>
      </c>
      <c r="GS18" s="21">
        <f>IF(GS$1&lt;INDEX('Valo FX'!$Q:$Q,MATCH($A18,'Valo FX'!$A:$A,0)),0,IF(GS$1&lt;INDEX('Valo FX'!$R:$R,MATCH($A18,'Valo FX'!$A:$A,0)),INDEX(Base!$U:$U,MATCH($A18,Base!$A:$A,0)),IF(GS$1=INDEX('Valo FX'!$R:$R,MATCH($A18,'Valo FX'!$A:$A,0)),INDEX(Base!$V:$V,MATCH($A18,Base!$A:$A,0)),0)))</f>
        <v>11.648244999999999</v>
      </c>
      <c r="GT18" s="21">
        <f>IF(GT$1&lt;INDEX('Valo FX'!$Q:$Q,MATCH($A18,'Valo FX'!$A:$A,0)),0,IF(GT$1&lt;INDEX('Valo FX'!$R:$R,MATCH($A18,'Valo FX'!$A:$A,0)),INDEX(Base!$U:$U,MATCH($A18,Base!$A:$A,0)),IF(GT$1=INDEX('Valo FX'!$R:$R,MATCH($A18,'Valo FX'!$A:$A,0)),INDEX(Base!$V:$V,MATCH($A18,Base!$A:$A,0)),0)))</f>
        <v>11.648244999999999</v>
      </c>
      <c r="GU18" s="21">
        <f>IF(GU$1&lt;INDEX('Valo FX'!$Q:$Q,MATCH($A18,'Valo FX'!$A:$A,0)),0,IF(GU$1&lt;INDEX('Valo FX'!$R:$R,MATCH($A18,'Valo FX'!$A:$A,0)),INDEX(Base!$U:$U,MATCH($A18,Base!$A:$A,0)),IF(GU$1=INDEX('Valo FX'!$R:$R,MATCH($A18,'Valo FX'!$A:$A,0)),INDEX(Base!$V:$V,MATCH($A18,Base!$A:$A,0)),0)))</f>
        <v>11.648244999999999</v>
      </c>
      <c r="GV18" s="21">
        <f>IF(GV$1&lt;INDEX('Valo FX'!$Q:$Q,MATCH($A18,'Valo FX'!$A:$A,0)),0,IF(GV$1&lt;INDEX('Valo FX'!$R:$R,MATCH($A18,'Valo FX'!$A:$A,0)),INDEX(Base!$U:$U,MATCH($A18,Base!$A:$A,0)),IF(GV$1=INDEX('Valo FX'!$R:$R,MATCH($A18,'Valo FX'!$A:$A,0)),INDEX(Base!$V:$V,MATCH($A18,Base!$A:$A,0)),0)))</f>
        <v>11.648244999999999</v>
      </c>
      <c r="GW18" s="21">
        <f>IF(GW$1&lt;INDEX('Valo FX'!$Q:$Q,MATCH($A18,'Valo FX'!$A:$A,0)),0,IF(GW$1&lt;INDEX('Valo FX'!$R:$R,MATCH($A18,'Valo FX'!$A:$A,0)),INDEX(Base!$U:$U,MATCH($A18,Base!$A:$A,0)),IF(GW$1=INDEX('Valo FX'!$R:$R,MATCH($A18,'Valo FX'!$A:$A,0)),INDEX(Base!$V:$V,MATCH($A18,Base!$A:$A,0)),0)))</f>
        <v>11.648244999999999</v>
      </c>
      <c r="GX18" s="21">
        <f>IF(GX$1&lt;INDEX('Valo FX'!$Q:$Q,MATCH($A18,'Valo FX'!$A:$A,0)),0,IF(GX$1&lt;INDEX('Valo FX'!$R:$R,MATCH($A18,'Valo FX'!$A:$A,0)),INDEX(Base!$U:$U,MATCH($A18,Base!$A:$A,0)),IF(GX$1=INDEX('Valo FX'!$R:$R,MATCH($A18,'Valo FX'!$A:$A,0)),INDEX(Base!$V:$V,MATCH($A18,Base!$A:$A,0)),0)))</f>
        <v>11.648244999999999</v>
      </c>
      <c r="GY18" s="21">
        <f>IF(GY$1&lt;INDEX('Valo FX'!$Q:$Q,MATCH($A18,'Valo FX'!$A:$A,0)),0,IF(GY$1&lt;INDEX('Valo FX'!$R:$R,MATCH($A18,'Valo FX'!$A:$A,0)),INDEX(Base!$U:$U,MATCH($A18,Base!$A:$A,0)),IF(GY$1=INDEX('Valo FX'!$R:$R,MATCH($A18,'Valo FX'!$A:$A,0)),INDEX(Base!$V:$V,MATCH($A18,Base!$A:$A,0)),0)))</f>
        <v>11.648244999999999</v>
      </c>
      <c r="GZ18" s="21">
        <f>IF(GZ$1&lt;INDEX('Valo FX'!$Q:$Q,MATCH($A18,'Valo FX'!$A:$A,0)),0,IF(GZ$1&lt;INDEX('Valo FX'!$R:$R,MATCH($A18,'Valo FX'!$A:$A,0)),INDEX(Base!$U:$U,MATCH($A18,Base!$A:$A,0)),IF(GZ$1=INDEX('Valo FX'!$R:$R,MATCH($A18,'Valo FX'!$A:$A,0)),INDEX(Base!$V:$V,MATCH($A18,Base!$A:$A,0)),0)))</f>
        <v>11.648244999999999</v>
      </c>
      <c r="HA18" s="21">
        <f>IF(HA$1&lt;INDEX('Valo FX'!$Q:$Q,MATCH($A18,'Valo FX'!$A:$A,0)),0,IF(HA$1&lt;INDEX('Valo FX'!$R:$R,MATCH($A18,'Valo FX'!$A:$A,0)),INDEX(Base!$U:$U,MATCH($A18,Base!$A:$A,0)),IF(HA$1=INDEX('Valo FX'!$R:$R,MATCH($A18,'Valo FX'!$A:$A,0)),INDEX(Base!$V:$V,MATCH($A18,Base!$A:$A,0)),0)))</f>
        <v>11.648244999999999</v>
      </c>
      <c r="HB18" s="21">
        <f>IF(HB$1&lt;INDEX('Valo FX'!$Q:$Q,MATCH($A18,'Valo FX'!$A:$A,0)),0,IF(HB$1&lt;INDEX('Valo FX'!$R:$R,MATCH($A18,'Valo FX'!$A:$A,0)),INDEX(Base!$U:$U,MATCH($A18,Base!$A:$A,0)),IF(HB$1=INDEX('Valo FX'!$R:$R,MATCH($A18,'Valo FX'!$A:$A,0)),INDEX(Base!$V:$V,MATCH($A18,Base!$A:$A,0)),0)))</f>
        <v>11.648244999999999</v>
      </c>
      <c r="HC18" s="21">
        <f>IF(HC$1&lt;INDEX('Valo FX'!$Q:$Q,MATCH($A18,'Valo FX'!$A:$A,0)),0,IF(HC$1&lt;INDEX('Valo FX'!$R:$R,MATCH($A18,'Valo FX'!$A:$A,0)),INDEX(Base!$U:$U,MATCH($A18,Base!$A:$A,0)),IF(HC$1=INDEX('Valo FX'!$R:$R,MATCH($A18,'Valo FX'!$A:$A,0)),INDEX(Base!$V:$V,MATCH($A18,Base!$A:$A,0)),0)))</f>
        <v>11.648244999999999</v>
      </c>
      <c r="HD18" s="21">
        <f>IF(HD$1&lt;INDEX('Valo FX'!$Q:$Q,MATCH($A18,'Valo FX'!$A:$A,0)),0,IF(HD$1&lt;INDEX('Valo FX'!$R:$R,MATCH($A18,'Valo FX'!$A:$A,0)),INDEX(Base!$U:$U,MATCH($A18,Base!$A:$A,0)),IF(HD$1=INDEX('Valo FX'!$R:$R,MATCH($A18,'Valo FX'!$A:$A,0)),INDEX(Base!$V:$V,MATCH($A18,Base!$A:$A,0)),0)))</f>
        <v>11.648244999999999</v>
      </c>
      <c r="HE18" s="21">
        <f>IF(HE$1&lt;INDEX('Valo FX'!$Q:$Q,MATCH($A18,'Valo FX'!$A:$A,0)),0,IF(HE$1&lt;INDEX('Valo FX'!$R:$R,MATCH($A18,'Valo FX'!$A:$A,0)),INDEX(Base!$U:$U,MATCH($A18,Base!$A:$A,0)),IF(HE$1=INDEX('Valo FX'!$R:$R,MATCH($A18,'Valo FX'!$A:$A,0)),INDEX(Base!$V:$V,MATCH($A18,Base!$A:$A,0)),0)))</f>
        <v>11.648244999999999</v>
      </c>
      <c r="HF18" s="21">
        <f>IF(HF$1&lt;INDEX('Valo FX'!$Q:$Q,MATCH($A18,'Valo FX'!$A:$A,0)),0,IF(HF$1&lt;INDEX('Valo FX'!$R:$R,MATCH($A18,'Valo FX'!$A:$A,0)),INDEX(Base!$U:$U,MATCH($A18,Base!$A:$A,0)),IF(HF$1=INDEX('Valo FX'!$R:$R,MATCH($A18,'Valo FX'!$A:$A,0)),INDEX(Base!$V:$V,MATCH($A18,Base!$A:$A,0)),0)))</f>
        <v>11.648244999999999</v>
      </c>
      <c r="HG18" s="21">
        <f>IF(HG$1&lt;INDEX('Valo FX'!$Q:$Q,MATCH($A18,'Valo FX'!$A:$A,0)),0,IF(HG$1&lt;INDEX('Valo FX'!$R:$R,MATCH($A18,'Valo FX'!$A:$A,0)),INDEX(Base!$U:$U,MATCH($A18,Base!$A:$A,0)),IF(HG$1=INDEX('Valo FX'!$R:$R,MATCH($A18,'Valo FX'!$A:$A,0)),INDEX(Base!$V:$V,MATCH($A18,Base!$A:$A,0)),0)))</f>
        <v>11.648244999999999</v>
      </c>
      <c r="HH18" s="21">
        <f>IF(HH$1&lt;INDEX('Valo FX'!$Q:$Q,MATCH($A18,'Valo FX'!$A:$A,0)),0,IF(HH$1&lt;INDEX('Valo FX'!$R:$R,MATCH($A18,'Valo FX'!$A:$A,0)),INDEX(Base!$U:$U,MATCH($A18,Base!$A:$A,0)),IF(HH$1=INDEX('Valo FX'!$R:$R,MATCH($A18,'Valo FX'!$A:$A,0)),INDEX(Base!$V:$V,MATCH($A18,Base!$A:$A,0)),0)))</f>
        <v>11.648244999999999</v>
      </c>
      <c r="HI18" s="21">
        <f>IF(HI$1&lt;INDEX('Valo FX'!$Q:$Q,MATCH($A18,'Valo FX'!$A:$A,0)),0,IF(HI$1&lt;INDEX('Valo FX'!$R:$R,MATCH($A18,'Valo FX'!$A:$A,0)),INDEX(Base!$U:$U,MATCH($A18,Base!$A:$A,0)),IF(HI$1=INDEX('Valo FX'!$R:$R,MATCH($A18,'Valo FX'!$A:$A,0)),INDEX(Base!$V:$V,MATCH($A18,Base!$A:$A,0)),0)))</f>
        <v>11.648244999999999</v>
      </c>
      <c r="HJ18" s="21">
        <f>IF(HJ$1&lt;INDEX('Valo FX'!$Q:$Q,MATCH($A18,'Valo FX'!$A:$A,0)),0,IF(HJ$1&lt;INDEX('Valo FX'!$R:$R,MATCH($A18,'Valo FX'!$A:$A,0)),INDEX(Base!$U:$U,MATCH($A18,Base!$A:$A,0)),IF(HJ$1=INDEX('Valo FX'!$R:$R,MATCH($A18,'Valo FX'!$A:$A,0)),INDEX(Base!$V:$V,MATCH($A18,Base!$A:$A,0)),0)))</f>
        <v>11.648244999999999</v>
      </c>
      <c r="HK18" s="21">
        <f>IF(HK$1&lt;INDEX('Valo FX'!$Q:$Q,MATCH($A18,'Valo FX'!$A:$A,0)),0,IF(HK$1&lt;INDEX('Valo FX'!$R:$R,MATCH($A18,'Valo FX'!$A:$A,0)),INDEX(Base!$U:$U,MATCH($A18,Base!$A:$A,0)),IF(HK$1=INDEX('Valo FX'!$R:$R,MATCH($A18,'Valo FX'!$A:$A,0)),INDEX(Base!$V:$V,MATCH($A18,Base!$A:$A,0)),0)))</f>
        <v>11.648244999999999</v>
      </c>
      <c r="HL18" s="21">
        <f>IF(HL$1&lt;INDEX('Valo FX'!$Q:$Q,MATCH($A18,'Valo FX'!$A:$A,0)),0,IF(HL$1&lt;INDEX('Valo FX'!$R:$R,MATCH($A18,'Valo FX'!$A:$A,0)),INDEX(Base!$U:$U,MATCH($A18,Base!$A:$A,0)),IF(HL$1=INDEX('Valo FX'!$R:$R,MATCH($A18,'Valo FX'!$A:$A,0)),INDEX(Base!$V:$V,MATCH($A18,Base!$A:$A,0)),0)))</f>
        <v>11.648244999999999</v>
      </c>
      <c r="HM18" s="21">
        <f>IF(HM$1&lt;INDEX('Valo FX'!$Q:$Q,MATCH($A18,'Valo FX'!$A:$A,0)),0,IF(HM$1&lt;INDEX('Valo FX'!$R:$R,MATCH($A18,'Valo FX'!$A:$A,0)),INDEX(Base!$U:$U,MATCH($A18,Base!$A:$A,0)),IF(HM$1=INDEX('Valo FX'!$R:$R,MATCH($A18,'Valo FX'!$A:$A,0)),INDEX(Base!$V:$V,MATCH($A18,Base!$A:$A,0)),0)))</f>
        <v>11.648244999999999</v>
      </c>
      <c r="HN18" s="21">
        <f>IF(HN$1&lt;INDEX('Valo FX'!$Q:$Q,MATCH($A18,'Valo FX'!$A:$A,0)),0,IF(HN$1&lt;INDEX('Valo FX'!$R:$R,MATCH($A18,'Valo FX'!$A:$A,0)),INDEX(Base!$U:$U,MATCH($A18,Base!$A:$A,0)),IF(HN$1=INDEX('Valo FX'!$R:$R,MATCH($A18,'Valo FX'!$A:$A,0)),INDEX(Base!$V:$V,MATCH($A18,Base!$A:$A,0)),0)))</f>
        <v>11.648244999999999</v>
      </c>
      <c r="HO18" s="21">
        <f>IF(HO$1&lt;INDEX('Valo FX'!$Q:$Q,MATCH($A18,'Valo FX'!$A:$A,0)),0,IF(HO$1&lt;INDEX('Valo FX'!$R:$R,MATCH($A18,'Valo FX'!$A:$A,0)),INDEX(Base!$U:$U,MATCH($A18,Base!$A:$A,0)),IF(HO$1=INDEX('Valo FX'!$R:$R,MATCH($A18,'Valo FX'!$A:$A,0)),INDEX(Base!$V:$V,MATCH($A18,Base!$A:$A,0)),0)))</f>
        <v>11.648244999999999</v>
      </c>
      <c r="HP18" s="21">
        <f>IF(HP$1&lt;INDEX('Valo FX'!$Q:$Q,MATCH($A18,'Valo FX'!$A:$A,0)),0,IF(HP$1&lt;INDEX('Valo FX'!$R:$R,MATCH($A18,'Valo FX'!$A:$A,0)),INDEX(Base!$U:$U,MATCH($A18,Base!$A:$A,0)),IF(HP$1=INDEX('Valo FX'!$R:$R,MATCH($A18,'Valo FX'!$A:$A,0)),INDEX(Base!$V:$V,MATCH($A18,Base!$A:$A,0)),0)))</f>
        <v>11.648244999999999</v>
      </c>
      <c r="HQ18" s="21">
        <f>IF(HQ$1&lt;INDEX('Valo FX'!$Q:$Q,MATCH($A18,'Valo FX'!$A:$A,0)),0,IF(HQ$1&lt;INDEX('Valo FX'!$R:$R,MATCH($A18,'Valo FX'!$A:$A,0)),INDEX(Base!$U:$U,MATCH($A18,Base!$A:$A,0)),IF(HQ$1=INDEX('Valo FX'!$R:$R,MATCH($A18,'Valo FX'!$A:$A,0)),INDEX(Base!$V:$V,MATCH($A18,Base!$A:$A,0)),0)))</f>
        <v>11.648244999999999</v>
      </c>
      <c r="HR18" s="21">
        <f>IF(HR$1&lt;INDEX('Valo FX'!$Q:$Q,MATCH($A18,'Valo FX'!$A:$A,0)),0,IF(HR$1&lt;INDEX('Valo FX'!$R:$R,MATCH($A18,'Valo FX'!$A:$A,0)),INDEX(Base!$U:$U,MATCH($A18,Base!$A:$A,0)),IF(HR$1=INDEX('Valo FX'!$R:$R,MATCH($A18,'Valo FX'!$A:$A,0)),INDEX(Base!$V:$V,MATCH($A18,Base!$A:$A,0)),0)))</f>
        <v>11.648244999999999</v>
      </c>
      <c r="HS18" s="21">
        <f>IF(HS$1&lt;INDEX('Valo FX'!$Q:$Q,MATCH($A18,'Valo FX'!$A:$A,0)),0,IF(HS$1&lt;INDEX('Valo FX'!$R:$R,MATCH($A18,'Valo FX'!$A:$A,0)),INDEX(Base!$U:$U,MATCH($A18,Base!$A:$A,0)),IF(HS$1=INDEX('Valo FX'!$R:$R,MATCH($A18,'Valo FX'!$A:$A,0)),INDEX(Base!$V:$V,MATCH($A18,Base!$A:$A,0)),0)))</f>
        <v>11.648244999999999</v>
      </c>
      <c r="HT18" s="21">
        <f>IF(HT$1&lt;INDEX('Valo FX'!$Q:$Q,MATCH($A18,'Valo FX'!$A:$A,0)),0,IF(HT$1&lt;INDEX('Valo FX'!$R:$R,MATCH($A18,'Valo FX'!$A:$A,0)),INDEX(Base!$U:$U,MATCH($A18,Base!$A:$A,0)),IF(HT$1=INDEX('Valo FX'!$R:$R,MATCH($A18,'Valo FX'!$A:$A,0)),INDEX(Base!$V:$V,MATCH($A18,Base!$A:$A,0)),0)))</f>
        <v>11.648244999999999</v>
      </c>
      <c r="HU18" s="21">
        <f>IF(HU$1&lt;INDEX('Valo FX'!$Q:$Q,MATCH($A18,'Valo FX'!$A:$A,0)),0,IF(HU$1&lt;INDEX('Valo FX'!$R:$R,MATCH($A18,'Valo FX'!$A:$A,0)),INDEX(Base!$U:$U,MATCH($A18,Base!$A:$A,0)),IF(HU$1=INDEX('Valo FX'!$R:$R,MATCH($A18,'Valo FX'!$A:$A,0)),INDEX(Base!$V:$V,MATCH($A18,Base!$A:$A,0)),0)))</f>
        <v>11.648244999999999</v>
      </c>
      <c r="HV18" s="21">
        <f>IF(HV$1&lt;INDEX('Valo FX'!$Q:$Q,MATCH($A18,'Valo FX'!$A:$A,0)),0,IF(HV$1&lt;INDEX('Valo FX'!$R:$R,MATCH($A18,'Valo FX'!$A:$A,0)),INDEX(Base!$U:$U,MATCH($A18,Base!$A:$A,0)),IF(HV$1=INDEX('Valo FX'!$R:$R,MATCH($A18,'Valo FX'!$A:$A,0)),INDEX(Base!$V:$V,MATCH($A18,Base!$A:$A,0)),0)))</f>
        <v>11.648244999999999</v>
      </c>
      <c r="HW18" s="21">
        <f>IF(HW$1&lt;INDEX('Valo FX'!$Q:$Q,MATCH($A18,'Valo FX'!$A:$A,0)),0,IF(HW$1&lt;INDEX('Valo FX'!$R:$R,MATCH($A18,'Valo FX'!$A:$A,0)),INDEX(Base!$U:$U,MATCH($A18,Base!$A:$A,0)),IF(HW$1=INDEX('Valo FX'!$R:$R,MATCH($A18,'Valo FX'!$A:$A,0)),INDEX(Base!$V:$V,MATCH($A18,Base!$A:$A,0)),0)))</f>
        <v>11.648244999999999</v>
      </c>
      <c r="HX18" s="21">
        <f>IF(HX$1&lt;INDEX('Valo FX'!$Q:$Q,MATCH($A18,'Valo FX'!$A:$A,0)),0,IF(HX$1&lt;INDEX('Valo FX'!$R:$R,MATCH($A18,'Valo FX'!$A:$A,0)),INDEX(Base!$U:$U,MATCH($A18,Base!$A:$A,0)),IF(HX$1=INDEX('Valo FX'!$R:$R,MATCH($A18,'Valo FX'!$A:$A,0)),INDEX(Base!$V:$V,MATCH($A18,Base!$A:$A,0)),0)))</f>
        <v>11.648244999999999</v>
      </c>
      <c r="HY18" s="21">
        <f>IF(HY$1&lt;INDEX('Valo FX'!$Q:$Q,MATCH($A18,'Valo FX'!$A:$A,0)),0,IF(HY$1&lt;INDEX('Valo FX'!$R:$R,MATCH($A18,'Valo FX'!$A:$A,0)),INDEX(Base!$U:$U,MATCH($A18,Base!$A:$A,0)),IF(HY$1=INDEX('Valo FX'!$R:$R,MATCH($A18,'Valo FX'!$A:$A,0)),INDEX(Base!$V:$V,MATCH($A18,Base!$A:$A,0)),0)))</f>
        <v>11.648244999999999</v>
      </c>
      <c r="HZ18" s="21">
        <f>IF(HZ$1&lt;INDEX('Valo FX'!$Q:$Q,MATCH($A18,'Valo FX'!$A:$A,0)),0,IF(HZ$1&lt;INDEX('Valo FX'!$R:$R,MATCH($A18,'Valo FX'!$A:$A,0)),INDEX(Base!$U:$U,MATCH($A18,Base!$A:$A,0)),IF(HZ$1=INDEX('Valo FX'!$R:$R,MATCH($A18,'Valo FX'!$A:$A,0)),INDEX(Base!$V:$V,MATCH($A18,Base!$A:$A,0)),0)))</f>
        <v>11.648244999999999</v>
      </c>
      <c r="IA18" s="21">
        <f>IF(IA$1&lt;INDEX('Valo FX'!$Q:$Q,MATCH($A18,'Valo FX'!$A:$A,0)),0,IF(IA$1&lt;INDEX('Valo FX'!$R:$R,MATCH($A18,'Valo FX'!$A:$A,0)),INDEX(Base!$U:$U,MATCH($A18,Base!$A:$A,0)),IF(IA$1=INDEX('Valo FX'!$R:$R,MATCH($A18,'Valo FX'!$A:$A,0)),INDEX(Base!$V:$V,MATCH($A18,Base!$A:$A,0)),0)))</f>
        <v>11.648244999999999</v>
      </c>
      <c r="IB18" s="21">
        <f>IF(IB$1&lt;INDEX('Valo FX'!$Q:$Q,MATCH($A18,'Valo FX'!$A:$A,0)),0,IF(IB$1&lt;INDEX('Valo FX'!$R:$R,MATCH($A18,'Valo FX'!$A:$A,0)),INDEX(Base!$U:$U,MATCH($A18,Base!$A:$A,0)),IF(IB$1=INDEX('Valo FX'!$R:$R,MATCH($A18,'Valo FX'!$A:$A,0)),INDEX(Base!$V:$V,MATCH($A18,Base!$A:$A,0)),0)))</f>
        <v>11.648244999999999</v>
      </c>
      <c r="IC18" s="21">
        <f>IF(IC$1&lt;INDEX('Valo FX'!$Q:$Q,MATCH($A18,'Valo FX'!$A:$A,0)),0,IF(IC$1&lt;INDEX('Valo FX'!$R:$R,MATCH($A18,'Valo FX'!$A:$A,0)),INDEX(Base!$U:$U,MATCH($A18,Base!$A:$A,0)),IF(IC$1=INDEX('Valo FX'!$R:$R,MATCH($A18,'Valo FX'!$A:$A,0)),INDEX(Base!$V:$V,MATCH($A18,Base!$A:$A,0)),0)))</f>
        <v>11.648244999999999</v>
      </c>
      <c r="ID18" s="21">
        <f>IF(ID$1&lt;INDEX('Valo FX'!$Q:$Q,MATCH($A18,'Valo FX'!$A:$A,0)),0,IF(ID$1&lt;INDEX('Valo FX'!$R:$R,MATCH($A18,'Valo FX'!$A:$A,0)),INDEX(Base!$U:$U,MATCH($A18,Base!$A:$A,0)),IF(ID$1=INDEX('Valo FX'!$R:$R,MATCH($A18,'Valo FX'!$A:$A,0)),INDEX(Base!$V:$V,MATCH($A18,Base!$A:$A,0)),0)))</f>
        <v>11.648244999999999</v>
      </c>
      <c r="IE18" s="21">
        <f>IF(IE$1&lt;INDEX('Valo FX'!$Q:$Q,MATCH($A18,'Valo FX'!$A:$A,0)),0,IF(IE$1&lt;INDEX('Valo FX'!$R:$R,MATCH($A18,'Valo FX'!$A:$A,0)),INDEX(Base!$U:$U,MATCH($A18,Base!$A:$A,0)),IF(IE$1=INDEX('Valo FX'!$R:$R,MATCH($A18,'Valo FX'!$A:$A,0)),INDEX(Base!$V:$V,MATCH($A18,Base!$A:$A,0)),0)))</f>
        <v>11.648244999999999</v>
      </c>
      <c r="IF18" s="21">
        <f>IF(IF$1&lt;INDEX('Valo FX'!$Q:$Q,MATCH($A18,'Valo FX'!$A:$A,0)),0,IF(IF$1&lt;INDEX('Valo FX'!$R:$R,MATCH($A18,'Valo FX'!$A:$A,0)),INDEX(Base!$U:$U,MATCH($A18,Base!$A:$A,0)),IF(IF$1=INDEX('Valo FX'!$R:$R,MATCH($A18,'Valo FX'!$A:$A,0)),INDEX(Base!$V:$V,MATCH($A18,Base!$A:$A,0)),0)))</f>
        <v>11.648244999999999</v>
      </c>
      <c r="IG18" s="21">
        <f>IF(IG$1&lt;INDEX('Valo FX'!$Q:$Q,MATCH($A18,'Valo FX'!$A:$A,0)),0,IF(IG$1&lt;INDEX('Valo FX'!$R:$R,MATCH($A18,'Valo FX'!$A:$A,0)),INDEX(Base!$U:$U,MATCH($A18,Base!$A:$A,0)),IF(IG$1=INDEX('Valo FX'!$R:$R,MATCH($A18,'Valo FX'!$A:$A,0)),INDEX(Base!$V:$V,MATCH($A18,Base!$A:$A,0)),0)))</f>
        <v>11.648244999999999</v>
      </c>
      <c r="IH18" s="21">
        <f>IF(IH$1&lt;INDEX('Valo FX'!$Q:$Q,MATCH($A18,'Valo FX'!$A:$A,0)),0,IF(IH$1&lt;INDEX('Valo FX'!$R:$R,MATCH($A18,'Valo FX'!$A:$A,0)),INDEX(Base!$U:$U,MATCH($A18,Base!$A:$A,0)),IF(IH$1=INDEX('Valo FX'!$R:$R,MATCH($A18,'Valo FX'!$A:$A,0)),INDEX(Base!$V:$V,MATCH($A18,Base!$A:$A,0)),0)))</f>
        <v>11.648244999999999</v>
      </c>
      <c r="II18" s="21">
        <f>IF(II$1&lt;INDEX('Valo FX'!$Q:$Q,MATCH($A18,'Valo FX'!$A:$A,0)),0,IF(II$1&lt;INDEX('Valo FX'!$R:$R,MATCH($A18,'Valo FX'!$A:$A,0)),INDEX(Base!$U:$U,MATCH($A18,Base!$A:$A,0)),IF(II$1=INDEX('Valo FX'!$R:$R,MATCH($A18,'Valo FX'!$A:$A,0)),INDEX(Base!$V:$V,MATCH($A18,Base!$A:$A,0)),0)))</f>
        <v>11.648244999999999</v>
      </c>
      <c r="IJ18" s="21">
        <f>IF(IJ$1&lt;INDEX('Valo FX'!$Q:$Q,MATCH($A18,'Valo FX'!$A:$A,0)),0,IF(IJ$1&lt;INDEX('Valo FX'!$R:$R,MATCH($A18,'Valo FX'!$A:$A,0)),INDEX(Base!$U:$U,MATCH($A18,Base!$A:$A,0)),IF(IJ$1=INDEX('Valo FX'!$R:$R,MATCH($A18,'Valo FX'!$A:$A,0)),INDEX(Base!$V:$V,MATCH($A18,Base!$A:$A,0)),0)))</f>
        <v>11.648244999999999</v>
      </c>
      <c r="IK18" s="21">
        <f>IF(IK$1&lt;INDEX('Valo FX'!$Q:$Q,MATCH($A18,'Valo FX'!$A:$A,0)),0,IF(IK$1&lt;INDEX('Valo FX'!$R:$R,MATCH($A18,'Valo FX'!$A:$A,0)),INDEX(Base!$U:$U,MATCH($A18,Base!$A:$A,0)),IF(IK$1=INDEX('Valo FX'!$R:$R,MATCH($A18,'Valo FX'!$A:$A,0)),INDEX(Base!$V:$V,MATCH($A18,Base!$A:$A,0)),0)))</f>
        <v>11.648244999999999</v>
      </c>
      <c r="IL18" s="21">
        <f>IF(IL$1&lt;INDEX('Valo FX'!$Q:$Q,MATCH($A18,'Valo FX'!$A:$A,0)),0,IF(IL$1&lt;INDEX('Valo FX'!$R:$R,MATCH($A18,'Valo FX'!$A:$A,0)),INDEX(Base!$U:$U,MATCH($A18,Base!$A:$A,0)),IF(IL$1=INDEX('Valo FX'!$R:$R,MATCH($A18,'Valo FX'!$A:$A,0)),INDEX(Base!$V:$V,MATCH($A18,Base!$A:$A,0)),0)))</f>
        <v>11.648244999999999</v>
      </c>
      <c r="IM18" s="21">
        <f>IF(IM$1&lt;INDEX('Valo FX'!$Q:$Q,MATCH($A18,'Valo FX'!$A:$A,0)),0,IF(IM$1&lt;INDEX('Valo FX'!$R:$R,MATCH($A18,'Valo FX'!$A:$A,0)),INDEX(Base!$U:$U,MATCH($A18,Base!$A:$A,0)),IF(IM$1=INDEX('Valo FX'!$R:$R,MATCH($A18,'Valo FX'!$A:$A,0)),INDEX(Base!$V:$V,MATCH($A18,Base!$A:$A,0)),0)))</f>
        <v>11.648244999999999</v>
      </c>
      <c r="IN18" s="21">
        <f>IF(IN$1&lt;INDEX('Valo FX'!$Q:$Q,MATCH($A18,'Valo FX'!$A:$A,0)),0,IF(IN$1&lt;INDEX('Valo FX'!$R:$R,MATCH($A18,'Valo FX'!$A:$A,0)),INDEX(Base!$U:$U,MATCH($A18,Base!$A:$A,0)),IF(IN$1=INDEX('Valo FX'!$R:$R,MATCH($A18,'Valo FX'!$A:$A,0)),INDEX(Base!$V:$V,MATCH($A18,Base!$A:$A,0)),0)))</f>
        <v>11.648244999999999</v>
      </c>
      <c r="IO18" s="21">
        <f>IF(IO$1&lt;INDEX('Valo FX'!$Q:$Q,MATCH($A18,'Valo FX'!$A:$A,0)),0,IF(IO$1&lt;INDEX('Valo FX'!$R:$R,MATCH($A18,'Valo FX'!$A:$A,0)),INDEX(Base!$U:$U,MATCH($A18,Base!$A:$A,0)),IF(IO$1=INDEX('Valo FX'!$R:$R,MATCH($A18,'Valo FX'!$A:$A,0)),INDEX(Base!$V:$V,MATCH($A18,Base!$A:$A,0)),0)))</f>
        <v>11.648244999999999</v>
      </c>
      <c r="IP18" s="21">
        <f>IF(IP$1&lt;INDEX('Valo FX'!$Q:$Q,MATCH($A18,'Valo FX'!$A:$A,0)),0,IF(IP$1&lt;INDEX('Valo FX'!$R:$R,MATCH($A18,'Valo FX'!$A:$A,0)),INDEX(Base!$U:$U,MATCH($A18,Base!$A:$A,0)),IF(IP$1=INDEX('Valo FX'!$R:$R,MATCH($A18,'Valo FX'!$A:$A,0)),INDEX(Base!$V:$V,MATCH($A18,Base!$A:$A,0)),0)))</f>
        <v>11.648244999999999</v>
      </c>
      <c r="IQ18" s="21">
        <f>IF(IQ$1&lt;INDEX('Valo FX'!$Q:$Q,MATCH($A18,'Valo FX'!$A:$A,0)),0,IF(IQ$1&lt;INDEX('Valo FX'!$R:$R,MATCH($A18,'Valo FX'!$A:$A,0)),INDEX(Base!$U:$U,MATCH($A18,Base!$A:$A,0)),IF(IQ$1=INDEX('Valo FX'!$R:$R,MATCH($A18,'Valo FX'!$A:$A,0)),INDEX(Base!$V:$V,MATCH($A18,Base!$A:$A,0)),0)))</f>
        <v>11.648244999999999</v>
      </c>
      <c r="IR18" s="21">
        <f>IF(IR$1&lt;INDEX('Valo FX'!$Q:$Q,MATCH($A18,'Valo FX'!$A:$A,0)),0,IF(IR$1&lt;INDEX('Valo FX'!$R:$R,MATCH($A18,'Valo FX'!$A:$A,0)),INDEX(Base!$U:$U,MATCH($A18,Base!$A:$A,0)),IF(IR$1=INDEX('Valo FX'!$R:$R,MATCH($A18,'Valo FX'!$A:$A,0)),INDEX(Base!$V:$V,MATCH($A18,Base!$A:$A,0)),0)))</f>
        <v>11.648244999999999</v>
      </c>
      <c r="IS18" s="21">
        <f>IF(IS$1&lt;INDEX('Valo FX'!$Q:$Q,MATCH($A18,'Valo FX'!$A:$A,0)),0,IF(IS$1&lt;INDEX('Valo FX'!$R:$R,MATCH($A18,'Valo FX'!$A:$A,0)),INDEX(Base!$U:$U,MATCH($A18,Base!$A:$A,0)),IF(IS$1=INDEX('Valo FX'!$R:$R,MATCH($A18,'Valo FX'!$A:$A,0)),INDEX(Base!$V:$V,MATCH($A18,Base!$A:$A,0)),0)))</f>
        <v>11.648244999999999</v>
      </c>
      <c r="IT18" s="21">
        <f>IF(IT$1&lt;INDEX('Valo FX'!$Q:$Q,MATCH($A18,'Valo FX'!$A:$A,0)),0,IF(IT$1&lt;INDEX('Valo FX'!$R:$R,MATCH($A18,'Valo FX'!$A:$A,0)),INDEX(Base!$U:$U,MATCH($A18,Base!$A:$A,0)),IF(IT$1=INDEX('Valo FX'!$R:$R,MATCH($A18,'Valo FX'!$A:$A,0)),INDEX(Base!$V:$V,MATCH($A18,Base!$A:$A,0)),0)))</f>
        <v>11.648244999999999</v>
      </c>
      <c r="IU18" s="21">
        <f>IF(IU$1&lt;INDEX('Valo FX'!$Q:$Q,MATCH($A18,'Valo FX'!$A:$A,0)),0,IF(IU$1&lt;INDEX('Valo FX'!$R:$R,MATCH($A18,'Valo FX'!$A:$A,0)),INDEX(Base!$U:$U,MATCH($A18,Base!$A:$A,0)),IF(IU$1=INDEX('Valo FX'!$R:$R,MATCH($A18,'Valo FX'!$A:$A,0)),INDEX(Base!$V:$V,MATCH($A18,Base!$A:$A,0)),0)))</f>
        <v>11.648244999999999</v>
      </c>
      <c r="IV18" s="21">
        <f>IF(IV$1&lt;INDEX('Valo FX'!$Q:$Q,MATCH($A18,'Valo FX'!$A:$A,0)),0,IF(IV$1&lt;INDEX('Valo FX'!$R:$R,MATCH($A18,'Valo FX'!$A:$A,0)),INDEX(Base!$U:$U,MATCH($A18,Base!$A:$A,0)),IF(IV$1=INDEX('Valo FX'!$R:$R,MATCH($A18,'Valo FX'!$A:$A,0)),INDEX(Base!$V:$V,MATCH($A18,Base!$A:$A,0)),0)))</f>
        <v>11.648244999999999</v>
      </c>
      <c r="IW18" s="21">
        <f>IF(IW$1&lt;INDEX('Valo FX'!$Q:$Q,MATCH($A18,'Valo FX'!$A:$A,0)),0,IF(IW$1&lt;INDEX('Valo FX'!$R:$R,MATCH($A18,'Valo FX'!$A:$A,0)),INDEX(Base!$U:$U,MATCH($A18,Base!$A:$A,0)),IF(IW$1=INDEX('Valo FX'!$R:$R,MATCH($A18,'Valo FX'!$A:$A,0)),INDEX(Base!$V:$V,MATCH($A18,Base!$A:$A,0)),0)))</f>
        <v>11.648244999999999</v>
      </c>
      <c r="IX18" s="21">
        <f>IF(IX$1&lt;INDEX('Valo FX'!$Q:$Q,MATCH($A18,'Valo FX'!$A:$A,0)),0,IF(IX$1&lt;INDEX('Valo FX'!$R:$R,MATCH($A18,'Valo FX'!$A:$A,0)),INDEX(Base!$U:$U,MATCH($A18,Base!$A:$A,0)),IF(IX$1=INDEX('Valo FX'!$R:$R,MATCH($A18,'Valo FX'!$A:$A,0)),INDEX(Base!$V:$V,MATCH($A18,Base!$A:$A,0)),0)))</f>
        <v>11.648244999999999</v>
      </c>
      <c r="IY18" s="21">
        <f>IF(IY$1&lt;INDEX('Valo FX'!$Q:$Q,MATCH($A18,'Valo FX'!$A:$A,0)),0,IF(IY$1&lt;INDEX('Valo FX'!$R:$R,MATCH($A18,'Valo FX'!$A:$A,0)),INDEX(Base!$U:$U,MATCH($A18,Base!$A:$A,0)),IF(IY$1=INDEX('Valo FX'!$R:$R,MATCH($A18,'Valo FX'!$A:$A,0)),INDEX(Base!$V:$V,MATCH($A18,Base!$A:$A,0)),0)))</f>
        <v>11.648244999999999</v>
      </c>
      <c r="IZ18" s="21">
        <f>IF(IZ$1&lt;INDEX('Valo FX'!$Q:$Q,MATCH($A18,'Valo FX'!$A:$A,0)),0,IF(IZ$1&lt;INDEX('Valo FX'!$R:$R,MATCH($A18,'Valo FX'!$A:$A,0)),INDEX(Base!$U:$U,MATCH($A18,Base!$A:$A,0)),IF(IZ$1=INDEX('Valo FX'!$R:$R,MATCH($A18,'Valo FX'!$A:$A,0)),INDEX(Base!$V:$V,MATCH($A18,Base!$A:$A,0)),0)))</f>
        <v>11.648244999999999</v>
      </c>
      <c r="JA18" s="21">
        <f>IF(JA$1&lt;INDEX('Valo FX'!$Q:$Q,MATCH($A18,'Valo FX'!$A:$A,0)),0,IF(JA$1&lt;INDEX('Valo FX'!$R:$R,MATCH($A18,'Valo FX'!$A:$A,0)),INDEX(Base!$U:$U,MATCH($A18,Base!$A:$A,0)),IF(JA$1=INDEX('Valo FX'!$R:$R,MATCH($A18,'Valo FX'!$A:$A,0)),INDEX(Base!$V:$V,MATCH($A18,Base!$A:$A,0)),0)))</f>
        <v>11.648244999999999</v>
      </c>
      <c r="JB18" s="21">
        <f>IF(JB$1&lt;INDEX('Valo FX'!$Q:$Q,MATCH($A18,'Valo FX'!$A:$A,0)),0,IF(JB$1&lt;INDEX('Valo FX'!$R:$R,MATCH($A18,'Valo FX'!$A:$A,0)),INDEX(Base!$U:$U,MATCH($A18,Base!$A:$A,0)),IF(JB$1=INDEX('Valo FX'!$R:$R,MATCH($A18,'Valo FX'!$A:$A,0)),INDEX(Base!$V:$V,MATCH($A18,Base!$A:$A,0)),0)))</f>
        <v>11.648244999999999</v>
      </c>
      <c r="JC18" s="21">
        <f>IF(JC$1&lt;INDEX('Valo FX'!$Q:$Q,MATCH($A18,'Valo FX'!$A:$A,0)),0,IF(JC$1&lt;INDEX('Valo FX'!$R:$R,MATCH($A18,'Valo FX'!$A:$A,0)),INDEX(Base!$U:$U,MATCH($A18,Base!$A:$A,0)),IF(JC$1=INDEX('Valo FX'!$R:$R,MATCH($A18,'Valo FX'!$A:$A,0)),INDEX(Base!$V:$V,MATCH($A18,Base!$A:$A,0)),0)))</f>
        <v>11.648244999999999</v>
      </c>
      <c r="JD18" s="21">
        <f>IF(JD$1&lt;INDEX('Valo FX'!$Q:$Q,MATCH($A18,'Valo FX'!$A:$A,0)),0,IF(JD$1&lt;INDEX('Valo FX'!$R:$R,MATCH($A18,'Valo FX'!$A:$A,0)),INDEX(Base!$U:$U,MATCH($A18,Base!$A:$A,0)),IF(JD$1=INDEX('Valo FX'!$R:$R,MATCH($A18,'Valo FX'!$A:$A,0)),INDEX(Base!$V:$V,MATCH($A18,Base!$A:$A,0)),0)))</f>
        <v>11.648244999999999</v>
      </c>
      <c r="JE18" s="21">
        <f>IF(JE$1&lt;INDEX('Valo FX'!$Q:$Q,MATCH($A18,'Valo FX'!$A:$A,0)),0,IF(JE$1&lt;INDEX('Valo FX'!$R:$R,MATCH($A18,'Valo FX'!$A:$A,0)),INDEX(Base!$U:$U,MATCH($A18,Base!$A:$A,0)),IF(JE$1=INDEX('Valo FX'!$R:$R,MATCH($A18,'Valo FX'!$A:$A,0)),INDEX(Base!$V:$V,MATCH($A18,Base!$A:$A,0)),0)))</f>
        <v>11.648244999999999</v>
      </c>
      <c r="JF18" s="21">
        <f>IF(JF$1&lt;INDEX('Valo FX'!$Q:$Q,MATCH($A18,'Valo FX'!$A:$A,0)),0,IF(JF$1&lt;INDEX('Valo FX'!$R:$R,MATCH($A18,'Valo FX'!$A:$A,0)),INDEX(Base!$U:$U,MATCH($A18,Base!$A:$A,0)),IF(JF$1=INDEX('Valo FX'!$R:$R,MATCH($A18,'Valo FX'!$A:$A,0)),INDEX(Base!$V:$V,MATCH($A18,Base!$A:$A,0)),0)))</f>
        <v>11.648244999999999</v>
      </c>
      <c r="JG18" s="21">
        <f>IF(JG$1&lt;INDEX('Valo FX'!$Q:$Q,MATCH($A18,'Valo FX'!$A:$A,0)),0,IF(JG$1&lt;INDEX('Valo FX'!$R:$R,MATCH($A18,'Valo FX'!$A:$A,0)),INDEX(Base!$U:$U,MATCH($A18,Base!$A:$A,0)),IF(JG$1=INDEX('Valo FX'!$R:$R,MATCH($A18,'Valo FX'!$A:$A,0)),INDEX(Base!$V:$V,MATCH($A18,Base!$A:$A,0)),0)))</f>
        <v>11.648244999999999</v>
      </c>
      <c r="JH18" s="21">
        <f>IF(JH$1&lt;INDEX('Valo FX'!$Q:$Q,MATCH($A18,'Valo FX'!$A:$A,0)),0,IF(JH$1&lt;INDEX('Valo FX'!$R:$R,MATCH($A18,'Valo FX'!$A:$A,0)),INDEX(Base!$U:$U,MATCH($A18,Base!$A:$A,0)),IF(JH$1=INDEX('Valo FX'!$R:$R,MATCH($A18,'Valo FX'!$A:$A,0)),INDEX(Base!$V:$V,MATCH($A18,Base!$A:$A,0)),0)))</f>
        <v>11.648244999999999</v>
      </c>
      <c r="JI18" s="21">
        <f>IF(JI$1&lt;INDEX('Valo FX'!$Q:$Q,MATCH($A18,'Valo FX'!$A:$A,0)),0,IF(JI$1&lt;INDEX('Valo FX'!$R:$R,MATCH($A18,'Valo FX'!$A:$A,0)),INDEX(Base!$U:$U,MATCH($A18,Base!$A:$A,0)),IF(JI$1=INDEX('Valo FX'!$R:$R,MATCH($A18,'Valo FX'!$A:$A,0)),INDEX(Base!$V:$V,MATCH($A18,Base!$A:$A,0)),0)))</f>
        <v>11.648244999999999</v>
      </c>
      <c r="JJ18" s="21">
        <f>IF(JJ$1&lt;INDEX('Valo FX'!$Q:$Q,MATCH($A18,'Valo FX'!$A:$A,0)),0,IF(JJ$1&lt;INDEX('Valo FX'!$R:$R,MATCH($A18,'Valo FX'!$A:$A,0)),INDEX(Base!$U:$U,MATCH($A18,Base!$A:$A,0)),IF(JJ$1=INDEX('Valo FX'!$R:$R,MATCH($A18,'Valo FX'!$A:$A,0)),INDEX(Base!$V:$V,MATCH($A18,Base!$A:$A,0)),0)))</f>
        <v>11.648244999999999</v>
      </c>
      <c r="JK18" s="21">
        <f>IF(JK$1&lt;INDEX('Valo FX'!$Q:$Q,MATCH($A18,'Valo FX'!$A:$A,0)),0,IF(JK$1&lt;INDEX('Valo FX'!$R:$R,MATCH($A18,'Valo FX'!$A:$A,0)),INDEX(Base!$U:$U,MATCH($A18,Base!$A:$A,0)),IF(JK$1=INDEX('Valo FX'!$R:$R,MATCH($A18,'Valo FX'!$A:$A,0)),INDEX(Base!$V:$V,MATCH($A18,Base!$A:$A,0)),0)))</f>
        <v>11.648244999999999</v>
      </c>
      <c r="JL18" s="21">
        <f>IF(JL$1&lt;INDEX('Valo FX'!$Q:$Q,MATCH($A18,'Valo FX'!$A:$A,0)),0,IF(JL$1&lt;INDEX('Valo FX'!$R:$R,MATCH($A18,'Valo FX'!$A:$A,0)),INDEX(Base!$U:$U,MATCH($A18,Base!$A:$A,0)),IF(JL$1=INDEX('Valo FX'!$R:$R,MATCH($A18,'Valo FX'!$A:$A,0)),INDEX(Base!$V:$V,MATCH($A18,Base!$A:$A,0)),0)))</f>
        <v>11.648244999999999</v>
      </c>
      <c r="JM18" s="21">
        <f>IF(JM$1&lt;INDEX('Valo FX'!$Q:$Q,MATCH($A18,'Valo FX'!$A:$A,0)),0,IF(JM$1&lt;INDEX('Valo FX'!$R:$R,MATCH($A18,'Valo FX'!$A:$A,0)),INDEX(Base!$U:$U,MATCH($A18,Base!$A:$A,0)),IF(JM$1=INDEX('Valo FX'!$R:$R,MATCH($A18,'Valo FX'!$A:$A,0)),INDEX(Base!$V:$V,MATCH($A18,Base!$A:$A,0)),0)))</f>
        <v>11.648244999999999</v>
      </c>
      <c r="JN18" s="21">
        <f>IF(JN$1&lt;INDEX('Valo FX'!$Q:$Q,MATCH($A18,'Valo FX'!$A:$A,0)),0,IF(JN$1&lt;INDEX('Valo FX'!$R:$R,MATCH($A18,'Valo FX'!$A:$A,0)),INDEX(Base!$U:$U,MATCH($A18,Base!$A:$A,0)),IF(JN$1=INDEX('Valo FX'!$R:$R,MATCH($A18,'Valo FX'!$A:$A,0)),INDEX(Base!$V:$V,MATCH($A18,Base!$A:$A,0)),0)))</f>
        <v>11.648244999999999</v>
      </c>
      <c r="JO18" s="21">
        <f>IF(JO$1&lt;INDEX('Valo FX'!$Q:$Q,MATCH($A18,'Valo FX'!$A:$A,0)),0,IF(JO$1&lt;INDEX('Valo FX'!$R:$R,MATCH($A18,'Valo FX'!$A:$A,0)),INDEX(Base!$U:$U,MATCH($A18,Base!$A:$A,0)),IF(JO$1=INDEX('Valo FX'!$R:$R,MATCH($A18,'Valo FX'!$A:$A,0)),INDEX(Base!$V:$V,MATCH($A18,Base!$A:$A,0)),0)))</f>
        <v>11.648244999999999</v>
      </c>
      <c r="JP18" s="21">
        <f>IF(JP$1&lt;INDEX('Valo FX'!$Q:$Q,MATCH($A18,'Valo FX'!$A:$A,0)),0,IF(JP$1&lt;INDEX('Valo FX'!$R:$R,MATCH($A18,'Valo FX'!$A:$A,0)),INDEX(Base!$U:$U,MATCH($A18,Base!$A:$A,0)),IF(JP$1=INDEX('Valo FX'!$R:$R,MATCH($A18,'Valo FX'!$A:$A,0)),INDEX(Base!$V:$V,MATCH($A18,Base!$A:$A,0)),0)))</f>
        <v>11.648244999999999</v>
      </c>
      <c r="JQ18" s="21">
        <f>IF(JQ$1&lt;INDEX('Valo FX'!$Q:$Q,MATCH($A18,'Valo FX'!$A:$A,0)),0,IF(JQ$1&lt;INDEX('Valo FX'!$R:$R,MATCH($A18,'Valo FX'!$A:$A,0)),INDEX(Base!$U:$U,MATCH($A18,Base!$A:$A,0)),IF(JQ$1=INDEX('Valo FX'!$R:$R,MATCH($A18,'Valo FX'!$A:$A,0)),INDEX(Base!$V:$V,MATCH($A18,Base!$A:$A,0)),0)))</f>
        <v>11.648244999999999</v>
      </c>
      <c r="JR18" s="21">
        <f>IF(JR$1&lt;INDEX('Valo FX'!$Q:$Q,MATCH($A18,'Valo FX'!$A:$A,0)),0,IF(JR$1&lt;INDEX('Valo FX'!$R:$R,MATCH($A18,'Valo FX'!$A:$A,0)),INDEX(Base!$U:$U,MATCH($A18,Base!$A:$A,0)),IF(JR$1=INDEX('Valo FX'!$R:$R,MATCH($A18,'Valo FX'!$A:$A,0)),INDEX(Base!$V:$V,MATCH($A18,Base!$A:$A,0)),0)))</f>
        <v>11.648244999999999</v>
      </c>
      <c r="JS18" s="21">
        <f>IF(JS$1&lt;INDEX('Valo FX'!$Q:$Q,MATCH($A18,'Valo FX'!$A:$A,0)),0,IF(JS$1&lt;INDEX('Valo FX'!$R:$R,MATCH($A18,'Valo FX'!$A:$A,0)),INDEX(Base!$U:$U,MATCH($A18,Base!$A:$A,0)),IF(JS$1=INDEX('Valo FX'!$R:$R,MATCH($A18,'Valo FX'!$A:$A,0)),INDEX(Base!$V:$V,MATCH($A18,Base!$A:$A,0)),0)))</f>
        <v>11.648244999999999</v>
      </c>
      <c r="JT18" s="21">
        <f>IF(JT$1&lt;INDEX('Valo FX'!$Q:$Q,MATCH($A18,'Valo FX'!$A:$A,0)),0,IF(JT$1&lt;INDEX('Valo FX'!$R:$R,MATCH($A18,'Valo FX'!$A:$A,0)),INDEX(Base!$U:$U,MATCH($A18,Base!$A:$A,0)),IF(JT$1=INDEX('Valo FX'!$R:$R,MATCH($A18,'Valo FX'!$A:$A,0)),INDEX(Base!$V:$V,MATCH($A18,Base!$A:$A,0)),0)))</f>
        <v>11.648244999999999</v>
      </c>
      <c r="JU18" s="21">
        <f>IF(JU$1&lt;INDEX('Valo FX'!$Q:$Q,MATCH($A18,'Valo FX'!$A:$A,0)),0,IF(JU$1&lt;INDEX('Valo FX'!$R:$R,MATCH($A18,'Valo FX'!$A:$A,0)),INDEX(Base!$U:$U,MATCH($A18,Base!$A:$A,0)),IF(JU$1=INDEX('Valo FX'!$R:$R,MATCH($A18,'Valo FX'!$A:$A,0)),INDEX(Base!$V:$V,MATCH($A18,Base!$A:$A,0)),0)))</f>
        <v>11.648244999999999</v>
      </c>
      <c r="JV18" s="21">
        <f>IF(JV$1&lt;INDEX('Valo FX'!$Q:$Q,MATCH($A18,'Valo FX'!$A:$A,0)),0,IF(JV$1&lt;INDEX('Valo FX'!$R:$R,MATCH($A18,'Valo FX'!$A:$A,0)),INDEX(Base!$U:$U,MATCH($A18,Base!$A:$A,0)),IF(JV$1=INDEX('Valo FX'!$R:$R,MATCH($A18,'Valo FX'!$A:$A,0)),INDEX(Base!$V:$V,MATCH($A18,Base!$A:$A,0)),0)))</f>
        <v>11.648244999999999</v>
      </c>
      <c r="JW18" s="21">
        <f>IF(JW$1&lt;INDEX('Valo FX'!$Q:$Q,MATCH($A18,'Valo FX'!$A:$A,0)),0,IF(JW$1&lt;INDEX('Valo FX'!$R:$R,MATCH($A18,'Valo FX'!$A:$A,0)),INDEX(Base!$U:$U,MATCH($A18,Base!$A:$A,0)),IF(JW$1=INDEX('Valo FX'!$R:$R,MATCH($A18,'Valo FX'!$A:$A,0)),INDEX(Base!$V:$V,MATCH($A18,Base!$A:$A,0)),0)))</f>
        <v>11.648244999999999</v>
      </c>
      <c r="JX18" s="21">
        <f>IF(JX$1&lt;INDEX('Valo FX'!$Q:$Q,MATCH($A18,'Valo FX'!$A:$A,0)),0,IF(JX$1&lt;INDEX('Valo FX'!$R:$R,MATCH($A18,'Valo FX'!$A:$A,0)),INDEX(Base!$U:$U,MATCH($A18,Base!$A:$A,0)),IF(JX$1=INDEX('Valo FX'!$R:$R,MATCH($A18,'Valo FX'!$A:$A,0)),INDEX(Base!$V:$V,MATCH($A18,Base!$A:$A,0)),0)))</f>
        <v>11.648244999999999</v>
      </c>
      <c r="JY18" s="21">
        <f>IF(JY$1&lt;INDEX('Valo FX'!$Q:$Q,MATCH($A18,'Valo FX'!$A:$A,0)),0,IF(JY$1&lt;INDEX('Valo FX'!$R:$R,MATCH($A18,'Valo FX'!$A:$A,0)),INDEX(Base!$U:$U,MATCH($A18,Base!$A:$A,0)),IF(JY$1=INDEX('Valo FX'!$R:$R,MATCH($A18,'Valo FX'!$A:$A,0)),INDEX(Base!$V:$V,MATCH($A18,Base!$A:$A,0)),0)))</f>
        <v>11.648244999999999</v>
      </c>
      <c r="JZ18" s="21">
        <f>IF(JZ$1&lt;INDEX('Valo FX'!$Q:$Q,MATCH($A18,'Valo FX'!$A:$A,0)),0,IF(JZ$1&lt;INDEX('Valo FX'!$R:$R,MATCH($A18,'Valo FX'!$A:$A,0)),INDEX(Base!$U:$U,MATCH($A18,Base!$A:$A,0)),IF(JZ$1=INDEX('Valo FX'!$R:$R,MATCH($A18,'Valo FX'!$A:$A,0)),INDEX(Base!$V:$V,MATCH($A18,Base!$A:$A,0)),0)))</f>
        <v>11.648244999999999</v>
      </c>
      <c r="KA18" s="21">
        <f>IF(KA$1&lt;INDEX('Valo FX'!$Q:$Q,MATCH($A18,'Valo FX'!$A:$A,0)),0,IF(KA$1&lt;INDEX('Valo FX'!$R:$R,MATCH($A18,'Valo FX'!$A:$A,0)),INDEX(Base!$U:$U,MATCH($A18,Base!$A:$A,0)),IF(KA$1=INDEX('Valo FX'!$R:$R,MATCH($A18,'Valo FX'!$A:$A,0)),INDEX(Base!$V:$V,MATCH($A18,Base!$A:$A,0)),0)))</f>
        <v>11.648244999999999</v>
      </c>
      <c r="KB18" s="21">
        <f>IF(KB$1&lt;INDEX('Valo FX'!$Q:$Q,MATCH($A18,'Valo FX'!$A:$A,0)),0,IF(KB$1&lt;INDEX('Valo FX'!$R:$R,MATCH($A18,'Valo FX'!$A:$A,0)),INDEX(Base!$U:$U,MATCH($A18,Base!$A:$A,0)),IF(KB$1=INDEX('Valo FX'!$R:$R,MATCH($A18,'Valo FX'!$A:$A,0)),INDEX(Base!$V:$V,MATCH($A18,Base!$A:$A,0)),0)))</f>
        <v>11.648244999999999</v>
      </c>
      <c r="KC18" s="21">
        <f>IF(KC$1&lt;INDEX('Valo FX'!$Q:$Q,MATCH($A18,'Valo FX'!$A:$A,0)),0,IF(KC$1&lt;INDEX('Valo FX'!$R:$R,MATCH($A18,'Valo FX'!$A:$A,0)),INDEX(Base!$U:$U,MATCH($A18,Base!$A:$A,0)),IF(KC$1=INDEX('Valo FX'!$R:$R,MATCH($A18,'Valo FX'!$A:$A,0)),INDEX(Base!$V:$V,MATCH($A18,Base!$A:$A,0)),0)))</f>
        <v>11.648244999999999</v>
      </c>
      <c r="KD18" s="21">
        <f>IF(KD$1&lt;INDEX('Valo FX'!$Q:$Q,MATCH($A18,'Valo FX'!$A:$A,0)),0,IF(KD$1&lt;INDEX('Valo FX'!$R:$R,MATCH($A18,'Valo FX'!$A:$A,0)),INDEX(Base!$U:$U,MATCH($A18,Base!$A:$A,0)),IF(KD$1=INDEX('Valo FX'!$R:$R,MATCH($A18,'Valo FX'!$A:$A,0)),INDEX(Base!$V:$V,MATCH($A18,Base!$A:$A,0)),0)))</f>
        <v>11.648244999999999</v>
      </c>
      <c r="KE18" s="21">
        <f>IF(KE$1&lt;INDEX('Valo FX'!$Q:$Q,MATCH($A18,'Valo FX'!$A:$A,0)),0,IF(KE$1&lt;INDEX('Valo FX'!$R:$R,MATCH($A18,'Valo FX'!$A:$A,0)),INDEX(Base!$U:$U,MATCH($A18,Base!$A:$A,0)),IF(KE$1=INDEX('Valo FX'!$R:$R,MATCH($A18,'Valo FX'!$A:$A,0)),INDEX(Base!$V:$V,MATCH($A18,Base!$A:$A,0)),0)))</f>
        <v>11.648244999999999</v>
      </c>
      <c r="KF18" s="21">
        <f>IF(KF$1&lt;INDEX('Valo FX'!$Q:$Q,MATCH($A18,'Valo FX'!$A:$A,0)),0,IF(KF$1&lt;INDEX('Valo FX'!$R:$R,MATCH($A18,'Valo FX'!$A:$A,0)),INDEX(Base!$U:$U,MATCH($A18,Base!$A:$A,0)),IF(KF$1=INDEX('Valo FX'!$R:$R,MATCH($A18,'Valo FX'!$A:$A,0)),INDEX(Base!$V:$V,MATCH($A18,Base!$A:$A,0)),0)))</f>
        <v>11.648244999999999</v>
      </c>
      <c r="KG18" s="21">
        <f>IF(KG$1&lt;INDEX('Valo FX'!$Q:$Q,MATCH($A18,'Valo FX'!$A:$A,0)),0,IF(KG$1&lt;INDEX('Valo FX'!$R:$R,MATCH($A18,'Valo FX'!$A:$A,0)),INDEX(Base!$U:$U,MATCH($A18,Base!$A:$A,0)),IF(KG$1=INDEX('Valo FX'!$R:$R,MATCH($A18,'Valo FX'!$A:$A,0)),INDEX(Base!$V:$V,MATCH($A18,Base!$A:$A,0)),0)))</f>
        <v>11.648244999999999</v>
      </c>
      <c r="KH18" s="21">
        <f>IF(KH$1&lt;INDEX('Valo FX'!$Q:$Q,MATCH($A18,'Valo FX'!$A:$A,0)),0,IF(KH$1&lt;INDEX('Valo FX'!$R:$R,MATCH($A18,'Valo FX'!$A:$A,0)),INDEX(Base!$U:$U,MATCH($A18,Base!$A:$A,0)),IF(KH$1=INDEX('Valo FX'!$R:$R,MATCH($A18,'Valo FX'!$A:$A,0)),INDEX(Base!$V:$V,MATCH($A18,Base!$A:$A,0)),0)))</f>
        <v>11.648244999999999</v>
      </c>
      <c r="KI18" s="21">
        <f>IF(KI$1&lt;INDEX('Valo FX'!$Q:$Q,MATCH($A18,'Valo FX'!$A:$A,0)),0,IF(KI$1&lt;INDEX('Valo FX'!$R:$R,MATCH($A18,'Valo FX'!$A:$A,0)),INDEX(Base!$U:$U,MATCH($A18,Base!$A:$A,0)),IF(KI$1=INDEX('Valo FX'!$R:$R,MATCH($A18,'Valo FX'!$A:$A,0)),INDEX(Base!$V:$V,MATCH($A18,Base!$A:$A,0)),0)))</f>
        <v>11.648244999999999</v>
      </c>
      <c r="KJ18" s="21">
        <f>IF(KJ$1&lt;INDEX('Valo FX'!$Q:$Q,MATCH($A18,'Valo FX'!$A:$A,0)),0,IF(KJ$1&lt;INDEX('Valo FX'!$R:$R,MATCH($A18,'Valo FX'!$A:$A,0)),INDEX(Base!$U:$U,MATCH($A18,Base!$A:$A,0)),IF(KJ$1=INDEX('Valo FX'!$R:$R,MATCH($A18,'Valo FX'!$A:$A,0)),INDEX(Base!$V:$V,MATCH($A18,Base!$A:$A,0)),0)))</f>
        <v>11.648244999999999</v>
      </c>
      <c r="KK18" s="21">
        <f>IF(KK$1&lt;INDEX('Valo FX'!$Q:$Q,MATCH($A18,'Valo FX'!$A:$A,0)),0,IF(KK$1&lt;INDEX('Valo FX'!$R:$R,MATCH($A18,'Valo FX'!$A:$A,0)),INDEX(Base!$U:$U,MATCH($A18,Base!$A:$A,0)),IF(KK$1=INDEX('Valo FX'!$R:$R,MATCH($A18,'Valo FX'!$A:$A,0)),INDEX(Base!$V:$V,MATCH($A18,Base!$A:$A,0)),0)))</f>
        <v>11.648244999999999</v>
      </c>
      <c r="KL18" s="21">
        <f>IF(KL$1&lt;INDEX('Valo FX'!$Q:$Q,MATCH($A18,'Valo FX'!$A:$A,0)),0,IF(KL$1&lt;INDEX('Valo FX'!$R:$R,MATCH($A18,'Valo FX'!$A:$A,0)),INDEX(Base!$U:$U,MATCH($A18,Base!$A:$A,0)),IF(KL$1=INDEX('Valo FX'!$R:$R,MATCH($A18,'Valo FX'!$A:$A,0)),INDEX(Base!$V:$V,MATCH($A18,Base!$A:$A,0)),0)))</f>
        <v>11.648244999999999</v>
      </c>
      <c r="KM18" s="21">
        <f>IF(KM$1&lt;INDEX('Valo FX'!$Q:$Q,MATCH($A18,'Valo FX'!$A:$A,0)),0,IF(KM$1&lt;INDEX('Valo FX'!$R:$R,MATCH($A18,'Valo FX'!$A:$A,0)),INDEX(Base!$U:$U,MATCH($A18,Base!$A:$A,0)),IF(KM$1=INDEX('Valo FX'!$R:$R,MATCH($A18,'Valo FX'!$A:$A,0)),INDEX(Base!$V:$V,MATCH($A18,Base!$A:$A,0)),0)))</f>
        <v>11.648244999999999</v>
      </c>
      <c r="KN18" s="21">
        <f>IF(KN$1&lt;INDEX('Valo FX'!$Q:$Q,MATCH($A18,'Valo FX'!$A:$A,0)),0,IF(KN$1&lt;INDEX('Valo FX'!$R:$R,MATCH($A18,'Valo FX'!$A:$A,0)),INDEX(Base!$U:$U,MATCH($A18,Base!$A:$A,0)),IF(KN$1=INDEX('Valo FX'!$R:$R,MATCH($A18,'Valo FX'!$A:$A,0)),INDEX(Base!$V:$V,MATCH($A18,Base!$A:$A,0)),0)))</f>
        <v>11.648244999999999</v>
      </c>
      <c r="KO18" s="21">
        <f>IF(KO$1&lt;INDEX('Valo FX'!$Q:$Q,MATCH($A18,'Valo FX'!$A:$A,0)),0,IF(KO$1&lt;INDEX('Valo FX'!$R:$R,MATCH($A18,'Valo FX'!$A:$A,0)),INDEX(Base!$U:$U,MATCH($A18,Base!$A:$A,0)),IF(KO$1=INDEX('Valo FX'!$R:$R,MATCH($A18,'Valo FX'!$A:$A,0)),INDEX(Base!$V:$V,MATCH($A18,Base!$A:$A,0)),0)))</f>
        <v>11.648244999999999</v>
      </c>
      <c r="KP18" s="21">
        <f>IF(KP$1&lt;INDEX('Valo FX'!$Q:$Q,MATCH($A18,'Valo FX'!$A:$A,0)),0,IF(KP$1&lt;INDEX('Valo FX'!$R:$R,MATCH($A18,'Valo FX'!$A:$A,0)),INDEX(Base!$U:$U,MATCH($A18,Base!$A:$A,0)),IF(KP$1=INDEX('Valo FX'!$R:$R,MATCH($A18,'Valo FX'!$A:$A,0)),INDEX(Base!$V:$V,MATCH($A18,Base!$A:$A,0)),0)))</f>
        <v>11.648244999999999</v>
      </c>
      <c r="KQ18" s="21">
        <f>IF(KQ$1&lt;INDEX('Valo FX'!$Q:$Q,MATCH($A18,'Valo FX'!$A:$A,0)),0,IF(KQ$1&lt;INDEX('Valo FX'!$R:$R,MATCH($A18,'Valo FX'!$A:$A,0)),INDEX(Base!$U:$U,MATCH($A18,Base!$A:$A,0)),IF(KQ$1=INDEX('Valo FX'!$R:$R,MATCH($A18,'Valo FX'!$A:$A,0)),INDEX(Base!$V:$V,MATCH($A18,Base!$A:$A,0)),0)))</f>
        <v>11.648244999999999</v>
      </c>
      <c r="KR18" s="21">
        <f>IF(KR$1&lt;INDEX('Valo FX'!$Q:$Q,MATCH($A18,'Valo FX'!$A:$A,0)),0,IF(KR$1&lt;INDEX('Valo FX'!$R:$R,MATCH($A18,'Valo FX'!$A:$A,0)),INDEX(Base!$U:$U,MATCH($A18,Base!$A:$A,0)),IF(KR$1=INDEX('Valo FX'!$R:$R,MATCH($A18,'Valo FX'!$A:$A,0)),INDEX(Base!$V:$V,MATCH($A18,Base!$A:$A,0)),0)))</f>
        <v>11.648244999999999</v>
      </c>
      <c r="KS18" s="21">
        <f>IF(KS$1&lt;INDEX('Valo FX'!$Q:$Q,MATCH($A18,'Valo FX'!$A:$A,0)),0,IF(KS$1&lt;INDEX('Valo FX'!$R:$R,MATCH($A18,'Valo FX'!$A:$A,0)),INDEX(Base!$U:$U,MATCH($A18,Base!$A:$A,0)),IF(KS$1=INDEX('Valo FX'!$R:$R,MATCH($A18,'Valo FX'!$A:$A,0)),INDEX(Base!$V:$V,MATCH($A18,Base!$A:$A,0)),0)))</f>
        <v>11.648244999999999</v>
      </c>
      <c r="KT18" s="21">
        <f>IF(KT$1&lt;INDEX('Valo FX'!$Q:$Q,MATCH($A18,'Valo FX'!$A:$A,0)),0,IF(KT$1&lt;INDEX('Valo FX'!$R:$R,MATCH($A18,'Valo FX'!$A:$A,0)),INDEX(Base!$U:$U,MATCH($A18,Base!$A:$A,0)),IF(KT$1=INDEX('Valo FX'!$R:$R,MATCH($A18,'Valo FX'!$A:$A,0)),INDEX(Base!$V:$V,MATCH($A18,Base!$A:$A,0)),0)))</f>
        <v>11.648244999999999</v>
      </c>
      <c r="KU18" s="21">
        <f>IF(KU$1&lt;INDEX('Valo FX'!$Q:$Q,MATCH($A18,'Valo FX'!$A:$A,0)),0,IF(KU$1&lt;INDEX('Valo FX'!$R:$R,MATCH($A18,'Valo FX'!$A:$A,0)),INDEX(Base!$U:$U,MATCH($A18,Base!$A:$A,0)),IF(KU$1=INDEX('Valo FX'!$R:$R,MATCH($A18,'Valo FX'!$A:$A,0)),INDEX(Base!$V:$V,MATCH($A18,Base!$A:$A,0)),0)))</f>
        <v>11.648244999999999</v>
      </c>
      <c r="KV18" s="21">
        <f>IF(KV$1&lt;INDEX('Valo FX'!$Q:$Q,MATCH($A18,'Valo FX'!$A:$A,0)),0,IF(KV$1&lt;INDEX('Valo FX'!$R:$R,MATCH($A18,'Valo FX'!$A:$A,0)),INDEX(Base!$U:$U,MATCH($A18,Base!$A:$A,0)),IF(KV$1=INDEX('Valo FX'!$R:$R,MATCH($A18,'Valo FX'!$A:$A,0)),INDEX(Base!$V:$V,MATCH($A18,Base!$A:$A,0)),0)))</f>
        <v>11.648244999999999</v>
      </c>
      <c r="KW18" s="21">
        <f>IF(KW$1&lt;INDEX('Valo FX'!$Q:$Q,MATCH($A18,'Valo FX'!$A:$A,0)),0,IF(KW$1&lt;INDEX('Valo FX'!$R:$R,MATCH($A18,'Valo FX'!$A:$A,0)),INDEX(Base!$U:$U,MATCH($A18,Base!$A:$A,0)),IF(KW$1=INDEX('Valo FX'!$R:$R,MATCH($A18,'Valo FX'!$A:$A,0)),INDEX(Base!$V:$V,MATCH($A18,Base!$A:$A,0)),0)))</f>
        <v>11.648244999999999</v>
      </c>
      <c r="KX18" s="21">
        <f>IF(KX$1&lt;INDEX('Valo FX'!$Q:$Q,MATCH($A18,'Valo FX'!$A:$A,0)),0,IF(KX$1&lt;INDEX('Valo FX'!$R:$R,MATCH($A18,'Valo FX'!$A:$A,0)),INDEX(Base!$U:$U,MATCH($A18,Base!$A:$A,0)),IF(KX$1=INDEX('Valo FX'!$R:$R,MATCH($A18,'Valo FX'!$A:$A,0)),INDEX(Base!$V:$V,MATCH($A18,Base!$A:$A,0)),0)))</f>
        <v>11.648244999999999</v>
      </c>
      <c r="KY18" s="21">
        <f>IF(KY$1&lt;INDEX('Valo FX'!$Q:$Q,MATCH($A18,'Valo FX'!$A:$A,0)),0,IF(KY$1&lt;INDEX('Valo FX'!$R:$R,MATCH($A18,'Valo FX'!$A:$A,0)),INDEX(Base!$U:$U,MATCH($A18,Base!$A:$A,0)),IF(KY$1=INDEX('Valo FX'!$R:$R,MATCH($A18,'Valo FX'!$A:$A,0)),INDEX(Base!$V:$V,MATCH($A18,Base!$A:$A,0)),0)))</f>
        <v>11.648244999999999</v>
      </c>
      <c r="KZ18" s="21">
        <f>IF(KZ$1&lt;INDEX('Valo FX'!$Q:$Q,MATCH($A18,'Valo FX'!$A:$A,0)),0,IF(KZ$1&lt;INDEX('Valo FX'!$R:$R,MATCH($A18,'Valo FX'!$A:$A,0)),INDEX(Base!$U:$U,MATCH($A18,Base!$A:$A,0)),IF(KZ$1=INDEX('Valo FX'!$R:$R,MATCH($A18,'Valo FX'!$A:$A,0)),INDEX(Base!$V:$V,MATCH($A18,Base!$A:$A,0)),0)))</f>
        <v>11.648244999999999</v>
      </c>
      <c r="LA18" s="21">
        <f>IF(LA$1&lt;INDEX('Valo FX'!$Q:$Q,MATCH($A18,'Valo FX'!$A:$A,0)),0,IF(LA$1&lt;INDEX('Valo FX'!$R:$R,MATCH($A18,'Valo FX'!$A:$A,0)),INDEX(Base!$U:$U,MATCH($A18,Base!$A:$A,0)),IF(LA$1=INDEX('Valo FX'!$R:$R,MATCH($A18,'Valo FX'!$A:$A,0)),INDEX(Base!$V:$V,MATCH($A18,Base!$A:$A,0)),0)))</f>
        <v>11.648244999999999</v>
      </c>
      <c r="LB18" s="21">
        <f>IF(LB$1&lt;INDEX('Valo FX'!$Q:$Q,MATCH($A18,'Valo FX'!$A:$A,0)),0,IF(LB$1&lt;INDEX('Valo FX'!$R:$R,MATCH($A18,'Valo FX'!$A:$A,0)),INDEX(Base!$U:$U,MATCH($A18,Base!$A:$A,0)),IF(LB$1=INDEX('Valo FX'!$R:$R,MATCH($A18,'Valo FX'!$A:$A,0)),INDEX(Base!$V:$V,MATCH($A18,Base!$A:$A,0)),0)))</f>
        <v>11.648244999999999</v>
      </c>
      <c r="LC18" s="21">
        <f>IF(LC$1&lt;INDEX('Valo FX'!$Q:$Q,MATCH($A18,'Valo FX'!$A:$A,0)),0,IF(LC$1&lt;INDEX('Valo FX'!$R:$R,MATCH($A18,'Valo FX'!$A:$A,0)),INDEX(Base!$U:$U,MATCH($A18,Base!$A:$A,0)),IF(LC$1=INDEX('Valo FX'!$R:$R,MATCH($A18,'Valo FX'!$A:$A,0)),INDEX(Base!$V:$V,MATCH($A18,Base!$A:$A,0)),0)))</f>
        <v>11.648244999999999</v>
      </c>
      <c r="LD18" s="21">
        <f>IF(LD$1&lt;INDEX('Valo FX'!$Q:$Q,MATCH($A18,'Valo FX'!$A:$A,0)),0,IF(LD$1&lt;INDEX('Valo FX'!$R:$R,MATCH($A18,'Valo FX'!$A:$A,0)),INDEX(Base!$U:$U,MATCH($A18,Base!$A:$A,0)),IF(LD$1=INDEX('Valo FX'!$R:$R,MATCH($A18,'Valo FX'!$A:$A,0)),INDEX(Base!$V:$V,MATCH($A18,Base!$A:$A,0)),0)))</f>
        <v>11.648244999999999</v>
      </c>
      <c r="LE18" s="21">
        <f>IF(LE$1&lt;INDEX('Valo FX'!$Q:$Q,MATCH($A18,'Valo FX'!$A:$A,0)),0,IF(LE$1&lt;INDEX('Valo FX'!$R:$R,MATCH($A18,'Valo FX'!$A:$A,0)),INDEX(Base!$U:$U,MATCH($A18,Base!$A:$A,0)),IF(LE$1=INDEX('Valo FX'!$R:$R,MATCH($A18,'Valo FX'!$A:$A,0)),INDEX(Base!$V:$V,MATCH($A18,Base!$A:$A,0)),0)))</f>
        <v>11.648244999999999</v>
      </c>
      <c r="LF18" s="21">
        <f>IF(LF$1&lt;INDEX('Valo FX'!$Q:$Q,MATCH($A18,'Valo FX'!$A:$A,0)),0,IF(LF$1&lt;INDEX('Valo FX'!$R:$R,MATCH($A18,'Valo FX'!$A:$A,0)),INDEX(Base!$U:$U,MATCH($A18,Base!$A:$A,0)),IF(LF$1=INDEX('Valo FX'!$R:$R,MATCH($A18,'Valo FX'!$A:$A,0)),INDEX(Base!$V:$V,MATCH($A18,Base!$A:$A,0)),0)))</f>
        <v>11.648244999999999</v>
      </c>
      <c r="LG18" s="21">
        <f>IF(LG$1&lt;INDEX('Valo FX'!$Q:$Q,MATCH($A18,'Valo FX'!$A:$A,0)),0,IF(LG$1&lt;INDEX('Valo FX'!$R:$R,MATCH($A18,'Valo FX'!$A:$A,0)),INDEX(Base!$U:$U,MATCH($A18,Base!$A:$A,0)),IF(LG$1=INDEX('Valo FX'!$R:$R,MATCH($A18,'Valo FX'!$A:$A,0)),INDEX(Base!$V:$V,MATCH($A18,Base!$A:$A,0)),0)))</f>
        <v>11.648244999999999</v>
      </c>
      <c r="LH18" s="21">
        <f>IF(LH$1&lt;INDEX('Valo FX'!$Q:$Q,MATCH($A18,'Valo FX'!$A:$A,0)),0,IF(LH$1&lt;INDEX('Valo FX'!$R:$R,MATCH($A18,'Valo FX'!$A:$A,0)),INDEX(Base!$U:$U,MATCH($A18,Base!$A:$A,0)),IF(LH$1=INDEX('Valo FX'!$R:$R,MATCH($A18,'Valo FX'!$A:$A,0)),INDEX(Base!$V:$V,MATCH($A18,Base!$A:$A,0)),0)))</f>
        <v>11.648244999999999</v>
      </c>
      <c r="LI18" s="21">
        <f>IF(LI$1&lt;INDEX('Valo FX'!$Q:$Q,MATCH($A18,'Valo FX'!$A:$A,0)),0,IF(LI$1&lt;INDEX('Valo FX'!$R:$R,MATCH($A18,'Valo FX'!$A:$A,0)),INDEX(Base!$U:$U,MATCH($A18,Base!$A:$A,0)),IF(LI$1=INDEX('Valo FX'!$R:$R,MATCH($A18,'Valo FX'!$A:$A,0)),INDEX(Base!$V:$V,MATCH($A18,Base!$A:$A,0)),0)))</f>
        <v>11.648244999999999</v>
      </c>
      <c r="LJ18" s="21">
        <f>IF(LJ$1&lt;INDEX('Valo FX'!$Q:$Q,MATCH($A18,'Valo FX'!$A:$A,0)),0,IF(LJ$1&lt;INDEX('Valo FX'!$R:$R,MATCH($A18,'Valo FX'!$A:$A,0)),INDEX(Base!$U:$U,MATCH($A18,Base!$A:$A,0)),IF(LJ$1=INDEX('Valo FX'!$R:$R,MATCH($A18,'Valo FX'!$A:$A,0)),INDEX(Base!$V:$V,MATCH($A18,Base!$A:$A,0)),0)))</f>
        <v>11.648244999999999</v>
      </c>
      <c r="LK18" s="21">
        <f>IF(LK$1&lt;INDEX('Valo FX'!$Q:$Q,MATCH($A18,'Valo FX'!$A:$A,0)),0,IF(LK$1&lt;INDEX('Valo FX'!$R:$R,MATCH($A18,'Valo FX'!$A:$A,0)),INDEX(Base!$U:$U,MATCH($A18,Base!$A:$A,0)),IF(LK$1=INDEX('Valo FX'!$R:$R,MATCH($A18,'Valo FX'!$A:$A,0)),INDEX(Base!$V:$V,MATCH($A18,Base!$A:$A,0)),0)))</f>
        <v>11.648244999999999</v>
      </c>
      <c r="LL18" s="21">
        <f>IF(LL$1&lt;INDEX('Valo FX'!$Q:$Q,MATCH($A18,'Valo FX'!$A:$A,0)),0,IF(LL$1&lt;INDEX('Valo FX'!$R:$R,MATCH($A18,'Valo FX'!$A:$A,0)),INDEX(Base!$U:$U,MATCH($A18,Base!$A:$A,0)),IF(LL$1=INDEX('Valo FX'!$R:$R,MATCH($A18,'Valo FX'!$A:$A,0)),INDEX(Base!$V:$V,MATCH($A18,Base!$A:$A,0)),0)))</f>
        <v>11.648244999999999</v>
      </c>
      <c r="LM18" s="21">
        <f>IF(LM$1&lt;INDEX('Valo FX'!$Q:$Q,MATCH($A18,'Valo FX'!$A:$A,0)),0,IF(LM$1&lt;INDEX('Valo FX'!$R:$R,MATCH($A18,'Valo FX'!$A:$A,0)),INDEX(Base!$U:$U,MATCH($A18,Base!$A:$A,0)),IF(LM$1=INDEX('Valo FX'!$R:$R,MATCH($A18,'Valo FX'!$A:$A,0)),INDEX(Base!$V:$V,MATCH($A18,Base!$A:$A,0)),0)))</f>
        <v>11.648244999999999</v>
      </c>
      <c r="LN18" s="21">
        <f>IF(LN$1&lt;INDEX('Valo FX'!$Q:$Q,MATCH($A18,'Valo FX'!$A:$A,0)),0,IF(LN$1&lt;INDEX('Valo FX'!$R:$R,MATCH($A18,'Valo FX'!$A:$A,0)),INDEX(Base!$U:$U,MATCH($A18,Base!$A:$A,0)),IF(LN$1=INDEX('Valo FX'!$R:$R,MATCH($A18,'Valo FX'!$A:$A,0)),INDEX(Base!$V:$V,MATCH($A18,Base!$A:$A,0)),0)))</f>
        <v>11.648244999999999</v>
      </c>
      <c r="LO18" s="21">
        <f>IF(LO$1&lt;INDEX('Valo FX'!$Q:$Q,MATCH($A18,'Valo FX'!$A:$A,0)),0,IF(LO$1&lt;INDEX('Valo FX'!$R:$R,MATCH($A18,'Valo FX'!$A:$A,0)),INDEX(Base!$U:$U,MATCH($A18,Base!$A:$A,0)),IF(LO$1=INDEX('Valo FX'!$R:$R,MATCH($A18,'Valo FX'!$A:$A,0)),INDEX(Base!$V:$V,MATCH($A18,Base!$A:$A,0)),0)))</f>
        <v>11.648244999999999</v>
      </c>
      <c r="LP18" s="21">
        <f>IF(LP$1&lt;INDEX('Valo FX'!$Q:$Q,MATCH($A18,'Valo FX'!$A:$A,0)),0,IF(LP$1&lt;INDEX('Valo FX'!$R:$R,MATCH($A18,'Valo FX'!$A:$A,0)),INDEX(Base!$U:$U,MATCH($A18,Base!$A:$A,0)),IF(LP$1=INDEX('Valo FX'!$R:$R,MATCH($A18,'Valo FX'!$A:$A,0)),INDEX(Base!$V:$V,MATCH($A18,Base!$A:$A,0)),0)))</f>
        <v>11.648244999999999</v>
      </c>
      <c r="LQ18" s="21">
        <f>IF(LQ$1&lt;INDEX('Valo FX'!$Q:$Q,MATCH($A18,'Valo FX'!$A:$A,0)),0,IF(LQ$1&lt;INDEX('Valo FX'!$R:$R,MATCH($A18,'Valo FX'!$A:$A,0)),INDEX(Base!$U:$U,MATCH($A18,Base!$A:$A,0)),IF(LQ$1=INDEX('Valo FX'!$R:$R,MATCH($A18,'Valo FX'!$A:$A,0)),INDEX(Base!$V:$V,MATCH($A18,Base!$A:$A,0)),0)))</f>
        <v>11.648244999999999</v>
      </c>
      <c r="LR18" s="21">
        <f>IF(LR$1&lt;INDEX('Valo FX'!$Q:$Q,MATCH($A18,'Valo FX'!$A:$A,0)),0,IF(LR$1&lt;INDEX('Valo FX'!$R:$R,MATCH($A18,'Valo FX'!$A:$A,0)),INDEX(Base!$U:$U,MATCH($A18,Base!$A:$A,0)),IF(LR$1=INDEX('Valo FX'!$R:$R,MATCH($A18,'Valo FX'!$A:$A,0)),INDEX(Base!$V:$V,MATCH($A18,Base!$A:$A,0)),0)))</f>
        <v>11.648244999999999</v>
      </c>
      <c r="LS18" s="21">
        <f>IF(LS$1&lt;INDEX('Valo FX'!$Q:$Q,MATCH($A18,'Valo FX'!$A:$A,0)),0,IF(LS$1&lt;INDEX('Valo FX'!$R:$R,MATCH($A18,'Valo FX'!$A:$A,0)),INDEX(Base!$U:$U,MATCH($A18,Base!$A:$A,0)),IF(LS$1=INDEX('Valo FX'!$R:$R,MATCH($A18,'Valo FX'!$A:$A,0)),INDEX(Base!$V:$V,MATCH($A18,Base!$A:$A,0)),0)))</f>
        <v>11.648244999999999</v>
      </c>
      <c r="LT18" s="21">
        <f>IF(LT$1&lt;INDEX('Valo FX'!$Q:$Q,MATCH($A18,'Valo FX'!$A:$A,0)),0,IF(LT$1&lt;INDEX('Valo FX'!$R:$R,MATCH($A18,'Valo FX'!$A:$A,0)),INDEX(Base!$U:$U,MATCH($A18,Base!$A:$A,0)),IF(LT$1=INDEX('Valo FX'!$R:$R,MATCH($A18,'Valo FX'!$A:$A,0)),INDEX(Base!$V:$V,MATCH($A18,Base!$A:$A,0)),0)))</f>
        <v>11.648244999999999</v>
      </c>
      <c r="LU18" s="21">
        <f>IF(LU$1&lt;INDEX('Valo FX'!$Q:$Q,MATCH($A18,'Valo FX'!$A:$A,0)),0,IF(LU$1&lt;INDEX('Valo FX'!$R:$R,MATCH($A18,'Valo FX'!$A:$A,0)),INDEX(Base!$U:$U,MATCH($A18,Base!$A:$A,0)),IF(LU$1=INDEX('Valo FX'!$R:$R,MATCH($A18,'Valo FX'!$A:$A,0)),INDEX(Base!$V:$V,MATCH($A18,Base!$A:$A,0)),0)))</f>
        <v>11.648244999999999</v>
      </c>
      <c r="LV18" s="21">
        <f>IF(LV$1&lt;INDEX('Valo FX'!$Q:$Q,MATCH($A18,'Valo FX'!$A:$A,0)),0,IF(LV$1&lt;INDEX('Valo FX'!$R:$R,MATCH($A18,'Valo FX'!$A:$A,0)),INDEX(Base!$U:$U,MATCH($A18,Base!$A:$A,0)),IF(LV$1=INDEX('Valo FX'!$R:$R,MATCH($A18,'Valo FX'!$A:$A,0)),INDEX(Base!$V:$V,MATCH($A18,Base!$A:$A,0)),0)))</f>
        <v>11.648244999999999</v>
      </c>
      <c r="LW18" s="21">
        <f>IF(LW$1&lt;INDEX('Valo FX'!$Q:$Q,MATCH($A18,'Valo FX'!$A:$A,0)),0,IF(LW$1&lt;INDEX('Valo FX'!$R:$R,MATCH($A18,'Valo FX'!$A:$A,0)),INDEX(Base!$U:$U,MATCH($A18,Base!$A:$A,0)),IF(LW$1=INDEX('Valo FX'!$R:$R,MATCH($A18,'Valo FX'!$A:$A,0)),INDEX(Base!$V:$V,MATCH($A18,Base!$A:$A,0)),0)))</f>
        <v>11.648244999999999</v>
      </c>
      <c r="LX18" s="21">
        <f>IF(LX$1&lt;INDEX('Valo FX'!$Q:$Q,MATCH($A18,'Valo FX'!$A:$A,0)),0,IF(LX$1&lt;INDEX('Valo FX'!$R:$R,MATCH($A18,'Valo FX'!$A:$A,0)),INDEX(Base!$U:$U,MATCH($A18,Base!$A:$A,0)),IF(LX$1=INDEX('Valo FX'!$R:$R,MATCH($A18,'Valo FX'!$A:$A,0)),INDEX(Base!$V:$V,MATCH($A18,Base!$A:$A,0)),0)))</f>
        <v>11.648244999999999</v>
      </c>
      <c r="LY18" s="21">
        <f>IF(LY$1&lt;INDEX('Valo FX'!$Q:$Q,MATCH($A18,'Valo FX'!$A:$A,0)),0,IF(LY$1&lt;INDEX('Valo FX'!$R:$R,MATCH($A18,'Valo FX'!$A:$A,0)),INDEX(Base!$U:$U,MATCH($A18,Base!$A:$A,0)),IF(LY$1=INDEX('Valo FX'!$R:$R,MATCH($A18,'Valo FX'!$A:$A,0)),INDEX(Base!$V:$V,MATCH($A18,Base!$A:$A,0)),0)))</f>
        <v>11.648244999999999</v>
      </c>
      <c r="LZ18" s="21">
        <f>IF(LZ$1&lt;INDEX('Valo FX'!$Q:$Q,MATCH($A18,'Valo FX'!$A:$A,0)),0,IF(LZ$1&lt;INDEX('Valo FX'!$R:$R,MATCH($A18,'Valo FX'!$A:$A,0)),INDEX(Base!$U:$U,MATCH($A18,Base!$A:$A,0)),IF(LZ$1=INDEX('Valo FX'!$R:$R,MATCH($A18,'Valo FX'!$A:$A,0)),INDEX(Base!$V:$V,MATCH($A18,Base!$A:$A,0)),0)))</f>
        <v>11.648244999999999</v>
      </c>
      <c r="MA18" s="21">
        <f>IF(MA$1&lt;INDEX('Valo FX'!$Q:$Q,MATCH($A18,'Valo FX'!$A:$A,0)),0,IF(MA$1&lt;INDEX('Valo FX'!$R:$R,MATCH($A18,'Valo FX'!$A:$A,0)),INDEX(Base!$U:$U,MATCH($A18,Base!$A:$A,0)),IF(MA$1=INDEX('Valo FX'!$R:$R,MATCH($A18,'Valo FX'!$A:$A,0)),INDEX(Base!$V:$V,MATCH($A18,Base!$A:$A,0)),0)))</f>
        <v>11.648244999999999</v>
      </c>
      <c r="MB18" s="21">
        <f>IF(MB$1&lt;INDEX('Valo FX'!$Q:$Q,MATCH($A18,'Valo FX'!$A:$A,0)),0,IF(MB$1&lt;INDEX('Valo FX'!$R:$R,MATCH($A18,'Valo FX'!$A:$A,0)),INDEX(Base!$U:$U,MATCH($A18,Base!$A:$A,0)),IF(MB$1=INDEX('Valo FX'!$R:$R,MATCH($A18,'Valo FX'!$A:$A,0)),INDEX(Base!$V:$V,MATCH($A18,Base!$A:$A,0)),0)))</f>
        <v>11.648244999999999</v>
      </c>
      <c r="MC18" s="21">
        <f>IF(MC$1&lt;INDEX('Valo FX'!$Q:$Q,MATCH($A18,'Valo FX'!$A:$A,0)),0,IF(MC$1&lt;INDEX('Valo FX'!$R:$R,MATCH($A18,'Valo FX'!$A:$A,0)),INDEX(Base!$U:$U,MATCH($A18,Base!$A:$A,0)),IF(MC$1=INDEX('Valo FX'!$R:$R,MATCH($A18,'Valo FX'!$A:$A,0)),INDEX(Base!$V:$V,MATCH($A18,Base!$A:$A,0)),0)))</f>
        <v>11.648244999999999</v>
      </c>
      <c r="MD18" s="21">
        <f>IF(MD$1&lt;INDEX('Valo FX'!$Q:$Q,MATCH($A18,'Valo FX'!$A:$A,0)),0,IF(MD$1&lt;INDEX('Valo FX'!$R:$R,MATCH($A18,'Valo FX'!$A:$A,0)),INDEX(Base!$U:$U,MATCH($A18,Base!$A:$A,0)),IF(MD$1=INDEX('Valo FX'!$R:$R,MATCH($A18,'Valo FX'!$A:$A,0)),INDEX(Base!$V:$V,MATCH($A18,Base!$A:$A,0)),0)))</f>
        <v>11.648244999999999</v>
      </c>
      <c r="ME18" s="21">
        <f>IF(ME$1&lt;INDEX('Valo FX'!$Q:$Q,MATCH($A18,'Valo FX'!$A:$A,0)),0,IF(ME$1&lt;INDEX('Valo FX'!$R:$R,MATCH($A18,'Valo FX'!$A:$A,0)),INDEX(Base!$U:$U,MATCH($A18,Base!$A:$A,0)),IF(ME$1=INDEX('Valo FX'!$R:$R,MATCH($A18,'Valo FX'!$A:$A,0)),INDEX(Base!$V:$V,MATCH($A18,Base!$A:$A,0)),0)))</f>
        <v>11.648244999999999</v>
      </c>
      <c r="MF18" s="21">
        <f>IF(MF$1&lt;INDEX('Valo FX'!$Q:$Q,MATCH($A18,'Valo FX'!$A:$A,0)),0,IF(MF$1&lt;INDEX('Valo FX'!$R:$R,MATCH($A18,'Valo FX'!$A:$A,0)),INDEX(Base!$U:$U,MATCH($A18,Base!$A:$A,0)),IF(MF$1=INDEX('Valo FX'!$R:$R,MATCH($A18,'Valo FX'!$A:$A,0)),INDEX(Base!$V:$V,MATCH($A18,Base!$A:$A,0)),0)))</f>
        <v>11.648244999999999</v>
      </c>
      <c r="MG18" s="21">
        <f>IF(MG$1&lt;INDEX('Valo FX'!$Q:$Q,MATCH($A18,'Valo FX'!$A:$A,0)),0,IF(MG$1&lt;INDEX('Valo FX'!$R:$R,MATCH($A18,'Valo FX'!$A:$A,0)),INDEX(Base!$U:$U,MATCH($A18,Base!$A:$A,0)),IF(MG$1=INDEX('Valo FX'!$R:$R,MATCH($A18,'Valo FX'!$A:$A,0)),INDEX(Base!$V:$V,MATCH($A18,Base!$A:$A,0)),0)))</f>
        <v>11.648244999999999</v>
      </c>
      <c r="MH18" s="21">
        <f>IF(MH$1&lt;INDEX('Valo FX'!$Q:$Q,MATCH($A18,'Valo FX'!$A:$A,0)),0,IF(MH$1&lt;INDEX('Valo FX'!$R:$R,MATCH($A18,'Valo FX'!$A:$A,0)),INDEX(Base!$U:$U,MATCH($A18,Base!$A:$A,0)),IF(MH$1=INDEX('Valo FX'!$R:$R,MATCH($A18,'Valo FX'!$A:$A,0)),INDEX(Base!$V:$V,MATCH($A18,Base!$A:$A,0)),0)))</f>
        <v>11.648244999999999</v>
      </c>
      <c r="MI18" s="21">
        <f>IF(MI$1&lt;INDEX('Valo FX'!$Q:$Q,MATCH($A18,'Valo FX'!$A:$A,0)),0,IF(MI$1&lt;INDEX('Valo FX'!$R:$R,MATCH($A18,'Valo FX'!$A:$A,0)),INDEX(Base!$U:$U,MATCH($A18,Base!$A:$A,0)),IF(MI$1=INDEX('Valo FX'!$R:$R,MATCH($A18,'Valo FX'!$A:$A,0)),INDEX(Base!$V:$V,MATCH($A18,Base!$A:$A,0)),0)))</f>
        <v>11.648244999999999</v>
      </c>
      <c r="MJ18" s="21">
        <f>IF(MJ$1&lt;INDEX('Valo FX'!$Q:$Q,MATCH($A18,'Valo FX'!$A:$A,0)),0,IF(MJ$1&lt;INDEX('Valo FX'!$R:$R,MATCH($A18,'Valo FX'!$A:$A,0)),INDEX(Base!$U:$U,MATCH($A18,Base!$A:$A,0)),IF(MJ$1=INDEX('Valo FX'!$R:$R,MATCH($A18,'Valo FX'!$A:$A,0)),INDEX(Base!$V:$V,MATCH($A18,Base!$A:$A,0)),0)))</f>
        <v>11.648244999999999</v>
      </c>
      <c r="MK18" s="21">
        <f>IF(MK$1&lt;INDEX('Valo FX'!$Q:$Q,MATCH($A18,'Valo FX'!$A:$A,0)),0,IF(MK$1&lt;INDEX('Valo FX'!$R:$R,MATCH($A18,'Valo FX'!$A:$A,0)),INDEX(Base!$U:$U,MATCH($A18,Base!$A:$A,0)),IF(MK$1=INDEX('Valo FX'!$R:$R,MATCH($A18,'Valo FX'!$A:$A,0)),INDEX(Base!$V:$V,MATCH($A18,Base!$A:$A,0)),0)))</f>
        <v>11.648244999999999</v>
      </c>
      <c r="ML18" s="21">
        <f>IF(ML$1&lt;INDEX('Valo FX'!$Q:$Q,MATCH($A18,'Valo FX'!$A:$A,0)),0,IF(ML$1&lt;INDEX('Valo FX'!$R:$R,MATCH($A18,'Valo FX'!$A:$A,0)),INDEX(Base!$U:$U,MATCH($A18,Base!$A:$A,0)),IF(ML$1=INDEX('Valo FX'!$R:$R,MATCH($A18,'Valo FX'!$A:$A,0)),INDEX(Base!$V:$V,MATCH($A18,Base!$A:$A,0)),0)))</f>
        <v>11.648244999999999</v>
      </c>
      <c r="MM18" s="21">
        <f>IF(MM$1&lt;INDEX('Valo FX'!$Q:$Q,MATCH($A18,'Valo FX'!$A:$A,0)),0,IF(MM$1&lt;INDEX('Valo FX'!$R:$R,MATCH($A18,'Valo FX'!$A:$A,0)),INDEX(Base!$U:$U,MATCH($A18,Base!$A:$A,0)),IF(MM$1=INDEX('Valo FX'!$R:$R,MATCH($A18,'Valo FX'!$A:$A,0)),INDEX(Base!$V:$V,MATCH($A18,Base!$A:$A,0)),0)))</f>
        <v>11.648244999999999</v>
      </c>
      <c r="MN18" s="21">
        <f>IF(MN$1&lt;INDEX('Valo FX'!$Q:$Q,MATCH($A18,'Valo FX'!$A:$A,0)),0,IF(MN$1&lt;INDEX('Valo FX'!$R:$R,MATCH($A18,'Valo FX'!$A:$A,0)),INDEX(Base!$U:$U,MATCH($A18,Base!$A:$A,0)),IF(MN$1=INDEX('Valo FX'!$R:$R,MATCH($A18,'Valo FX'!$A:$A,0)),INDEX(Base!$V:$V,MATCH($A18,Base!$A:$A,0)),0)))</f>
        <v>11.648244999999999</v>
      </c>
      <c r="MO18" s="21">
        <f>IF(MO$1&lt;INDEX('Valo FX'!$Q:$Q,MATCH($A18,'Valo FX'!$A:$A,0)),0,IF(MO$1&lt;INDEX('Valo FX'!$R:$R,MATCH($A18,'Valo FX'!$A:$A,0)),INDEX(Base!$U:$U,MATCH($A18,Base!$A:$A,0)),IF(MO$1=INDEX('Valo FX'!$R:$R,MATCH($A18,'Valo FX'!$A:$A,0)),INDEX(Base!$V:$V,MATCH($A18,Base!$A:$A,0)),0)))</f>
        <v>11.648244999999999</v>
      </c>
      <c r="MP18" s="21">
        <f>IF(MP$1&lt;INDEX('Valo FX'!$Q:$Q,MATCH($A18,'Valo FX'!$A:$A,0)),0,IF(MP$1&lt;INDEX('Valo FX'!$R:$R,MATCH($A18,'Valo FX'!$A:$A,0)),INDEX(Base!$U:$U,MATCH($A18,Base!$A:$A,0)),IF(MP$1=INDEX('Valo FX'!$R:$R,MATCH($A18,'Valo FX'!$A:$A,0)),INDEX(Base!$V:$V,MATCH($A18,Base!$A:$A,0)),0)))</f>
        <v>11.648244999999999</v>
      </c>
      <c r="MQ18" s="21">
        <f>IF(MQ$1&lt;INDEX('Valo FX'!$Q:$Q,MATCH($A18,'Valo FX'!$A:$A,0)),0,IF(MQ$1&lt;INDEX('Valo FX'!$R:$R,MATCH($A18,'Valo FX'!$A:$A,0)),INDEX(Base!$U:$U,MATCH($A18,Base!$A:$A,0)),IF(MQ$1=INDEX('Valo FX'!$R:$R,MATCH($A18,'Valo FX'!$A:$A,0)),INDEX(Base!$V:$V,MATCH($A18,Base!$A:$A,0)),0)))</f>
        <v>11.648244999999999</v>
      </c>
      <c r="MR18" s="21">
        <f>IF(MR$1&lt;INDEX('Valo FX'!$Q:$Q,MATCH($A18,'Valo FX'!$A:$A,0)),0,IF(MR$1&lt;INDEX('Valo FX'!$R:$R,MATCH($A18,'Valo FX'!$A:$A,0)),INDEX(Base!$U:$U,MATCH($A18,Base!$A:$A,0)),IF(MR$1=INDEX('Valo FX'!$R:$R,MATCH($A18,'Valo FX'!$A:$A,0)),INDEX(Base!$V:$V,MATCH($A18,Base!$A:$A,0)),0)))</f>
        <v>11.648244999999999</v>
      </c>
      <c r="MS18" s="21">
        <f>IF(MS$1&lt;INDEX('Valo FX'!$Q:$Q,MATCH($A18,'Valo FX'!$A:$A,0)),0,IF(MS$1&lt;INDEX('Valo FX'!$R:$R,MATCH($A18,'Valo FX'!$A:$A,0)),INDEX(Base!$U:$U,MATCH($A18,Base!$A:$A,0)),IF(MS$1=INDEX('Valo FX'!$R:$R,MATCH($A18,'Valo FX'!$A:$A,0)),INDEX(Base!$V:$V,MATCH($A18,Base!$A:$A,0)),0)))</f>
        <v>11.648244999999999</v>
      </c>
      <c r="MT18" s="21">
        <f>IF(MT$1&lt;INDEX('Valo FX'!$Q:$Q,MATCH($A18,'Valo FX'!$A:$A,0)),0,IF(MT$1&lt;INDEX('Valo FX'!$R:$R,MATCH($A18,'Valo FX'!$A:$A,0)),INDEX(Base!$U:$U,MATCH($A18,Base!$A:$A,0)),IF(MT$1=INDEX('Valo FX'!$R:$R,MATCH($A18,'Valo FX'!$A:$A,0)),INDEX(Base!$V:$V,MATCH($A18,Base!$A:$A,0)),0)))</f>
        <v>11.648244999999999</v>
      </c>
      <c r="MU18" s="21">
        <f>IF(MU$1&lt;INDEX('Valo FX'!$Q:$Q,MATCH($A18,'Valo FX'!$A:$A,0)),0,IF(MU$1&lt;INDEX('Valo FX'!$R:$R,MATCH($A18,'Valo FX'!$A:$A,0)),INDEX(Base!$U:$U,MATCH($A18,Base!$A:$A,0)),IF(MU$1=INDEX('Valo FX'!$R:$R,MATCH($A18,'Valo FX'!$A:$A,0)),INDEX(Base!$V:$V,MATCH($A18,Base!$A:$A,0)),0)))</f>
        <v>11.648244999999999</v>
      </c>
      <c r="MV18" s="21">
        <f>IF(MV$1&lt;INDEX('Valo FX'!$Q:$Q,MATCH($A18,'Valo FX'!$A:$A,0)),0,IF(MV$1&lt;INDEX('Valo FX'!$R:$R,MATCH($A18,'Valo FX'!$A:$A,0)),INDEX(Base!$U:$U,MATCH($A18,Base!$A:$A,0)),IF(MV$1=INDEX('Valo FX'!$R:$R,MATCH($A18,'Valo FX'!$A:$A,0)),INDEX(Base!$V:$V,MATCH($A18,Base!$A:$A,0)),0)))</f>
        <v>11.648244999999999</v>
      </c>
      <c r="MW18" s="21">
        <f>IF(MW$1&lt;INDEX('Valo FX'!$Q:$Q,MATCH($A18,'Valo FX'!$A:$A,0)),0,IF(MW$1&lt;INDEX('Valo FX'!$R:$R,MATCH($A18,'Valo FX'!$A:$A,0)),INDEX(Base!$U:$U,MATCH($A18,Base!$A:$A,0)),IF(MW$1=INDEX('Valo FX'!$R:$R,MATCH($A18,'Valo FX'!$A:$A,0)),INDEX(Base!$V:$V,MATCH($A18,Base!$A:$A,0)),0)))</f>
        <v>11.648244999999999</v>
      </c>
      <c r="MX18" s="21">
        <f>IF(MX$1&lt;INDEX('Valo FX'!$Q:$Q,MATCH($A18,'Valo FX'!$A:$A,0)),0,IF(MX$1&lt;INDEX('Valo FX'!$R:$R,MATCH($A18,'Valo FX'!$A:$A,0)),INDEX(Base!$U:$U,MATCH($A18,Base!$A:$A,0)),IF(MX$1=INDEX('Valo FX'!$R:$R,MATCH($A18,'Valo FX'!$A:$A,0)),INDEX(Base!$V:$V,MATCH($A18,Base!$A:$A,0)),0)))</f>
        <v>11.648244999999999</v>
      </c>
      <c r="MY18" s="21">
        <f>IF(MY$1&lt;INDEX('Valo FX'!$Q:$Q,MATCH($A18,'Valo FX'!$A:$A,0)),0,IF(MY$1&lt;INDEX('Valo FX'!$R:$R,MATCH($A18,'Valo FX'!$A:$A,0)),INDEX(Base!$U:$U,MATCH($A18,Base!$A:$A,0)),IF(MY$1=INDEX('Valo FX'!$R:$R,MATCH($A18,'Valo FX'!$A:$A,0)),INDEX(Base!$V:$V,MATCH($A18,Base!$A:$A,0)),0)))</f>
        <v>11.957504999999999</v>
      </c>
    </row>
    <row r="19" spans="1:363" x14ac:dyDescent="0.2">
      <c r="A19" s="7">
        <f>+'Valo FX'!A20</f>
        <v>17</v>
      </c>
      <c r="B19" s="58">
        <f>-'Valo FX'!T20</f>
        <v>-1612.4055209545306</v>
      </c>
      <c r="C19" s="21">
        <f>IF(C$1&lt;INDEX('Valo FX'!$Q:$Q,MATCH($A19,'Valo FX'!$A:$A,0)),0,IF(C$1&lt;INDEX('Valo FX'!$R:$R,MATCH($A19,'Valo FX'!$A:$A,0)),INDEX(Base!$U:$U,MATCH($A19,Base!$A:$A,0)),IF(C$1=INDEX('Valo FX'!$R:$R,MATCH($A19,'Valo FX'!$A:$A,0)),INDEX(Base!$V:$V,MATCH($A19,Base!$A:$A,0)),0)))</f>
        <v>0</v>
      </c>
      <c r="D19" s="21">
        <f>IF(D$1&lt;INDEX('Valo FX'!$Q:$Q,MATCH($A19,'Valo FX'!$A:$A,0)),0,IF(D$1&lt;INDEX('Valo FX'!$R:$R,MATCH($A19,'Valo FX'!$A:$A,0)),INDEX(Base!$U:$U,MATCH($A19,Base!$A:$A,0)),IF(D$1=INDEX('Valo FX'!$R:$R,MATCH($A19,'Valo FX'!$A:$A,0)),INDEX(Base!$V:$V,MATCH($A19,Base!$A:$A,0)),0)))</f>
        <v>0</v>
      </c>
      <c r="E19" s="21">
        <f>IF(E$1&lt;INDEX('Valo FX'!$Q:$Q,MATCH($A19,'Valo FX'!$A:$A,0)),0,IF(E$1&lt;INDEX('Valo FX'!$R:$R,MATCH($A19,'Valo FX'!$A:$A,0)),INDEX(Base!$U:$U,MATCH($A19,Base!$A:$A,0)),IF(E$1=INDEX('Valo FX'!$R:$R,MATCH($A19,'Valo FX'!$A:$A,0)),INDEX(Base!$V:$V,MATCH($A19,Base!$A:$A,0)),0)))</f>
        <v>0</v>
      </c>
      <c r="F19" s="21">
        <f>IF(F$1&lt;INDEX('Valo FX'!$Q:$Q,MATCH($A19,'Valo FX'!$A:$A,0)),0,IF(F$1&lt;INDEX('Valo FX'!$R:$R,MATCH($A19,'Valo FX'!$A:$A,0)),INDEX(Base!$U:$U,MATCH($A19,Base!$A:$A,0)),IF(F$1=INDEX('Valo FX'!$R:$R,MATCH($A19,'Valo FX'!$A:$A,0)),INDEX(Base!$V:$V,MATCH($A19,Base!$A:$A,0)),0)))</f>
        <v>0</v>
      </c>
      <c r="G19" s="21">
        <f>IF(G$1&lt;INDEX('Valo FX'!$Q:$Q,MATCH($A19,'Valo FX'!$A:$A,0)),0,IF(G$1&lt;INDEX('Valo FX'!$R:$R,MATCH($A19,'Valo FX'!$A:$A,0)),INDEX(Base!$U:$U,MATCH($A19,Base!$A:$A,0)),IF(G$1=INDEX('Valo FX'!$R:$R,MATCH($A19,'Valo FX'!$A:$A,0)),INDEX(Base!$V:$V,MATCH($A19,Base!$A:$A,0)),0)))</f>
        <v>0</v>
      </c>
      <c r="H19" s="21">
        <f>IF(H$1&lt;INDEX('Valo FX'!$Q:$Q,MATCH($A19,'Valo FX'!$A:$A,0)),0,IF(H$1&lt;INDEX('Valo FX'!$R:$R,MATCH($A19,'Valo FX'!$A:$A,0)),INDEX(Base!$U:$U,MATCH($A19,Base!$A:$A,0)),IF(H$1=INDEX('Valo FX'!$R:$R,MATCH($A19,'Valo FX'!$A:$A,0)),INDEX(Base!$V:$V,MATCH($A19,Base!$A:$A,0)),0)))</f>
        <v>0</v>
      </c>
      <c r="I19" s="21">
        <f>IF(I$1&lt;INDEX('Valo FX'!$Q:$Q,MATCH($A19,'Valo FX'!$A:$A,0)),0,IF(I$1&lt;INDEX('Valo FX'!$R:$R,MATCH($A19,'Valo FX'!$A:$A,0)),INDEX(Base!$U:$U,MATCH($A19,Base!$A:$A,0)),IF(I$1=INDEX('Valo FX'!$R:$R,MATCH($A19,'Valo FX'!$A:$A,0)),INDEX(Base!$V:$V,MATCH($A19,Base!$A:$A,0)),0)))</f>
        <v>10.982454000000001</v>
      </c>
      <c r="J19" s="21">
        <f>IF(J$1&lt;INDEX('Valo FX'!$Q:$Q,MATCH($A19,'Valo FX'!$A:$A,0)),0,IF(J$1&lt;INDEX('Valo FX'!$R:$R,MATCH($A19,'Valo FX'!$A:$A,0)),INDEX(Base!$U:$U,MATCH($A19,Base!$A:$A,0)),IF(J$1=INDEX('Valo FX'!$R:$R,MATCH($A19,'Valo FX'!$A:$A,0)),INDEX(Base!$V:$V,MATCH($A19,Base!$A:$A,0)),0)))</f>
        <v>10.982454000000001</v>
      </c>
      <c r="K19" s="21">
        <f>IF(K$1&lt;INDEX('Valo FX'!$Q:$Q,MATCH($A19,'Valo FX'!$A:$A,0)),0,IF(K$1&lt;INDEX('Valo FX'!$R:$R,MATCH($A19,'Valo FX'!$A:$A,0)),INDEX(Base!$U:$U,MATCH($A19,Base!$A:$A,0)),IF(K$1=INDEX('Valo FX'!$R:$R,MATCH($A19,'Valo FX'!$A:$A,0)),INDEX(Base!$V:$V,MATCH($A19,Base!$A:$A,0)),0)))</f>
        <v>10.982454000000001</v>
      </c>
      <c r="L19" s="21">
        <f>IF(L$1&lt;INDEX('Valo FX'!$Q:$Q,MATCH($A19,'Valo FX'!$A:$A,0)),0,IF(L$1&lt;INDEX('Valo FX'!$R:$R,MATCH($A19,'Valo FX'!$A:$A,0)),INDEX(Base!$U:$U,MATCH($A19,Base!$A:$A,0)),IF(L$1=INDEX('Valo FX'!$R:$R,MATCH($A19,'Valo FX'!$A:$A,0)),INDEX(Base!$V:$V,MATCH($A19,Base!$A:$A,0)),0)))</f>
        <v>10.982454000000001</v>
      </c>
      <c r="M19" s="21">
        <f>IF(M$1&lt;INDEX('Valo FX'!$Q:$Q,MATCH($A19,'Valo FX'!$A:$A,0)),0,IF(M$1&lt;INDEX('Valo FX'!$R:$R,MATCH($A19,'Valo FX'!$A:$A,0)),INDEX(Base!$U:$U,MATCH($A19,Base!$A:$A,0)),IF(M$1=INDEX('Valo FX'!$R:$R,MATCH($A19,'Valo FX'!$A:$A,0)),INDEX(Base!$V:$V,MATCH($A19,Base!$A:$A,0)),0)))</f>
        <v>10.982454000000001</v>
      </c>
      <c r="N19" s="21">
        <f>IF(N$1&lt;INDEX('Valo FX'!$Q:$Q,MATCH($A19,'Valo FX'!$A:$A,0)),0,IF(N$1&lt;INDEX('Valo FX'!$R:$R,MATCH($A19,'Valo FX'!$A:$A,0)),INDEX(Base!$U:$U,MATCH($A19,Base!$A:$A,0)),IF(N$1=INDEX('Valo FX'!$R:$R,MATCH($A19,'Valo FX'!$A:$A,0)),INDEX(Base!$V:$V,MATCH($A19,Base!$A:$A,0)),0)))</f>
        <v>10.982454000000001</v>
      </c>
      <c r="O19" s="21">
        <f>IF(O$1&lt;INDEX('Valo FX'!$Q:$Q,MATCH($A19,'Valo FX'!$A:$A,0)),0,IF(O$1&lt;INDEX('Valo FX'!$R:$R,MATCH($A19,'Valo FX'!$A:$A,0)),INDEX(Base!$U:$U,MATCH($A19,Base!$A:$A,0)),IF(O$1=INDEX('Valo FX'!$R:$R,MATCH($A19,'Valo FX'!$A:$A,0)),INDEX(Base!$V:$V,MATCH($A19,Base!$A:$A,0)),0)))</f>
        <v>10.982454000000001</v>
      </c>
      <c r="P19" s="21">
        <f>IF(P$1&lt;INDEX('Valo FX'!$Q:$Q,MATCH($A19,'Valo FX'!$A:$A,0)),0,IF(P$1&lt;INDEX('Valo FX'!$R:$R,MATCH($A19,'Valo FX'!$A:$A,0)),INDEX(Base!$U:$U,MATCH($A19,Base!$A:$A,0)),IF(P$1=INDEX('Valo FX'!$R:$R,MATCH($A19,'Valo FX'!$A:$A,0)),INDEX(Base!$V:$V,MATCH($A19,Base!$A:$A,0)),0)))</f>
        <v>10.982454000000001</v>
      </c>
      <c r="Q19" s="21">
        <f>IF(Q$1&lt;INDEX('Valo FX'!$Q:$Q,MATCH($A19,'Valo FX'!$A:$A,0)),0,IF(Q$1&lt;INDEX('Valo FX'!$R:$R,MATCH($A19,'Valo FX'!$A:$A,0)),INDEX(Base!$U:$U,MATCH($A19,Base!$A:$A,0)),IF(Q$1=INDEX('Valo FX'!$R:$R,MATCH($A19,'Valo FX'!$A:$A,0)),INDEX(Base!$V:$V,MATCH($A19,Base!$A:$A,0)),0)))</f>
        <v>10.982454000000001</v>
      </c>
      <c r="R19" s="21">
        <f>IF(R$1&lt;INDEX('Valo FX'!$Q:$Q,MATCH($A19,'Valo FX'!$A:$A,0)),0,IF(R$1&lt;INDEX('Valo FX'!$R:$R,MATCH($A19,'Valo FX'!$A:$A,0)),INDEX(Base!$U:$U,MATCH($A19,Base!$A:$A,0)),IF(R$1=INDEX('Valo FX'!$R:$R,MATCH($A19,'Valo FX'!$A:$A,0)),INDEX(Base!$V:$V,MATCH($A19,Base!$A:$A,0)),0)))</f>
        <v>10.982454000000001</v>
      </c>
      <c r="S19" s="21">
        <f>IF(S$1&lt;INDEX('Valo FX'!$Q:$Q,MATCH($A19,'Valo FX'!$A:$A,0)),0,IF(S$1&lt;INDEX('Valo FX'!$R:$R,MATCH($A19,'Valo FX'!$A:$A,0)),INDEX(Base!$U:$U,MATCH($A19,Base!$A:$A,0)),IF(S$1=INDEX('Valo FX'!$R:$R,MATCH($A19,'Valo FX'!$A:$A,0)),INDEX(Base!$V:$V,MATCH($A19,Base!$A:$A,0)),0)))</f>
        <v>10.982454000000001</v>
      </c>
      <c r="T19" s="21">
        <f>IF(T$1&lt;INDEX('Valo FX'!$Q:$Q,MATCH($A19,'Valo FX'!$A:$A,0)),0,IF(T$1&lt;INDEX('Valo FX'!$R:$R,MATCH($A19,'Valo FX'!$A:$A,0)),INDEX(Base!$U:$U,MATCH($A19,Base!$A:$A,0)),IF(T$1=INDEX('Valo FX'!$R:$R,MATCH($A19,'Valo FX'!$A:$A,0)),INDEX(Base!$V:$V,MATCH($A19,Base!$A:$A,0)),0)))</f>
        <v>10.982454000000001</v>
      </c>
      <c r="U19" s="21">
        <f>IF(U$1&lt;INDEX('Valo FX'!$Q:$Q,MATCH($A19,'Valo FX'!$A:$A,0)),0,IF(U$1&lt;INDEX('Valo FX'!$R:$R,MATCH($A19,'Valo FX'!$A:$A,0)),INDEX(Base!$U:$U,MATCH($A19,Base!$A:$A,0)),IF(U$1=INDEX('Valo FX'!$R:$R,MATCH($A19,'Valo FX'!$A:$A,0)),INDEX(Base!$V:$V,MATCH($A19,Base!$A:$A,0)),0)))</f>
        <v>10.982454000000001</v>
      </c>
      <c r="V19" s="21">
        <f>IF(V$1&lt;INDEX('Valo FX'!$Q:$Q,MATCH($A19,'Valo FX'!$A:$A,0)),0,IF(V$1&lt;INDEX('Valo FX'!$R:$R,MATCH($A19,'Valo FX'!$A:$A,0)),INDEX(Base!$U:$U,MATCH($A19,Base!$A:$A,0)),IF(V$1=INDEX('Valo FX'!$R:$R,MATCH($A19,'Valo FX'!$A:$A,0)),INDEX(Base!$V:$V,MATCH($A19,Base!$A:$A,0)),0)))</f>
        <v>10.982454000000001</v>
      </c>
      <c r="W19" s="21">
        <f>IF(W$1&lt;INDEX('Valo FX'!$Q:$Q,MATCH($A19,'Valo FX'!$A:$A,0)),0,IF(W$1&lt;INDEX('Valo FX'!$R:$R,MATCH($A19,'Valo FX'!$A:$A,0)),INDEX(Base!$U:$U,MATCH($A19,Base!$A:$A,0)),IF(W$1=INDEX('Valo FX'!$R:$R,MATCH($A19,'Valo FX'!$A:$A,0)),INDEX(Base!$V:$V,MATCH($A19,Base!$A:$A,0)),0)))</f>
        <v>10.982454000000001</v>
      </c>
      <c r="X19" s="21">
        <f>IF(X$1&lt;INDEX('Valo FX'!$Q:$Q,MATCH($A19,'Valo FX'!$A:$A,0)),0,IF(X$1&lt;INDEX('Valo FX'!$R:$R,MATCH($A19,'Valo FX'!$A:$A,0)),INDEX(Base!$U:$U,MATCH($A19,Base!$A:$A,0)),IF(X$1=INDEX('Valo FX'!$R:$R,MATCH($A19,'Valo FX'!$A:$A,0)),INDEX(Base!$V:$V,MATCH($A19,Base!$A:$A,0)),0)))</f>
        <v>10.982454000000001</v>
      </c>
      <c r="Y19" s="21">
        <f>IF(Y$1&lt;INDEX('Valo FX'!$Q:$Q,MATCH($A19,'Valo FX'!$A:$A,0)),0,IF(Y$1&lt;INDEX('Valo FX'!$R:$R,MATCH($A19,'Valo FX'!$A:$A,0)),INDEX(Base!$U:$U,MATCH($A19,Base!$A:$A,0)),IF(Y$1=INDEX('Valo FX'!$R:$R,MATCH($A19,'Valo FX'!$A:$A,0)),INDEX(Base!$V:$V,MATCH($A19,Base!$A:$A,0)),0)))</f>
        <v>10.982454000000001</v>
      </c>
      <c r="Z19" s="21">
        <f>IF(Z$1&lt;INDEX('Valo FX'!$Q:$Q,MATCH($A19,'Valo FX'!$A:$A,0)),0,IF(Z$1&lt;INDEX('Valo FX'!$R:$R,MATCH($A19,'Valo FX'!$A:$A,0)),INDEX(Base!$U:$U,MATCH($A19,Base!$A:$A,0)),IF(Z$1=INDEX('Valo FX'!$R:$R,MATCH($A19,'Valo FX'!$A:$A,0)),INDEX(Base!$V:$V,MATCH($A19,Base!$A:$A,0)),0)))</f>
        <v>10.982454000000001</v>
      </c>
      <c r="AA19" s="21">
        <f>IF(AA$1&lt;INDEX('Valo FX'!$Q:$Q,MATCH($A19,'Valo FX'!$A:$A,0)),0,IF(AA$1&lt;INDEX('Valo FX'!$R:$R,MATCH($A19,'Valo FX'!$A:$A,0)),INDEX(Base!$U:$U,MATCH($A19,Base!$A:$A,0)),IF(AA$1=INDEX('Valo FX'!$R:$R,MATCH($A19,'Valo FX'!$A:$A,0)),INDEX(Base!$V:$V,MATCH($A19,Base!$A:$A,0)),0)))</f>
        <v>10.982454000000001</v>
      </c>
      <c r="AB19" s="21">
        <f>IF(AB$1&lt;INDEX('Valo FX'!$Q:$Q,MATCH($A19,'Valo FX'!$A:$A,0)),0,IF(AB$1&lt;INDEX('Valo FX'!$R:$R,MATCH($A19,'Valo FX'!$A:$A,0)),INDEX(Base!$U:$U,MATCH($A19,Base!$A:$A,0)),IF(AB$1=INDEX('Valo FX'!$R:$R,MATCH($A19,'Valo FX'!$A:$A,0)),INDEX(Base!$V:$V,MATCH($A19,Base!$A:$A,0)),0)))</f>
        <v>10.982454000000001</v>
      </c>
      <c r="AC19" s="21">
        <f>IF(AC$1&lt;INDEX('Valo FX'!$Q:$Q,MATCH($A19,'Valo FX'!$A:$A,0)),0,IF(AC$1&lt;INDEX('Valo FX'!$R:$R,MATCH($A19,'Valo FX'!$A:$A,0)),INDEX(Base!$U:$U,MATCH($A19,Base!$A:$A,0)),IF(AC$1=INDEX('Valo FX'!$R:$R,MATCH($A19,'Valo FX'!$A:$A,0)),INDEX(Base!$V:$V,MATCH($A19,Base!$A:$A,0)),0)))</f>
        <v>10.982454000000001</v>
      </c>
      <c r="AD19" s="21">
        <f>IF(AD$1&lt;INDEX('Valo FX'!$Q:$Q,MATCH($A19,'Valo FX'!$A:$A,0)),0,IF(AD$1&lt;INDEX('Valo FX'!$R:$R,MATCH($A19,'Valo FX'!$A:$A,0)),INDEX(Base!$U:$U,MATCH($A19,Base!$A:$A,0)),IF(AD$1=INDEX('Valo FX'!$R:$R,MATCH($A19,'Valo FX'!$A:$A,0)),INDEX(Base!$V:$V,MATCH($A19,Base!$A:$A,0)),0)))</f>
        <v>10.982454000000001</v>
      </c>
      <c r="AE19" s="21">
        <f>IF(AE$1&lt;INDEX('Valo FX'!$Q:$Q,MATCH($A19,'Valo FX'!$A:$A,0)),0,IF(AE$1&lt;INDEX('Valo FX'!$R:$R,MATCH($A19,'Valo FX'!$A:$A,0)),INDEX(Base!$U:$U,MATCH($A19,Base!$A:$A,0)),IF(AE$1=INDEX('Valo FX'!$R:$R,MATCH($A19,'Valo FX'!$A:$A,0)),INDEX(Base!$V:$V,MATCH($A19,Base!$A:$A,0)),0)))</f>
        <v>10.982454000000001</v>
      </c>
      <c r="AF19" s="21">
        <f>IF(AF$1&lt;INDEX('Valo FX'!$Q:$Q,MATCH($A19,'Valo FX'!$A:$A,0)),0,IF(AF$1&lt;INDEX('Valo FX'!$R:$R,MATCH($A19,'Valo FX'!$A:$A,0)),INDEX(Base!$U:$U,MATCH($A19,Base!$A:$A,0)),IF(AF$1=INDEX('Valo FX'!$R:$R,MATCH($A19,'Valo FX'!$A:$A,0)),INDEX(Base!$V:$V,MATCH($A19,Base!$A:$A,0)),0)))</f>
        <v>10.982454000000001</v>
      </c>
      <c r="AG19" s="21">
        <f>IF(AG$1&lt;INDEX('Valo FX'!$Q:$Q,MATCH($A19,'Valo FX'!$A:$A,0)),0,IF(AG$1&lt;INDEX('Valo FX'!$R:$R,MATCH($A19,'Valo FX'!$A:$A,0)),INDEX(Base!$U:$U,MATCH($A19,Base!$A:$A,0)),IF(AG$1=INDEX('Valo FX'!$R:$R,MATCH($A19,'Valo FX'!$A:$A,0)),INDEX(Base!$V:$V,MATCH($A19,Base!$A:$A,0)),0)))</f>
        <v>10.982454000000001</v>
      </c>
      <c r="AH19" s="21">
        <f>IF(AH$1&lt;INDEX('Valo FX'!$Q:$Q,MATCH($A19,'Valo FX'!$A:$A,0)),0,IF(AH$1&lt;INDEX('Valo FX'!$R:$R,MATCH($A19,'Valo FX'!$A:$A,0)),INDEX(Base!$U:$U,MATCH($A19,Base!$A:$A,0)),IF(AH$1=INDEX('Valo FX'!$R:$R,MATCH($A19,'Valo FX'!$A:$A,0)),INDEX(Base!$V:$V,MATCH($A19,Base!$A:$A,0)),0)))</f>
        <v>10.982454000000001</v>
      </c>
      <c r="AI19" s="21">
        <f>IF(AI$1&lt;INDEX('Valo FX'!$Q:$Q,MATCH($A19,'Valo FX'!$A:$A,0)),0,IF(AI$1&lt;INDEX('Valo FX'!$R:$R,MATCH($A19,'Valo FX'!$A:$A,0)),INDEX(Base!$U:$U,MATCH($A19,Base!$A:$A,0)),IF(AI$1=INDEX('Valo FX'!$R:$R,MATCH($A19,'Valo FX'!$A:$A,0)),INDEX(Base!$V:$V,MATCH($A19,Base!$A:$A,0)),0)))</f>
        <v>10.982454000000001</v>
      </c>
      <c r="AJ19" s="21">
        <f>IF(AJ$1&lt;INDEX('Valo FX'!$Q:$Q,MATCH($A19,'Valo FX'!$A:$A,0)),0,IF(AJ$1&lt;INDEX('Valo FX'!$R:$R,MATCH($A19,'Valo FX'!$A:$A,0)),INDEX(Base!$U:$U,MATCH($A19,Base!$A:$A,0)),IF(AJ$1=INDEX('Valo FX'!$R:$R,MATCH($A19,'Valo FX'!$A:$A,0)),INDEX(Base!$V:$V,MATCH($A19,Base!$A:$A,0)),0)))</f>
        <v>10.982454000000001</v>
      </c>
      <c r="AK19" s="21">
        <f>IF(AK$1&lt;INDEX('Valo FX'!$Q:$Q,MATCH($A19,'Valo FX'!$A:$A,0)),0,IF(AK$1&lt;INDEX('Valo FX'!$R:$R,MATCH($A19,'Valo FX'!$A:$A,0)),INDEX(Base!$U:$U,MATCH($A19,Base!$A:$A,0)),IF(AK$1=INDEX('Valo FX'!$R:$R,MATCH($A19,'Valo FX'!$A:$A,0)),INDEX(Base!$V:$V,MATCH($A19,Base!$A:$A,0)),0)))</f>
        <v>10.982454000000001</v>
      </c>
      <c r="AL19" s="21">
        <f>IF(AL$1&lt;INDEX('Valo FX'!$Q:$Q,MATCH($A19,'Valo FX'!$A:$A,0)),0,IF(AL$1&lt;INDEX('Valo FX'!$R:$R,MATCH($A19,'Valo FX'!$A:$A,0)),INDEX(Base!$U:$U,MATCH($A19,Base!$A:$A,0)),IF(AL$1=INDEX('Valo FX'!$R:$R,MATCH($A19,'Valo FX'!$A:$A,0)),INDEX(Base!$V:$V,MATCH($A19,Base!$A:$A,0)),0)))</f>
        <v>10.982454000000001</v>
      </c>
      <c r="AM19" s="21">
        <f>IF(AM$1&lt;INDEX('Valo FX'!$Q:$Q,MATCH($A19,'Valo FX'!$A:$A,0)),0,IF(AM$1&lt;INDEX('Valo FX'!$R:$R,MATCH($A19,'Valo FX'!$A:$A,0)),INDEX(Base!$U:$U,MATCH($A19,Base!$A:$A,0)),IF(AM$1=INDEX('Valo FX'!$R:$R,MATCH($A19,'Valo FX'!$A:$A,0)),INDEX(Base!$V:$V,MATCH($A19,Base!$A:$A,0)),0)))</f>
        <v>10.982454000000001</v>
      </c>
      <c r="AN19" s="21">
        <f>IF(AN$1&lt;INDEX('Valo FX'!$Q:$Q,MATCH($A19,'Valo FX'!$A:$A,0)),0,IF(AN$1&lt;INDEX('Valo FX'!$R:$R,MATCH($A19,'Valo FX'!$A:$A,0)),INDEX(Base!$U:$U,MATCH($A19,Base!$A:$A,0)),IF(AN$1=INDEX('Valo FX'!$R:$R,MATCH($A19,'Valo FX'!$A:$A,0)),INDEX(Base!$V:$V,MATCH($A19,Base!$A:$A,0)),0)))</f>
        <v>10.982454000000001</v>
      </c>
      <c r="AO19" s="21">
        <f>IF(AO$1&lt;INDEX('Valo FX'!$Q:$Q,MATCH($A19,'Valo FX'!$A:$A,0)),0,IF(AO$1&lt;INDEX('Valo FX'!$R:$R,MATCH($A19,'Valo FX'!$A:$A,0)),INDEX(Base!$U:$U,MATCH($A19,Base!$A:$A,0)),IF(AO$1=INDEX('Valo FX'!$R:$R,MATCH($A19,'Valo FX'!$A:$A,0)),INDEX(Base!$V:$V,MATCH($A19,Base!$A:$A,0)),0)))</f>
        <v>10.982454000000001</v>
      </c>
      <c r="AP19" s="21">
        <f>IF(AP$1&lt;INDEX('Valo FX'!$Q:$Q,MATCH($A19,'Valo FX'!$A:$A,0)),0,IF(AP$1&lt;INDEX('Valo FX'!$R:$R,MATCH($A19,'Valo FX'!$A:$A,0)),INDEX(Base!$U:$U,MATCH($A19,Base!$A:$A,0)),IF(AP$1=INDEX('Valo FX'!$R:$R,MATCH($A19,'Valo FX'!$A:$A,0)),INDEX(Base!$V:$V,MATCH($A19,Base!$A:$A,0)),0)))</f>
        <v>10.982454000000001</v>
      </c>
      <c r="AQ19" s="21">
        <f>IF(AQ$1&lt;INDEX('Valo FX'!$Q:$Q,MATCH($A19,'Valo FX'!$A:$A,0)),0,IF(AQ$1&lt;INDEX('Valo FX'!$R:$R,MATCH($A19,'Valo FX'!$A:$A,0)),INDEX(Base!$U:$U,MATCH($A19,Base!$A:$A,0)),IF(AQ$1=INDEX('Valo FX'!$R:$R,MATCH($A19,'Valo FX'!$A:$A,0)),INDEX(Base!$V:$V,MATCH($A19,Base!$A:$A,0)),0)))</f>
        <v>10.982454000000001</v>
      </c>
      <c r="AR19" s="21">
        <f>IF(AR$1&lt;INDEX('Valo FX'!$Q:$Q,MATCH($A19,'Valo FX'!$A:$A,0)),0,IF(AR$1&lt;INDEX('Valo FX'!$R:$R,MATCH($A19,'Valo FX'!$A:$A,0)),INDEX(Base!$U:$U,MATCH($A19,Base!$A:$A,0)),IF(AR$1=INDEX('Valo FX'!$R:$R,MATCH($A19,'Valo FX'!$A:$A,0)),INDEX(Base!$V:$V,MATCH($A19,Base!$A:$A,0)),0)))</f>
        <v>10.982454000000001</v>
      </c>
      <c r="AS19" s="21">
        <f>IF(AS$1&lt;INDEX('Valo FX'!$Q:$Q,MATCH($A19,'Valo FX'!$A:$A,0)),0,IF(AS$1&lt;INDEX('Valo FX'!$R:$R,MATCH($A19,'Valo FX'!$A:$A,0)),INDEX(Base!$U:$U,MATCH($A19,Base!$A:$A,0)),IF(AS$1=INDEX('Valo FX'!$R:$R,MATCH($A19,'Valo FX'!$A:$A,0)),INDEX(Base!$V:$V,MATCH($A19,Base!$A:$A,0)),0)))</f>
        <v>10.982454000000001</v>
      </c>
      <c r="AT19" s="21">
        <f>IF(AT$1&lt;INDEX('Valo FX'!$Q:$Q,MATCH($A19,'Valo FX'!$A:$A,0)),0,IF(AT$1&lt;INDEX('Valo FX'!$R:$R,MATCH($A19,'Valo FX'!$A:$A,0)),INDEX(Base!$U:$U,MATCH($A19,Base!$A:$A,0)),IF(AT$1=INDEX('Valo FX'!$R:$R,MATCH($A19,'Valo FX'!$A:$A,0)),INDEX(Base!$V:$V,MATCH($A19,Base!$A:$A,0)),0)))</f>
        <v>10.982454000000001</v>
      </c>
      <c r="AU19" s="21">
        <f>IF(AU$1&lt;INDEX('Valo FX'!$Q:$Q,MATCH($A19,'Valo FX'!$A:$A,0)),0,IF(AU$1&lt;INDEX('Valo FX'!$R:$R,MATCH($A19,'Valo FX'!$A:$A,0)),INDEX(Base!$U:$U,MATCH($A19,Base!$A:$A,0)),IF(AU$1=INDEX('Valo FX'!$R:$R,MATCH($A19,'Valo FX'!$A:$A,0)),INDEX(Base!$V:$V,MATCH($A19,Base!$A:$A,0)),0)))</f>
        <v>10.982454000000001</v>
      </c>
      <c r="AV19" s="21">
        <f>IF(AV$1&lt;INDEX('Valo FX'!$Q:$Q,MATCH($A19,'Valo FX'!$A:$A,0)),0,IF(AV$1&lt;INDEX('Valo FX'!$R:$R,MATCH($A19,'Valo FX'!$A:$A,0)),INDEX(Base!$U:$U,MATCH($A19,Base!$A:$A,0)),IF(AV$1=INDEX('Valo FX'!$R:$R,MATCH($A19,'Valo FX'!$A:$A,0)),INDEX(Base!$V:$V,MATCH($A19,Base!$A:$A,0)),0)))</f>
        <v>10.982454000000001</v>
      </c>
      <c r="AW19" s="21">
        <f>IF(AW$1&lt;INDEX('Valo FX'!$Q:$Q,MATCH($A19,'Valo FX'!$A:$A,0)),0,IF(AW$1&lt;INDEX('Valo FX'!$R:$R,MATCH($A19,'Valo FX'!$A:$A,0)),INDEX(Base!$U:$U,MATCH($A19,Base!$A:$A,0)),IF(AW$1=INDEX('Valo FX'!$R:$R,MATCH($A19,'Valo FX'!$A:$A,0)),INDEX(Base!$V:$V,MATCH($A19,Base!$A:$A,0)),0)))</f>
        <v>10.982454000000001</v>
      </c>
      <c r="AX19" s="21">
        <f>IF(AX$1&lt;INDEX('Valo FX'!$Q:$Q,MATCH($A19,'Valo FX'!$A:$A,0)),0,IF(AX$1&lt;INDEX('Valo FX'!$R:$R,MATCH($A19,'Valo FX'!$A:$A,0)),INDEX(Base!$U:$U,MATCH($A19,Base!$A:$A,0)),IF(AX$1=INDEX('Valo FX'!$R:$R,MATCH($A19,'Valo FX'!$A:$A,0)),INDEX(Base!$V:$V,MATCH($A19,Base!$A:$A,0)),0)))</f>
        <v>10.982454000000001</v>
      </c>
      <c r="AY19" s="21">
        <f>IF(AY$1&lt;INDEX('Valo FX'!$Q:$Q,MATCH($A19,'Valo FX'!$A:$A,0)),0,IF(AY$1&lt;INDEX('Valo FX'!$R:$R,MATCH($A19,'Valo FX'!$A:$A,0)),INDEX(Base!$U:$U,MATCH($A19,Base!$A:$A,0)),IF(AY$1=INDEX('Valo FX'!$R:$R,MATCH($A19,'Valo FX'!$A:$A,0)),INDEX(Base!$V:$V,MATCH($A19,Base!$A:$A,0)),0)))</f>
        <v>10.982454000000001</v>
      </c>
      <c r="AZ19" s="21">
        <f>IF(AZ$1&lt;INDEX('Valo FX'!$Q:$Q,MATCH($A19,'Valo FX'!$A:$A,0)),0,IF(AZ$1&lt;INDEX('Valo FX'!$R:$R,MATCH($A19,'Valo FX'!$A:$A,0)),INDEX(Base!$U:$U,MATCH($A19,Base!$A:$A,0)),IF(AZ$1=INDEX('Valo FX'!$R:$R,MATCH($A19,'Valo FX'!$A:$A,0)),INDEX(Base!$V:$V,MATCH($A19,Base!$A:$A,0)),0)))</f>
        <v>10.982454000000001</v>
      </c>
      <c r="BA19" s="21">
        <f>IF(BA$1&lt;INDEX('Valo FX'!$Q:$Q,MATCH($A19,'Valo FX'!$A:$A,0)),0,IF(BA$1&lt;INDEX('Valo FX'!$R:$R,MATCH($A19,'Valo FX'!$A:$A,0)),INDEX(Base!$U:$U,MATCH($A19,Base!$A:$A,0)),IF(BA$1=INDEX('Valo FX'!$R:$R,MATCH($A19,'Valo FX'!$A:$A,0)),INDEX(Base!$V:$V,MATCH($A19,Base!$A:$A,0)),0)))</f>
        <v>10.982454000000001</v>
      </c>
      <c r="BB19" s="21">
        <f>IF(BB$1&lt;INDEX('Valo FX'!$Q:$Q,MATCH($A19,'Valo FX'!$A:$A,0)),0,IF(BB$1&lt;INDEX('Valo FX'!$R:$R,MATCH($A19,'Valo FX'!$A:$A,0)),INDEX(Base!$U:$U,MATCH($A19,Base!$A:$A,0)),IF(BB$1=INDEX('Valo FX'!$R:$R,MATCH($A19,'Valo FX'!$A:$A,0)),INDEX(Base!$V:$V,MATCH($A19,Base!$A:$A,0)),0)))</f>
        <v>10.982454000000001</v>
      </c>
      <c r="BC19" s="21">
        <f>IF(BC$1&lt;INDEX('Valo FX'!$Q:$Q,MATCH($A19,'Valo FX'!$A:$A,0)),0,IF(BC$1&lt;INDEX('Valo FX'!$R:$R,MATCH($A19,'Valo FX'!$A:$A,0)),INDEX(Base!$U:$U,MATCH($A19,Base!$A:$A,0)),IF(BC$1=INDEX('Valo FX'!$R:$R,MATCH($A19,'Valo FX'!$A:$A,0)),INDEX(Base!$V:$V,MATCH($A19,Base!$A:$A,0)),0)))</f>
        <v>10.982454000000001</v>
      </c>
      <c r="BD19" s="21">
        <f>IF(BD$1&lt;INDEX('Valo FX'!$Q:$Q,MATCH($A19,'Valo FX'!$A:$A,0)),0,IF(BD$1&lt;INDEX('Valo FX'!$R:$R,MATCH($A19,'Valo FX'!$A:$A,0)),INDEX(Base!$U:$U,MATCH($A19,Base!$A:$A,0)),IF(BD$1=INDEX('Valo FX'!$R:$R,MATCH($A19,'Valo FX'!$A:$A,0)),INDEX(Base!$V:$V,MATCH($A19,Base!$A:$A,0)),0)))</f>
        <v>10.982454000000001</v>
      </c>
      <c r="BE19" s="21">
        <f>IF(BE$1&lt;INDEX('Valo FX'!$Q:$Q,MATCH($A19,'Valo FX'!$A:$A,0)),0,IF(BE$1&lt;INDEX('Valo FX'!$R:$R,MATCH($A19,'Valo FX'!$A:$A,0)),INDEX(Base!$U:$U,MATCH($A19,Base!$A:$A,0)),IF(BE$1=INDEX('Valo FX'!$R:$R,MATCH($A19,'Valo FX'!$A:$A,0)),INDEX(Base!$V:$V,MATCH($A19,Base!$A:$A,0)),0)))</f>
        <v>10.982454000000001</v>
      </c>
      <c r="BF19" s="21">
        <f>IF(BF$1&lt;INDEX('Valo FX'!$Q:$Q,MATCH($A19,'Valo FX'!$A:$A,0)),0,IF(BF$1&lt;INDEX('Valo FX'!$R:$R,MATCH($A19,'Valo FX'!$A:$A,0)),INDEX(Base!$U:$U,MATCH($A19,Base!$A:$A,0)),IF(BF$1=INDEX('Valo FX'!$R:$R,MATCH($A19,'Valo FX'!$A:$A,0)),INDEX(Base!$V:$V,MATCH($A19,Base!$A:$A,0)),0)))</f>
        <v>10.982454000000001</v>
      </c>
      <c r="BG19" s="21">
        <f>IF(BG$1&lt;INDEX('Valo FX'!$Q:$Q,MATCH($A19,'Valo FX'!$A:$A,0)),0,IF(BG$1&lt;INDEX('Valo FX'!$R:$R,MATCH($A19,'Valo FX'!$A:$A,0)),INDEX(Base!$U:$U,MATCH($A19,Base!$A:$A,0)),IF(BG$1=INDEX('Valo FX'!$R:$R,MATCH($A19,'Valo FX'!$A:$A,0)),INDEX(Base!$V:$V,MATCH($A19,Base!$A:$A,0)),0)))</f>
        <v>10.982454000000001</v>
      </c>
      <c r="BH19" s="21">
        <f>IF(BH$1&lt;INDEX('Valo FX'!$Q:$Q,MATCH($A19,'Valo FX'!$A:$A,0)),0,IF(BH$1&lt;INDEX('Valo FX'!$R:$R,MATCH($A19,'Valo FX'!$A:$A,0)),INDEX(Base!$U:$U,MATCH($A19,Base!$A:$A,0)),IF(BH$1=INDEX('Valo FX'!$R:$R,MATCH($A19,'Valo FX'!$A:$A,0)),INDEX(Base!$V:$V,MATCH($A19,Base!$A:$A,0)),0)))</f>
        <v>10.982454000000001</v>
      </c>
      <c r="BI19" s="21">
        <f>IF(BI$1&lt;INDEX('Valo FX'!$Q:$Q,MATCH($A19,'Valo FX'!$A:$A,0)),0,IF(BI$1&lt;INDEX('Valo FX'!$R:$R,MATCH($A19,'Valo FX'!$A:$A,0)),INDEX(Base!$U:$U,MATCH($A19,Base!$A:$A,0)),IF(BI$1=INDEX('Valo FX'!$R:$R,MATCH($A19,'Valo FX'!$A:$A,0)),INDEX(Base!$V:$V,MATCH($A19,Base!$A:$A,0)),0)))</f>
        <v>10.982454000000001</v>
      </c>
      <c r="BJ19" s="21">
        <f>IF(BJ$1&lt;INDEX('Valo FX'!$Q:$Q,MATCH($A19,'Valo FX'!$A:$A,0)),0,IF(BJ$1&lt;INDEX('Valo FX'!$R:$R,MATCH($A19,'Valo FX'!$A:$A,0)),INDEX(Base!$U:$U,MATCH($A19,Base!$A:$A,0)),IF(BJ$1=INDEX('Valo FX'!$R:$R,MATCH($A19,'Valo FX'!$A:$A,0)),INDEX(Base!$V:$V,MATCH($A19,Base!$A:$A,0)),0)))</f>
        <v>10.982454000000001</v>
      </c>
      <c r="BK19" s="21">
        <f>IF(BK$1&lt;INDEX('Valo FX'!$Q:$Q,MATCH($A19,'Valo FX'!$A:$A,0)),0,IF(BK$1&lt;INDEX('Valo FX'!$R:$R,MATCH($A19,'Valo FX'!$A:$A,0)),INDEX(Base!$U:$U,MATCH($A19,Base!$A:$A,0)),IF(BK$1=INDEX('Valo FX'!$R:$R,MATCH($A19,'Valo FX'!$A:$A,0)),INDEX(Base!$V:$V,MATCH($A19,Base!$A:$A,0)),0)))</f>
        <v>10.982454000000001</v>
      </c>
      <c r="BL19" s="21">
        <f>IF(BL$1&lt;INDEX('Valo FX'!$Q:$Q,MATCH($A19,'Valo FX'!$A:$A,0)),0,IF(BL$1&lt;INDEX('Valo FX'!$R:$R,MATCH($A19,'Valo FX'!$A:$A,0)),INDEX(Base!$U:$U,MATCH($A19,Base!$A:$A,0)),IF(BL$1=INDEX('Valo FX'!$R:$R,MATCH($A19,'Valo FX'!$A:$A,0)),INDEX(Base!$V:$V,MATCH($A19,Base!$A:$A,0)),0)))</f>
        <v>10.982454000000001</v>
      </c>
      <c r="BM19" s="21">
        <f>IF(BM$1&lt;INDEX('Valo FX'!$Q:$Q,MATCH($A19,'Valo FX'!$A:$A,0)),0,IF(BM$1&lt;INDEX('Valo FX'!$R:$R,MATCH($A19,'Valo FX'!$A:$A,0)),INDEX(Base!$U:$U,MATCH($A19,Base!$A:$A,0)),IF(BM$1=INDEX('Valo FX'!$R:$R,MATCH($A19,'Valo FX'!$A:$A,0)),INDEX(Base!$V:$V,MATCH($A19,Base!$A:$A,0)),0)))</f>
        <v>10.982454000000001</v>
      </c>
      <c r="BN19" s="21">
        <f>IF(BN$1&lt;INDEX('Valo FX'!$Q:$Q,MATCH($A19,'Valo FX'!$A:$A,0)),0,IF(BN$1&lt;INDEX('Valo FX'!$R:$R,MATCH($A19,'Valo FX'!$A:$A,0)),INDEX(Base!$U:$U,MATCH($A19,Base!$A:$A,0)),IF(BN$1=INDEX('Valo FX'!$R:$R,MATCH($A19,'Valo FX'!$A:$A,0)),INDEX(Base!$V:$V,MATCH($A19,Base!$A:$A,0)),0)))</f>
        <v>10.982454000000001</v>
      </c>
      <c r="BO19" s="21">
        <f>IF(BO$1&lt;INDEX('Valo FX'!$Q:$Q,MATCH($A19,'Valo FX'!$A:$A,0)),0,IF(BO$1&lt;INDEX('Valo FX'!$R:$R,MATCH($A19,'Valo FX'!$A:$A,0)),INDEX(Base!$U:$U,MATCH($A19,Base!$A:$A,0)),IF(BO$1=INDEX('Valo FX'!$R:$R,MATCH($A19,'Valo FX'!$A:$A,0)),INDEX(Base!$V:$V,MATCH($A19,Base!$A:$A,0)),0)))</f>
        <v>10.982454000000001</v>
      </c>
      <c r="BP19" s="21">
        <f>IF(BP$1&lt;INDEX('Valo FX'!$Q:$Q,MATCH($A19,'Valo FX'!$A:$A,0)),0,IF(BP$1&lt;INDEX('Valo FX'!$R:$R,MATCH($A19,'Valo FX'!$A:$A,0)),INDEX(Base!$U:$U,MATCH($A19,Base!$A:$A,0)),IF(BP$1=INDEX('Valo FX'!$R:$R,MATCH($A19,'Valo FX'!$A:$A,0)),INDEX(Base!$V:$V,MATCH($A19,Base!$A:$A,0)),0)))</f>
        <v>10.982454000000001</v>
      </c>
      <c r="BQ19" s="21">
        <f>IF(BQ$1&lt;INDEX('Valo FX'!$Q:$Q,MATCH($A19,'Valo FX'!$A:$A,0)),0,IF(BQ$1&lt;INDEX('Valo FX'!$R:$R,MATCH($A19,'Valo FX'!$A:$A,0)),INDEX(Base!$U:$U,MATCH($A19,Base!$A:$A,0)),IF(BQ$1=INDEX('Valo FX'!$R:$R,MATCH($A19,'Valo FX'!$A:$A,0)),INDEX(Base!$V:$V,MATCH($A19,Base!$A:$A,0)),0)))</f>
        <v>10.982454000000001</v>
      </c>
      <c r="BR19" s="21">
        <f>IF(BR$1&lt;INDEX('Valo FX'!$Q:$Q,MATCH($A19,'Valo FX'!$A:$A,0)),0,IF(BR$1&lt;INDEX('Valo FX'!$R:$R,MATCH($A19,'Valo FX'!$A:$A,0)),INDEX(Base!$U:$U,MATCH($A19,Base!$A:$A,0)),IF(BR$1=INDEX('Valo FX'!$R:$R,MATCH($A19,'Valo FX'!$A:$A,0)),INDEX(Base!$V:$V,MATCH($A19,Base!$A:$A,0)),0)))</f>
        <v>10.982454000000001</v>
      </c>
      <c r="BS19" s="21">
        <f>IF(BS$1&lt;INDEX('Valo FX'!$Q:$Q,MATCH($A19,'Valo FX'!$A:$A,0)),0,IF(BS$1&lt;INDEX('Valo FX'!$R:$R,MATCH($A19,'Valo FX'!$A:$A,0)),INDEX(Base!$U:$U,MATCH($A19,Base!$A:$A,0)),IF(BS$1=INDEX('Valo FX'!$R:$R,MATCH($A19,'Valo FX'!$A:$A,0)),INDEX(Base!$V:$V,MATCH($A19,Base!$A:$A,0)),0)))</f>
        <v>10.982454000000001</v>
      </c>
      <c r="BT19" s="21">
        <f>IF(BT$1&lt;INDEX('Valo FX'!$Q:$Q,MATCH($A19,'Valo FX'!$A:$A,0)),0,IF(BT$1&lt;INDEX('Valo FX'!$R:$R,MATCH($A19,'Valo FX'!$A:$A,0)),INDEX(Base!$U:$U,MATCH($A19,Base!$A:$A,0)),IF(BT$1=INDEX('Valo FX'!$R:$R,MATCH($A19,'Valo FX'!$A:$A,0)),INDEX(Base!$V:$V,MATCH($A19,Base!$A:$A,0)),0)))</f>
        <v>10.982454000000001</v>
      </c>
      <c r="BU19" s="21">
        <f>IF(BU$1&lt;INDEX('Valo FX'!$Q:$Q,MATCH($A19,'Valo FX'!$A:$A,0)),0,IF(BU$1&lt;INDEX('Valo FX'!$R:$R,MATCH($A19,'Valo FX'!$A:$A,0)),INDEX(Base!$U:$U,MATCH($A19,Base!$A:$A,0)),IF(BU$1=INDEX('Valo FX'!$R:$R,MATCH($A19,'Valo FX'!$A:$A,0)),INDEX(Base!$V:$V,MATCH($A19,Base!$A:$A,0)),0)))</f>
        <v>10.982454000000001</v>
      </c>
      <c r="BV19" s="21">
        <f>IF(BV$1&lt;INDEX('Valo FX'!$Q:$Q,MATCH($A19,'Valo FX'!$A:$A,0)),0,IF(BV$1&lt;INDEX('Valo FX'!$R:$R,MATCH($A19,'Valo FX'!$A:$A,0)),INDEX(Base!$U:$U,MATCH($A19,Base!$A:$A,0)),IF(BV$1=INDEX('Valo FX'!$R:$R,MATCH($A19,'Valo FX'!$A:$A,0)),INDEX(Base!$V:$V,MATCH($A19,Base!$A:$A,0)),0)))</f>
        <v>10.982454000000001</v>
      </c>
      <c r="BW19" s="21">
        <f>IF(BW$1&lt;INDEX('Valo FX'!$Q:$Q,MATCH($A19,'Valo FX'!$A:$A,0)),0,IF(BW$1&lt;INDEX('Valo FX'!$R:$R,MATCH($A19,'Valo FX'!$A:$A,0)),INDEX(Base!$U:$U,MATCH($A19,Base!$A:$A,0)),IF(BW$1=INDEX('Valo FX'!$R:$R,MATCH($A19,'Valo FX'!$A:$A,0)),INDEX(Base!$V:$V,MATCH($A19,Base!$A:$A,0)),0)))</f>
        <v>10.982454000000001</v>
      </c>
      <c r="BX19" s="21">
        <f>IF(BX$1&lt;INDEX('Valo FX'!$Q:$Q,MATCH($A19,'Valo FX'!$A:$A,0)),0,IF(BX$1&lt;INDEX('Valo FX'!$R:$R,MATCH($A19,'Valo FX'!$A:$A,0)),INDEX(Base!$U:$U,MATCH($A19,Base!$A:$A,0)),IF(BX$1=INDEX('Valo FX'!$R:$R,MATCH($A19,'Valo FX'!$A:$A,0)),INDEX(Base!$V:$V,MATCH($A19,Base!$A:$A,0)),0)))</f>
        <v>10.982454000000001</v>
      </c>
      <c r="BY19" s="21">
        <f>IF(BY$1&lt;INDEX('Valo FX'!$Q:$Q,MATCH($A19,'Valo FX'!$A:$A,0)),0,IF(BY$1&lt;INDEX('Valo FX'!$R:$R,MATCH($A19,'Valo FX'!$A:$A,0)),INDEX(Base!$U:$U,MATCH($A19,Base!$A:$A,0)),IF(BY$1=INDEX('Valo FX'!$R:$R,MATCH($A19,'Valo FX'!$A:$A,0)),INDEX(Base!$V:$V,MATCH($A19,Base!$A:$A,0)),0)))</f>
        <v>10.982454000000001</v>
      </c>
      <c r="BZ19" s="21">
        <f>IF(BZ$1&lt;INDEX('Valo FX'!$Q:$Q,MATCH($A19,'Valo FX'!$A:$A,0)),0,IF(BZ$1&lt;INDEX('Valo FX'!$R:$R,MATCH($A19,'Valo FX'!$A:$A,0)),INDEX(Base!$U:$U,MATCH($A19,Base!$A:$A,0)),IF(BZ$1=INDEX('Valo FX'!$R:$R,MATCH($A19,'Valo FX'!$A:$A,0)),INDEX(Base!$V:$V,MATCH($A19,Base!$A:$A,0)),0)))</f>
        <v>10.982454000000001</v>
      </c>
      <c r="CA19" s="21">
        <f>IF(CA$1&lt;INDEX('Valo FX'!$Q:$Q,MATCH($A19,'Valo FX'!$A:$A,0)),0,IF(CA$1&lt;INDEX('Valo FX'!$R:$R,MATCH($A19,'Valo FX'!$A:$A,0)),INDEX(Base!$U:$U,MATCH($A19,Base!$A:$A,0)),IF(CA$1=INDEX('Valo FX'!$R:$R,MATCH($A19,'Valo FX'!$A:$A,0)),INDEX(Base!$V:$V,MATCH($A19,Base!$A:$A,0)),0)))</f>
        <v>10.982454000000001</v>
      </c>
      <c r="CB19" s="21">
        <f>IF(CB$1&lt;INDEX('Valo FX'!$Q:$Q,MATCH($A19,'Valo FX'!$A:$A,0)),0,IF(CB$1&lt;INDEX('Valo FX'!$R:$R,MATCH($A19,'Valo FX'!$A:$A,0)),INDEX(Base!$U:$U,MATCH($A19,Base!$A:$A,0)),IF(CB$1=INDEX('Valo FX'!$R:$R,MATCH($A19,'Valo FX'!$A:$A,0)),INDEX(Base!$V:$V,MATCH($A19,Base!$A:$A,0)),0)))</f>
        <v>10.982454000000001</v>
      </c>
      <c r="CC19" s="21">
        <f>IF(CC$1&lt;INDEX('Valo FX'!$Q:$Q,MATCH($A19,'Valo FX'!$A:$A,0)),0,IF(CC$1&lt;INDEX('Valo FX'!$R:$R,MATCH($A19,'Valo FX'!$A:$A,0)),INDEX(Base!$U:$U,MATCH($A19,Base!$A:$A,0)),IF(CC$1=INDEX('Valo FX'!$R:$R,MATCH($A19,'Valo FX'!$A:$A,0)),INDEX(Base!$V:$V,MATCH($A19,Base!$A:$A,0)),0)))</f>
        <v>10.982454000000001</v>
      </c>
      <c r="CD19" s="21">
        <f>IF(CD$1&lt;INDEX('Valo FX'!$Q:$Q,MATCH($A19,'Valo FX'!$A:$A,0)),0,IF(CD$1&lt;INDEX('Valo FX'!$R:$R,MATCH($A19,'Valo FX'!$A:$A,0)),INDEX(Base!$U:$U,MATCH($A19,Base!$A:$A,0)),IF(CD$1=INDEX('Valo FX'!$R:$R,MATCH($A19,'Valo FX'!$A:$A,0)),INDEX(Base!$V:$V,MATCH($A19,Base!$A:$A,0)),0)))</f>
        <v>10.982454000000001</v>
      </c>
      <c r="CE19" s="21">
        <f>IF(CE$1&lt;INDEX('Valo FX'!$Q:$Q,MATCH($A19,'Valo FX'!$A:$A,0)),0,IF(CE$1&lt;INDEX('Valo FX'!$R:$R,MATCH($A19,'Valo FX'!$A:$A,0)),INDEX(Base!$U:$U,MATCH($A19,Base!$A:$A,0)),IF(CE$1=INDEX('Valo FX'!$R:$R,MATCH($A19,'Valo FX'!$A:$A,0)),INDEX(Base!$V:$V,MATCH($A19,Base!$A:$A,0)),0)))</f>
        <v>10.982454000000001</v>
      </c>
      <c r="CF19" s="21">
        <f>IF(CF$1&lt;INDEX('Valo FX'!$Q:$Q,MATCH($A19,'Valo FX'!$A:$A,0)),0,IF(CF$1&lt;INDEX('Valo FX'!$R:$R,MATCH($A19,'Valo FX'!$A:$A,0)),INDEX(Base!$U:$U,MATCH($A19,Base!$A:$A,0)),IF(CF$1=INDEX('Valo FX'!$R:$R,MATCH($A19,'Valo FX'!$A:$A,0)),INDEX(Base!$V:$V,MATCH($A19,Base!$A:$A,0)),0)))</f>
        <v>10.982454000000001</v>
      </c>
      <c r="CG19" s="21">
        <f>IF(CG$1&lt;INDEX('Valo FX'!$Q:$Q,MATCH($A19,'Valo FX'!$A:$A,0)),0,IF(CG$1&lt;INDEX('Valo FX'!$R:$R,MATCH($A19,'Valo FX'!$A:$A,0)),INDEX(Base!$U:$U,MATCH($A19,Base!$A:$A,0)),IF(CG$1=INDEX('Valo FX'!$R:$R,MATCH($A19,'Valo FX'!$A:$A,0)),INDEX(Base!$V:$V,MATCH($A19,Base!$A:$A,0)),0)))</f>
        <v>10.982454000000001</v>
      </c>
      <c r="CH19" s="21">
        <f>IF(CH$1&lt;INDEX('Valo FX'!$Q:$Q,MATCH($A19,'Valo FX'!$A:$A,0)),0,IF(CH$1&lt;INDEX('Valo FX'!$R:$R,MATCH($A19,'Valo FX'!$A:$A,0)),INDEX(Base!$U:$U,MATCH($A19,Base!$A:$A,0)),IF(CH$1=INDEX('Valo FX'!$R:$R,MATCH($A19,'Valo FX'!$A:$A,0)),INDEX(Base!$V:$V,MATCH($A19,Base!$A:$A,0)),0)))</f>
        <v>10.982454000000001</v>
      </c>
      <c r="CI19" s="21">
        <f>IF(CI$1&lt;INDEX('Valo FX'!$Q:$Q,MATCH($A19,'Valo FX'!$A:$A,0)),0,IF(CI$1&lt;INDEX('Valo FX'!$R:$R,MATCH($A19,'Valo FX'!$A:$A,0)),INDEX(Base!$U:$U,MATCH($A19,Base!$A:$A,0)),IF(CI$1=INDEX('Valo FX'!$R:$R,MATCH($A19,'Valo FX'!$A:$A,0)),INDEX(Base!$V:$V,MATCH($A19,Base!$A:$A,0)),0)))</f>
        <v>10.982454000000001</v>
      </c>
      <c r="CJ19" s="21">
        <f>IF(CJ$1&lt;INDEX('Valo FX'!$Q:$Q,MATCH($A19,'Valo FX'!$A:$A,0)),0,IF(CJ$1&lt;INDEX('Valo FX'!$R:$R,MATCH($A19,'Valo FX'!$A:$A,0)),INDEX(Base!$U:$U,MATCH($A19,Base!$A:$A,0)),IF(CJ$1=INDEX('Valo FX'!$R:$R,MATCH($A19,'Valo FX'!$A:$A,0)),INDEX(Base!$V:$V,MATCH($A19,Base!$A:$A,0)),0)))</f>
        <v>10.982454000000001</v>
      </c>
      <c r="CK19" s="21">
        <f>IF(CK$1&lt;INDEX('Valo FX'!$Q:$Q,MATCH($A19,'Valo FX'!$A:$A,0)),0,IF(CK$1&lt;INDEX('Valo FX'!$R:$R,MATCH($A19,'Valo FX'!$A:$A,0)),INDEX(Base!$U:$U,MATCH($A19,Base!$A:$A,0)),IF(CK$1=INDEX('Valo FX'!$R:$R,MATCH($A19,'Valo FX'!$A:$A,0)),INDEX(Base!$V:$V,MATCH($A19,Base!$A:$A,0)),0)))</f>
        <v>10.982454000000001</v>
      </c>
      <c r="CL19" s="21">
        <f>IF(CL$1&lt;INDEX('Valo FX'!$Q:$Q,MATCH($A19,'Valo FX'!$A:$A,0)),0,IF(CL$1&lt;INDEX('Valo FX'!$R:$R,MATCH($A19,'Valo FX'!$A:$A,0)),INDEX(Base!$U:$U,MATCH($A19,Base!$A:$A,0)),IF(CL$1=INDEX('Valo FX'!$R:$R,MATCH($A19,'Valo FX'!$A:$A,0)),INDEX(Base!$V:$V,MATCH($A19,Base!$A:$A,0)),0)))</f>
        <v>10.982454000000001</v>
      </c>
      <c r="CM19" s="21">
        <f>IF(CM$1&lt;INDEX('Valo FX'!$Q:$Q,MATCH($A19,'Valo FX'!$A:$A,0)),0,IF(CM$1&lt;INDEX('Valo FX'!$R:$R,MATCH($A19,'Valo FX'!$A:$A,0)),INDEX(Base!$U:$U,MATCH($A19,Base!$A:$A,0)),IF(CM$1=INDEX('Valo FX'!$R:$R,MATCH($A19,'Valo FX'!$A:$A,0)),INDEX(Base!$V:$V,MATCH($A19,Base!$A:$A,0)),0)))</f>
        <v>10.982454000000001</v>
      </c>
      <c r="CN19" s="21">
        <f>IF(CN$1&lt;INDEX('Valo FX'!$Q:$Q,MATCH($A19,'Valo FX'!$A:$A,0)),0,IF(CN$1&lt;INDEX('Valo FX'!$R:$R,MATCH($A19,'Valo FX'!$A:$A,0)),INDEX(Base!$U:$U,MATCH($A19,Base!$A:$A,0)),IF(CN$1=INDEX('Valo FX'!$R:$R,MATCH($A19,'Valo FX'!$A:$A,0)),INDEX(Base!$V:$V,MATCH($A19,Base!$A:$A,0)),0)))</f>
        <v>10.982454000000001</v>
      </c>
      <c r="CO19" s="21">
        <f>IF(CO$1&lt;INDEX('Valo FX'!$Q:$Q,MATCH($A19,'Valo FX'!$A:$A,0)),0,IF(CO$1&lt;INDEX('Valo FX'!$R:$R,MATCH($A19,'Valo FX'!$A:$A,0)),INDEX(Base!$U:$U,MATCH($A19,Base!$A:$A,0)),IF(CO$1=INDEX('Valo FX'!$R:$R,MATCH($A19,'Valo FX'!$A:$A,0)),INDEX(Base!$V:$V,MATCH($A19,Base!$A:$A,0)),0)))</f>
        <v>10.982454000000001</v>
      </c>
      <c r="CP19" s="21">
        <f>IF(CP$1&lt;INDEX('Valo FX'!$Q:$Q,MATCH($A19,'Valo FX'!$A:$A,0)),0,IF(CP$1&lt;INDEX('Valo FX'!$R:$R,MATCH($A19,'Valo FX'!$A:$A,0)),INDEX(Base!$U:$U,MATCH($A19,Base!$A:$A,0)),IF(CP$1=INDEX('Valo FX'!$R:$R,MATCH($A19,'Valo FX'!$A:$A,0)),INDEX(Base!$V:$V,MATCH($A19,Base!$A:$A,0)),0)))</f>
        <v>10.982454000000001</v>
      </c>
      <c r="CQ19" s="21">
        <f>IF(CQ$1&lt;INDEX('Valo FX'!$Q:$Q,MATCH($A19,'Valo FX'!$A:$A,0)),0,IF(CQ$1&lt;INDEX('Valo FX'!$R:$R,MATCH($A19,'Valo FX'!$A:$A,0)),INDEX(Base!$U:$U,MATCH($A19,Base!$A:$A,0)),IF(CQ$1=INDEX('Valo FX'!$R:$R,MATCH($A19,'Valo FX'!$A:$A,0)),INDEX(Base!$V:$V,MATCH($A19,Base!$A:$A,0)),0)))</f>
        <v>10.982454000000001</v>
      </c>
      <c r="CR19" s="21">
        <f>IF(CR$1&lt;INDEX('Valo FX'!$Q:$Q,MATCH($A19,'Valo FX'!$A:$A,0)),0,IF(CR$1&lt;INDEX('Valo FX'!$R:$R,MATCH($A19,'Valo FX'!$A:$A,0)),INDEX(Base!$U:$U,MATCH($A19,Base!$A:$A,0)),IF(CR$1=INDEX('Valo FX'!$R:$R,MATCH($A19,'Valo FX'!$A:$A,0)),INDEX(Base!$V:$V,MATCH($A19,Base!$A:$A,0)),0)))</f>
        <v>10.982454000000001</v>
      </c>
      <c r="CS19" s="21">
        <f>IF(CS$1&lt;INDEX('Valo FX'!$Q:$Q,MATCH($A19,'Valo FX'!$A:$A,0)),0,IF(CS$1&lt;INDEX('Valo FX'!$R:$R,MATCH($A19,'Valo FX'!$A:$A,0)),INDEX(Base!$U:$U,MATCH($A19,Base!$A:$A,0)),IF(CS$1=INDEX('Valo FX'!$R:$R,MATCH($A19,'Valo FX'!$A:$A,0)),INDEX(Base!$V:$V,MATCH($A19,Base!$A:$A,0)),0)))</f>
        <v>10.982454000000001</v>
      </c>
      <c r="CT19" s="21">
        <f>IF(CT$1&lt;INDEX('Valo FX'!$Q:$Q,MATCH($A19,'Valo FX'!$A:$A,0)),0,IF(CT$1&lt;INDEX('Valo FX'!$R:$R,MATCH($A19,'Valo FX'!$A:$A,0)),INDEX(Base!$U:$U,MATCH($A19,Base!$A:$A,0)),IF(CT$1=INDEX('Valo FX'!$R:$R,MATCH($A19,'Valo FX'!$A:$A,0)),INDEX(Base!$V:$V,MATCH($A19,Base!$A:$A,0)),0)))</f>
        <v>10.982454000000001</v>
      </c>
      <c r="CU19" s="21">
        <f>IF(CU$1&lt;INDEX('Valo FX'!$Q:$Q,MATCH($A19,'Valo FX'!$A:$A,0)),0,IF(CU$1&lt;INDEX('Valo FX'!$R:$R,MATCH($A19,'Valo FX'!$A:$A,0)),INDEX(Base!$U:$U,MATCH($A19,Base!$A:$A,0)),IF(CU$1=INDEX('Valo FX'!$R:$R,MATCH($A19,'Valo FX'!$A:$A,0)),INDEX(Base!$V:$V,MATCH($A19,Base!$A:$A,0)),0)))</f>
        <v>10.982454000000001</v>
      </c>
      <c r="CV19" s="21">
        <f>IF(CV$1&lt;INDEX('Valo FX'!$Q:$Q,MATCH($A19,'Valo FX'!$A:$A,0)),0,IF(CV$1&lt;INDEX('Valo FX'!$R:$R,MATCH($A19,'Valo FX'!$A:$A,0)),INDEX(Base!$U:$U,MATCH($A19,Base!$A:$A,0)),IF(CV$1=INDEX('Valo FX'!$R:$R,MATCH($A19,'Valo FX'!$A:$A,0)),INDEX(Base!$V:$V,MATCH($A19,Base!$A:$A,0)),0)))</f>
        <v>10.982454000000001</v>
      </c>
      <c r="CW19" s="21">
        <f>IF(CW$1&lt;INDEX('Valo FX'!$Q:$Q,MATCH($A19,'Valo FX'!$A:$A,0)),0,IF(CW$1&lt;INDEX('Valo FX'!$R:$R,MATCH($A19,'Valo FX'!$A:$A,0)),INDEX(Base!$U:$U,MATCH($A19,Base!$A:$A,0)),IF(CW$1=INDEX('Valo FX'!$R:$R,MATCH($A19,'Valo FX'!$A:$A,0)),INDEX(Base!$V:$V,MATCH($A19,Base!$A:$A,0)),0)))</f>
        <v>10.982454000000001</v>
      </c>
      <c r="CX19" s="21">
        <f>IF(CX$1&lt;INDEX('Valo FX'!$Q:$Q,MATCH($A19,'Valo FX'!$A:$A,0)),0,IF(CX$1&lt;INDEX('Valo FX'!$R:$R,MATCH($A19,'Valo FX'!$A:$A,0)),INDEX(Base!$U:$U,MATCH($A19,Base!$A:$A,0)),IF(CX$1=INDEX('Valo FX'!$R:$R,MATCH($A19,'Valo FX'!$A:$A,0)),INDEX(Base!$V:$V,MATCH($A19,Base!$A:$A,0)),0)))</f>
        <v>10.982454000000001</v>
      </c>
      <c r="CY19" s="21">
        <f>IF(CY$1&lt;INDEX('Valo FX'!$Q:$Q,MATCH($A19,'Valo FX'!$A:$A,0)),0,IF(CY$1&lt;INDEX('Valo FX'!$R:$R,MATCH($A19,'Valo FX'!$A:$A,0)),INDEX(Base!$U:$U,MATCH($A19,Base!$A:$A,0)),IF(CY$1=INDEX('Valo FX'!$R:$R,MATCH($A19,'Valo FX'!$A:$A,0)),INDEX(Base!$V:$V,MATCH($A19,Base!$A:$A,0)),0)))</f>
        <v>10.982454000000001</v>
      </c>
      <c r="CZ19" s="21">
        <f>IF(CZ$1&lt;INDEX('Valo FX'!$Q:$Q,MATCH($A19,'Valo FX'!$A:$A,0)),0,IF(CZ$1&lt;INDEX('Valo FX'!$R:$R,MATCH($A19,'Valo FX'!$A:$A,0)),INDEX(Base!$U:$U,MATCH($A19,Base!$A:$A,0)),IF(CZ$1=INDEX('Valo FX'!$R:$R,MATCH($A19,'Valo FX'!$A:$A,0)),INDEX(Base!$V:$V,MATCH($A19,Base!$A:$A,0)),0)))</f>
        <v>10.982454000000001</v>
      </c>
      <c r="DA19" s="21">
        <f>IF(DA$1&lt;INDEX('Valo FX'!$Q:$Q,MATCH($A19,'Valo FX'!$A:$A,0)),0,IF(DA$1&lt;INDEX('Valo FX'!$R:$R,MATCH($A19,'Valo FX'!$A:$A,0)),INDEX(Base!$U:$U,MATCH($A19,Base!$A:$A,0)),IF(DA$1=INDEX('Valo FX'!$R:$R,MATCH($A19,'Valo FX'!$A:$A,0)),INDEX(Base!$V:$V,MATCH($A19,Base!$A:$A,0)),0)))</f>
        <v>10.982454000000001</v>
      </c>
      <c r="DB19" s="21">
        <f>IF(DB$1&lt;INDEX('Valo FX'!$Q:$Q,MATCH($A19,'Valo FX'!$A:$A,0)),0,IF(DB$1&lt;INDEX('Valo FX'!$R:$R,MATCH($A19,'Valo FX'!$A:$A,0)),INDEX(Base!$U:$U,MATCH($A19,Base!$A:$A,0)),IF(DB$1=INDEX('Valo FX'!$R:$R,MATCH($A19,'Valo FX'!$A:$A,0)),INDEX(Base!$V:$V,MATCH($A19,Base!$A:$A,0)),0)))</f>
        <v>10.982454000000001</v>
      </c>
      <c r="DC19" s="21">
        <f>IF(DC$1&lt;INDEX('Valo FX'!$Q:$Q,MATCH($A19,'Valo FX'!$A:$A,0)),0,IF(DC$1&lt;INDEX('Valo FX'!$R:$R,MATCH($A19,'Valo FX'!$A:$A,0)),INDEX(Base!$U:$U,MATCH($A19,Base!$A:$A,0)),IF(DC$1=INDEX('Valo FX'!$R:$R,MATCH($A19,'Valo FX'!$A:$A,0)),INDEX(Base!$V:$V,MATCH($A19,Base!$A:$A,0)),0)))</f>
        <v>10.982454000000001</v>
      </c>
      <c r="DD19" s="21">
        <f>IF(DD$1&lt;INDEX('Valo FX'!$Q:$Q,MATCH($A19,'Valo FX'!$A:$A,0)),0,IF(DD$1&lt;INDEX('Valo FX'!$R:$R,MATCH($A19,'Valo FX'!$A:$A,0)),INDEX(Base!$U:$U,MATCH($A19,Base!$A:$A,0)),IF(DD$1=INDEX('Valo FX'!$R:$R,MATCH($A19,'Valo FX'!$A:$A,0)),INDEX(Base!$V:$V,MATCH($A19,Base!$A:$A,0)),0)))</f>
        <v>10.982454000000001</v>
      </c>
      <c r="DE19" s="21">
        <f>IF(DE$1&lt;INDEX('Valo FX'!$Q:$Q,MATCH($A19,'Valo FX'!$A:$A,0)),0,IF(DE$1&lt;INDEX('Valo FX'!$R:$R,MATCH($A19,'Valo FX'!$A:$A,0)),INDEX(Base!$U:$U,MATCH($A19,Base!$A:$A,0)),IF(DE$1=INDEX('Valo FX'!$R:$R,MATCH($A19,'Valo FX'!$A:$A,0)),INDEX(Base!$V:$V,MATCH($A19,Base!$A:$A,0)),0)))</f>
        <v>10.982454000000001</v>
      </c>
      <c r="DF19" s="21">
        <f>IF(DF$1&lt;INDEX('Valo FX'!$Q:$Q,MATCH($A19,'Valo FX'!$A:$A,0)),0,IF(DF$1&lt;INDEX('Valo FX'!$R:$R,MATCH($A19,'Valo FX'!$A:$A,0)),INDEX(Base!$U:$U,MATCH($A19,Base!$A:$A,0)),IF(DF$1=INDEX('Valo FX'!$R:$R,MATCH($A19,'Valo FX'!$A:$A,0)),INDEX(Base!$V:$V,MATCH($A19,Base!$A:$A,0)),0)))</f>
        <v>10.982454000000001</v>
      </c>
      <c r="DG19" s="21">
        <f>IF(DG$1&lt;INDEX('Valo FX'!$Q:$Q,MATCH($A19,'Valo FX'!$A:$A,0)),0,IF(DG$1&lt;INDEX('Valo FX'!$R:$R,MATCH($A19,'Valo FX'!$A:$A,0)),INDEX(Base!$U:$U,MATCH($A19,Base!$A:$A,0)),IF(DG$1=INDEX('Valo FX'!$R:$R,MATCH($A19,'Valo FX'!$A:$A,0)),INDEX(Base!$V:$V,MATCH($A19,Base!$A:$A,0)),0)))</f>
        <v>10.982454000000001</v>
      </c>
      <c r="DH19" s="21">
        <f>IF(DH$1&lt;INDEX('Valo FX'!$Q:$Q,MATCH($A19,'Valo FX'!$A:$A,0)),0,IF(DH$1&lt;INDEX('Valo FX'!$R:$R,MATCH($A19,'Valo FX'!$A:$A,0)),INDEX(Base!$U:$U,MATCH($A19,Base!$A:$A,0)),IF(DH$1=INDEX('Valo FX'!$R:$R,MATCH($A19,'Valo FX'!$A:$A,0)),INDEX(Base!$V:$V,MATCH($A19,Base!$A:$A,0)),0)))</f>
        <v>10.982454000000001</v>
      </c>
      <c r="DI19" s="21">
        <f>IF(DI$1&lt;INDEX('Valo FX'!$Q:$Q,MATCH($A19,'Valo FX'!$A:$A,0)),0,IF(DI$1&lt;INDEX('Valo FX'!$R:$R,MATCH($A19,'Valo FX'!$A:$A,0)),INDEX(Base!$U:$U,MATCH($A19,Base!$A:$A,0)),IF(DI$1=INDEX('Valo FX'!$R:$R,MATCH($A19,'Valo FX'!$A:$A,0)),INDEX(Base!$V:$V,MATCH($A19,Base!$A:$A,0)),0)))</f>
        <v>10.982454000000001</v>
      </c>
      <c r="DJ19" s="21">
        <f>IF(DJ$1&lt;INDEX('Valo FX'!$Q:$Q,MATCH($A19,'Valo FX'!$A:$A,0)),0,IF(DJ$1&lt;INDEX('Valo FX'!$R:$R,MATCH($A19,'Valo FX'!$A:$A,0)),INDEX(Base!$U:$U,MATCH($A19,Base!$A:$A,0)),IF(DJ$1=INDEX('Valo FX'!$R:$R,MATCH($A19,'Valo FX'!$A:$A,0)),INDEX(Base!$V:$V,MATCH($A19,Base!$A:$A,0)),0)))</f>
        <v>10.982454000000001</v>
      </c>
      <c r="DK19" s="21">
        <f>IF(DK$1&lt;INDEX('Valo FX'!$Q:$Q,MATCH($A19,'Valo FX'!$A:$A,0)),0,IF(DK$1&lt;INDEX('Valo FX'!$R:$R,MATCH($A19,'Valo FX'!$A:$A,0)),INDEX(Base!$U:$U,MATCH($A19,Base!$A:$A,0)),IF(DK$1=INDEX('Valo FX'!$R:$R,MATCH($A19,'Valo FX'!$A:$A,0)),INDEX(Base!$V:$V,MATCH($A19,Base!$A:$A,0)),0)))</f>
        <v>10.982454000000001</v>
      </c>
      <c r="DL19" s="21">
        <f>IF(DL$1&lt;INDEX('Valo FX'!$Q:$Q,MATCH($A19,'Valo FX'!$A:$A,0)),0,IF(DL$1&lt;INDEX('Valo FX'!$R:$R,MATCH($A19,'Valo FX'!$A:$A,0)),INDEX(Base!$U:$U,MATCH($A19,Base!$A:$A,0)),IF(DL$1=INDEX('Valo FX'!$R:$R,MATCH($A19,'Valo FX'!$A:$A,0)),INDEX(Base!$V:$V,MATCH($A19,Base!$A:$A,0)),0)))</f>
        <v>10.982454000000001</v>
      </c>
      <c r="DM19" s="21">
        <f>IF(DM$1&lt;INDEX('Valo FX'!$Q:$Q,MATCH($A19,'Valo FX'!$A:$A,0)),0,IF(DM$1&lt;INDEX('Valo FX'!$R:$R,MATCH($A19,'Valo FX'!$A:$A,0)),INDEX(Base!$U:$U,MATCH($A19,Base!$A:$A,0)),IF(DM$1=INDEX('Valo FX'!$R:$R,MATCH($A19,'Valo FX'!$A:$A,0)),INDEX(Base!$V:$V,MATCH($A19,Base!$A:$A,0)),0)))</f>
        <v>10.982454000000001</v>
      </c>
      <c r="DN19" s="21">
        <f>IF(DN$1&lt;INDEX('Valo FX'!$Q:$Q,MATCH($A19,'Valo FX'!$A:$A,0)),0,IF(DN$1&lt;INDEX('Valo FX'!$R:$R,MATCH($A19,'Valo FX'!$A:$A,0)),INDEX(Base!$U:$U,MATCH($A19,Base!$A:$A,0)),IF(DN$1=INDEX('Valo FX'!$R:$R,MATCH($A19,'Valo FX'!$A:$A,0)),INDEX(Base!$V:$V,MATCH($A19,Base!$A:$A,0)),0)))</f>
        <v>10.982454000000001</v>
      </c>
      <c r="DO19" s="21">
        <f>IF(DO$1&lt;INDEX('Valo FX'!$Q:$Q,MATCH($A19,'Valo FX'!$A:$A,0)),0,IF(DO$1&lt;INDEX('Valo FX'!$R:$R,MATCH($A19,'Valo FX'!$A:$A,0)),INDEX(Base!$U:$U,MATCH($A19,Base!$A:$A,0)),IF(DO$1=INDEX('Valo FX'!$R:$R,MATCH($A19,'Valo FX'!$A:$A,0)),INDEX(Base!$V:$V,MATCH($A19,Base!$A:$A,0)),0)))</f>
        <v>10.982454000000001</v>
      </c>
      <c r="DP19" s="21">
        <f>IF(DP$1&lt;INDEX('Valo FX'!$Q:$Q,MATCH($A19,'Valo FX'!$A:$A,0)),0,IF(DP$1&lt;INDEX('Valo FX'!$R:$R,MATCH($A19,'Valo FX'!$A:$A,0)),INDEX(Base!$U:$U,MATCH($A19,Base!$A:$A,0)),IF(DP$1=INDEX('Valo FX'!$R:$R,MATCH($A19,'Valo FX'!$A:$A,0)),INDEX(Base!$V:$V,MATCH($A19,Base!$A:$A,0)),0)))</f>
        <v>10.982454000000001</v>
      </c>
      <c r="DQ19" s="21">
        <f>IF(DQ$1&lt;INDEX('Valo FX'!$Q:$Q,MATCH($A19,'Valo FX'!$A:$A,0)),0,IF(DQ$1&lt;INDEX('Valo FX'!$R:$R,MATCH($A19,'Valo FX'!$A:$A,0)),INDEX(Base!$U:$U,MATCH($A19,Base!$A:$A,0)),IF(DQ$1=INDEX('Valo FX'!$R:$R,MATCH($A19,'Valo FX'!$A:$A,0)),INDEX(Base!$V:$V,MATCH($A19,Base!$A:$A,0)),0)))</f>
        <v>10.982454000000001</v>
      </c>
      <c r="DR19" s="21">
        <f>IF(DR$1&lt;INDEX('Valo FX'!$Q:$Q,MATCH($A19,'Valo FX'!$A:$A,0)),0,IF(DR$1&lt;INDEX('Valo FX'!$R:$R,MATCH($A19,'Valo FX'!$A:$A,0)),INDEX(Base!$U:$U,MATCH($A19,Base!$A:$A,0)),IF(DR$1=INDEX('Valo FX'!$R:$R,MATCH($A19,'Valo FX'!$A:$A,0)),INDEX(Base!$V:$V,MATCH($A19,Base!$A:$A,0)),0)))</f>
        <v>10.982454000000001</v>
      </c>
      <c r="DS19" s="21">
        <f>IF(DS$1&lt;INDEX('Valo FX'!$Q:$Q,MATCH($A19,'Valo FX'!$A:$A,0)),0,IF(DS$1&lt;INDEX('Valo FX'!$R:$R,MATCH($A19,'Valo FX'!$A:$A,0)),INDEX(Base!$U:$U,MATCH($A19,Base!$A:$A,0)),IF(DS$1=INDEX('Valo FX'!$R:$R,MATCH($A19,'Valo FX'!$A:$A,0)),INDEX(Base!$V:$V,MATCH($A19,Base!$A:$A,0)),0)))</f>
        <v>10.982454000000001</v>
      </c>
      <c r="DT19" s="21">
        <f>IF(DT$1&lt;INDEX('Valo FX'!$Q:$Q,MATCH($A19,'Valo FX'!$A:$A,0)),0,IF(DT$1&lt;INDEX('Valo FX'!$R:$R,MATCH($A19,'Valo FX'!$A:$A,0)),INDEX(Base!$U:$U,MATCH($A19,Base!$A:$A,0)),IF(DT$1=INDEX('Valo FX'!$R:$R,MATCH($A19,'Valo FX'!$A:$A,0)),INDEX(Base!$V:$V,MATCH($A19,Base!$A:$A,0)),0)))</f>
        <v>10.982454000000001</v>
      </c>
      <c r="DU19" s="21">
        <f>IF(DU$1&lt;INDEX('Valo FX'!$Q:$Q,MATCH($A19,'Valo FX'!$A:$A,0)),0,IF(DU$1&lt;INDEX('Valo FX'!$R:$R,MATCH($A19,'Valo FX'!$A:$A,0)),INDEX(Base!$U:$U,MATCH($A19,Base!$A:$A,0)),IF(DU$1=INDEX('Valo FX'!$R:$R,MATCH($A19,'Valo FX'!$A:$A,0)),INDEX(Base!$V:$V,MATCH($A19,Base!$A:$A,0)),0)))</f>
        <v>10.982454000000001</v>
      </c>
      <c r="DV19" s="21">
        <f>IF(DV$1&lt;INDEX('Valo FX'!$Q:$Q,MATCH($A19,'Valo FX'!$A:$A,0)),0,IF(DV$1&lt;INDEX('Valo FX'!$R:$R,MATCH($A19,'Valo FX'!$A:$A,0)),INDEX(Base!$U:$U,MATCH($A19,Base!$A:$A,0)),IF(DV$1=INDEX('Valo FX'!$R:$R,MATCH($A19,'Valo FX'!$A:$A,0)),INDEX(Base!$V:$V,MATCH($A19,Base!$A:$A,0)),0)))</f>
        <v>10.982454000000001</v>
      </c>
      <c r="DW19" s="21">
        <f>IF(DW$1&lt;INDEX('Valo FX'!$Q:$Q,MATCH($A19,'Valo FX'!$A:$A,0)),0,IF(DW$1&lt;INDEX('Valo FX'!$R:$R,MATCH($A19,'Valo FX'!$A:$A,0)),INDEX(Base!$U:$U,MATCH($A19,Base!$A:$A,0)),IF(DW$1=INDEX('Valo FX'!$R:$R,MATCH($A19,'Valo FX'!$A:$A,0)),INDEX(Base!$V:$V,MATCH($A19,Base!$A:$A,0)),0)))</f>
        <v>10.982454000000001</v>
      </c>
      <c r="DX19" s="21">
        <f>IF(DX$1&lt;INDEX('Valo FX'!$Q:$Q,MATCH($A19,'Valo FX'!$A:$A,0)),0,IF(DX$1&lt;INDEX('Valo FX'!$R:$R,MATCH($A19,'Valo FX'!$A:$A,0)),INDEX(Base!$U:$U,MATCH($A19,Base!$A:$A,0)),IF(DX$1=INDEX('Valo FX'!$R:$R,MATCH($A19,'Valo FX'!$A:$A,0)),INDEX(Base!$V:$V,MATCH($A19,Base!$A:$A,0)),0)))</f>
        <v>10.982454000000001</v>
      </c>
      <c r="DY19" s="21">
        <f>IF(DY$1&lt;INDEX('Valo FX'!$Q:$Q,MATCH($A19,'Valo FX'!$A:$A,0)),0,IF(DY$1&lt;INDEX('Valo FX'!$R:$R,MATCH($A19,'Valo FX'!$A:$A,0)),INDEX(Base!$U:$U,MATCH($A19,Base!$A:$A,0)),IF(DY$1=INDEX('Valo FX'!$R:$R,MATCH($A19,'Valo FX'!$A:$A,0)),INDEX(Base!$V:$V,MATCH($A19,Base!$A:$A,0)),0)))</f>
        <v>10.982454000000001</v>
      </c>
      <c r="DZ19" s="21">
        <f>IF(DZ$1&lt;INDEX('Valo FX'!$Q:$Q,MATCH($A19,'Valo FX'!$A:$A,0)),0,IF(DZ$1&lt;INDEX('Valo FX'!$R:$R,MATCH($A19,'Valo FX'!$A:$A,0)),INDEX(Base!$U:$U,MATCH($A19,Base!$A:$A,0)),IF(DZ$1=INDEX('Valo FX'!$R:$R,MATCH($A19,'Valo FX'!$A:$A,0)),INDEX(Base!$V:$V,MATCH($A19,Base!$A:$A,0)),0)))</f>
        <v>10.982454000000001</v>
      </c>
      <c r="EA19" s="21">
        <f>IF(EA$1&lt;INDEX('Valo FX'!$Q:$Q,MATCH($A19,'Valo FX'!$A:$A,0)),0,IF(EA$1&lt;INDEX('Valo FX'!$R:$R,MATCH($A19,'Valo FX'!$A:$A,0)),INDEX(Base!$U:$U,MATCH($A19,Base!$A:$A,0)),IF(EA$1=INDEX('Valo FX'!$R:$R,MATCH($A19,'Valo FX'!$A:$A,0)),INDEX(Base!$V:$V,MATCH($A19,Base!$A:$A,0)),0)))</f>
        <v>10.982454000000001</v>
      </c>
      <c r="EB19" s="21">
        <f>IF(EB$1&lt;INDEX('Valo FX'!$Q:$Q,MATCH($A19,'Valo FX'!$A:$A,0)),0,IF(EB$1&lt;INDEX('Valo FX'!$R:$R,MATCH($A19,'Valo FX'!$A:$A,0)),INDEX(Base!$U:$U,MATCH($A19,Base!$A:$A,0)),IF(EB$1=INDEX('Valo FX'!$R:$R,MATCH($A19,'Valo FX'!$A:$A,0)),INDEX(Base!$V:$V,MATCH($A19,Base!$A:$A,0)),0)))</f>
        <v>10.982454000000001</v>
      </c>
      <c r="EC19" s="21">
        <f>IF(EC$1&lt;INDEX('Valo FX'!$Q:$Q,MATCH($A19,'Valo FX'!$A:$A,0)),0,IF(EC$1&lt;INDEX('Valo FX'!$R:$R,MATCH($A19,'Valo FX'!$A:$A,0)),INDEX(Base!$U:$U,MATCH($A19,Base!$A:$A,0)),IF(EC$1=INDEX('Valo FX'!$R:$R,MATCH($A19,'Valo FX'!$A:$A,0)),INDEX(Base!$V:$V,MATCH($A19,Base!$A:$A,0)),0)))</f>
        <v>10.982454000000001</v>
      </c>
      <c r="ED19" s="21">
        <f>IF(ED$1&lt;INDEX('Valo FX'!$Q:$Q,MATCH($A19,'Valo FX'!$A:$A,0)),0,IF(ED$1&lt;INDEX('Valo FX'!$R:$R,MATCH($A19,'Valo FX'!$A:$A,0)),INDEX(Base!$U:$U,MATCH($A19,Base!$A:$A,0)),IF(ED$1=INDEX('Valo FX'!$R:$R,MATCH($A19,'Valo FX'!$A:$A,0)),INDEX(Base!$V:$V,MATCH($A19,Base!$A:$A,0)),0)))</f>
        <v>10.982454000000001</v>
      </c>
      <c r="EE19" s="21">
        <f>IF(EE$1&lt;INDEX('Valo FX'!$Q:$Q,MATCH($A19,'Valo FX'!$A:$A,0)),0,IF(EE$1&lt;INDEX('Valo FX'!$R:$R,MATCH($A19,'Valo FX'!$A:$A,0)),INDEX(Base!$U:$U,MATCH($A19,Base!$A:$A,0)),IF(EE$1=INDEX('Valo FX'!$R:$R,MATCH($A19,'Valo FX'!$A:$A,0)),INDEX(Base!$V:$V,MATCH($A19,Base!$A:$A,0)),0)))</f>
        <v>10.982454000000001</v>
      </c>
      <c r="EF19" s="21">
        <f>IF(EF$1&lt;INDEX('Valo FX'!$Q:$Q,MATCH($A19,'Valo FX'!$A:$A,0)),0,IF(EF$1&lt;INDEX('Valo FX'!$R:$R,MATCH($A19,'Valo FX'!$A:$A,0)),INDEX(Base!$U:$U,MATCH($A19,Base!$A:$A,0)),IF(EF$1=INDEX('Valo FX'!$R:$R,MATCH($A19,'Valo FX'!$A:$A,0)),INDEX(Base!$V:$V,MATCH($A19,Base!$A:$A,0)),0)))</f>
        <v>10.982454000000001</v>
      </c>
      <c r="EG19" s="21">
        <f>IF(EG$1&lt;INDEX('Valo FX'!$Q:$Q,MATCH($A19,'Valo FX'!$A:$A,0)),0,IF(EG$1&lt;INDEX('Valo FX'!$R:$R,MATCH($A19,'Valo FX'!$A:$A,0)),INDEX(Base!$U:$U,MATCH($A19,Base!$A:$A,0)),IF(EG$1=INDEX('Valo FX'!$R:$R,MATCH($A19,'Valo FX'!$A:$A,0)),INDEX(Base!$V:$V,MATCH($A19,Base!$A:$A,0)),0)))</f>
        <v>10.982454000000001</v>
      </c>
      <c r="EH19" s="21">
        <f>IF(EH$1&lt;INDEX('Valo FX'!$Q:$Q,MATCH($A19,'Valo FX'!$A:$A,0)),0,IF(EH$1&lt;INDEX('Valo FX'!$R:$R,MATCH($A19,'Valo FX'!$A:$A,0)),INDEX(Base!$U:$U,MATCH($A19,Base!$A:$A,0)),IF(EH$1=INDEX('Valo FX'!$R:$R,MATCH($A19,'Valo FX'!$A:$A,0)),INDEX(Base!$V:$V,MATCH($A19,Base!$A:$A,0)),0)))</f>
        <v>10.982454000000001</v>
      </c>
      <c r="EI19" s="21">
        <f>IF(EI$1&lt;INDEX('Valo FX'!$Q:$Q,MATCH($A19,'Valo FX'!$A:$A,0)),0,IF(EI$1&lt;INDEX('Valo FX'!$R:$R,MATCH($A19,'Valo FX'!$A:$A,0)),INDEX(Base!$U:$U,MATCH($A19,Base!$A:$A,0)),IF(EI$1=INDEX('Valo FX'!$R:$R,MATCH($A19,'Valo FX'!$A:$A,0)),INDEX(Base!$V:$V,MATCH($A19,Base!$A:$A,0)),0)))</f>
        <v>10.982454000000001</v>
      </c>
      <c r="EJ19" s="21">
        <f>IF(EJ$1&lt;INDEX('Valo FX'!$Q:$Q,MATCH($A19,'Valo FX'!$A:$A,0)),0,IF(EJ$1&lt;INDEX('Valo FX'!$R:$R,MATCH($A19,'Valo FX'!$A:$A,0)),INDEX(Base!$U:$U,MATCH($A19,Base!$A:$A,0)),IF(EJ$1=INDEX('Valo FX'!$R:$R,MATCH($A19,'Valo FX'!$A:$A,0)),INDEX(Base!$V:$V,MATCH($A19,Base!$A:$A,0)),0)))</f>
        <v>10.982454000000001</v>
      </c>
      <c r="EK19" s="21">
        <f>IF(EK$1&lt;INDEX('Valo FX'!$Q:$Q,MATCH($A19,'Valo FX'!$A:$A,0)),0,IF(EK$1&lt;INDEX('Valo FX'!$R:$R,MATCH($A19,'Valo FX'!$A:$A,0)),INDEX(Base!$U:$U,MATCH($A19,Base!$A:$A,0)),IF(EK$1=INDEX('Valo FX'!$R:$R,MATCH($A19,'Valo FX'!$A:$A,0)),INDEX(Base!$V:$V,MATCH($A19,Base!$A:$A,0)),0)))</f>
        <v>10.982454000000001</v>
      </c>
      <c r="EL19" s="21">
        <f>IF(EL$1&lt;INDEX('Valo FX'!$Q:$Q,MATCH($A19,'Valo FX'!$A:$A,0)),0,IF(EL$1&lt;INDEX('Valo FX'!$R:$R,MATCH($A19,'Valo FX'!$A:$A,0)),INDEX(Base!$U:$U,MATCH($A19,Base!$A:$A,0)),IF(EL$1=INDEX('Valo FX'!$R:$R,MATCH($A19,'Valo FX'!$A:$A,0)),INDEX(Base!$V:$V,MATCH($A19,Base!$A:$A,0)),0)))</f>
        <v>10.982454000000001</v>
      </c>
      <c r="EM19" s="21">
        <f>IF(EM$1&lt;INDEX('Valo FX'!$Q:$Q,MATCH($A19,'Valo FX'!$A:$A,0)),0,IF(EM$1&lt;INDEX('Valo FX'!$R:$R,MATCH($A19,'Valo FX'!$A:$A,0)),INDEX(Base!$U:$U,MATCH($A19,Base!$A:$A,0)),IF(EM$1=INDEX('Valo FX'!$R:$R,MATCH($A19,'Valo FX'!$A:$A,0)),INDEX(Base!$V:$V,MATCH($A19,Base!$A:$A,0)),0)))</f>
        <v>10.982454000000001</v>
      </c>
      <c r="EN19" s="21">
        <f>IF(EN$1&lt;INDEX('Valo FX'!$Q:$Q,MATCH($A19,'Valo FX'!$A:$A,0)),0,IF(EN$1&lt;INDEX('Valo FX'!$R:$R,MATCH($A19,'Valo FX'!$A:$A,0)),INDEX(Base!$U:$U,MATCH($A19,Base!$A:$A,0)),IF(EN$1=INDEX('Valo FX'!$R:$R,MATCH($A19,'Valo FX'!$A:$A,0)),INDEX(Base!$V:$V,MATCH($A19,Base!$A:$A,0)),0)))</f>
        <v>10.982454000000001</v>
      </c>
      <c r="EO19" s="21">
        <f>IF(EO$1&lt;INDEX('Valo FX'!$Q:$Q,MATCH($A19,'Valo FX'!$A:$A,0)),0,IF(EO$1&lt;INDEX('Valo FX'!$R:$R,MATCH($A19,'Valo FX'!$A:$A,0)),INDEX(Base!$U:$U,MATCH($A19,Base!$A:$A,0)),IF(EO$1=INDEX('Valo FX'!$R:$R,MATCH($A19,'Valo FX'!$A:$A,0)),INDEX(Base!$V:$V,MATCH($A19,Base!$A:$A,0)),0)))</f>
        <v>10.982454000000001</v>
      </c>
      <c r="EP19" s="21">
        <f>IF(EP$1&lt;INDEX('Valo FX'!$Q:$Q,MATCH($A19,'Valo FX'!$A:$A,0)),0,IF(EP$1&lt;INDEX('Valo FX'!$R:$R,MATCH($A19,'Valo FX'!$A:$A,0)),INDEX(Base!$U:$U,MATCH($A19,Base!$A:$A,0)),IF(EP$1=INDEX('Valo FX'!$R:$R,MATCH($A19,'Valo FX'!$A:$A,0)),INDEX(Base!$V:$V,MATCH($A19,Base!$A:$A,0)),0)))</f>
        <v>10.982454000000001</v>
      </c>
      <c r="EQ19" s="21">
        <f>IF(EQ$1&lt;INDEX('Valo FX'!$Q:$Q,MATCH($A19,'Valo FX'!$A:$A,0)),0,IF(EQ$1&lt;INDEX('Valo FX'!$R:$R,MATCH($A19,'Valo FX'!$A:$A,0)),INDEX(Base!$U:$U,MATCH($A19,Base!$A:$A,0)),IF(EQ$1=INDEX('Valo FX'!$R:$R,MATCH($A19,'Valo FX'!$A:$A,0)),INDEX(Base!$V:$V,MATCH($A19,Base!$A:$A,0)),0)))</f>
        <v>10.982454000000001</v>
      </c>
      <c r="ER19" s="21">
        <f>IF(ER$1&lt;INDEX('Valo FX'!$Q:$Q,MATCH($A19,'Valo FX'!$A:$A,0)),0,IF(ER$1&lt;INDEX('Valo FX'!$R:$R,MATCH($A19,'Valo FX'!$A:$A,0)),INDEX(Base!$U:$U,MATCH($A19,Base!$A:$A,0)),IF(ER$1=INDEX('Valo FX'!$R:$R,MATCH($A19,'Valo FX'!$A:$A,0)),INDEX(Base!$V:$V,MATCH($A19,Base!$A:$A,0)),0)))</f>
        <v>10.982454000000001</v>
      </c>
      <c r="ES19" s="21">
        <f>IF(ES$1&lt;INDEX('Valo FX'!$Q:$Q,MATCH($A19,'Valo FX'!$A:$A,0)),0,IF(ES$1&lt;INDEX('Valo FX'!$R:$R,MATCH($A19,'Valo FX'!$A:$A,0)),INDEX(Base!$U:$U,MATCH($A19,Base!$A:$A,0)),IF(ES$1=INDEX('Valo FX'!$R:$R,MATCH($A19,'Valo FX'!$A:$A,0)),INDEX(Base!$V:$V,MATCH($A19,Base!$A:$A,0)),0)))</f>
        <v>10.982454000000001</v>
      </c>
      <c r="ET19" s="21">
        <f>IF(ET$1&lt;INDEX('Valo FX'!$Q:$Q,MATCH($A19,'Valo FX'!$A:$A,0)),0,IF(ET$1&lt;INDEX('Valo FX'!$R:$R,MATCH($A19,'Valo FX'!$A:$A,0)),INDEX(Base!$U:$U,MATCH($A19,Base!$A:$A,0)),IF(ET$1=INDEX('Valo FX'!$R:$R,MATCH($A19,'Valo FX'!$A:$A,0)),INDEX(Base!$V:$V,MATCH($A19,Base!$A:$A,0)),0)))</f>
        <v>10.982454000000001</v>
      </c>
      <c r="EU19" s="21">
        <f>IF(EU$1&lt;INDEX('Valo FX'!$Q:$Q,MATCH($A19,'Valo FX'!$A:$A,0)),0,IF(EU$1&lt;INDEX('Valo FX'!$R:$R,MATCH($A19,'Valo FX'!$A:$A,0)),INDEX(Base!$U:$U,MATCH($A19,Base!$A:$A,0)),IF(EU$1=INDEX('Valo FX'!$R:$R,MATCH($A19,'Valo FX'!$A:$A,0)),INDEX(Base!$V:$V,MATCH($A19,Base!$A:$A,0)),0)))</f>
        <v>10.982454000000001</v>
      </c>
      <c r="EV19" s="21">
        <f>IF(EV$1&lt;INDEX('Valo FX'!$Q:$Q,MATCH($A19,'Valo FX'!$A:$A,0)),0,IF(EV$1&lt;INDEX('Valo FX'!$R:$R,MATCH($A19,'Valo FX'!$A:$A,0)),INDEX(Base!$U:$U,MATCH($A19,Base!$A:$A,0)),IF(EV$1=INDEX('Valo FX'!$R:$R,MATCH($A19,'Valo FX'!$A:$A,0)),INDEX(Base!$V:$V,MATCH($A19,Base!$A:$A,0)),0)))</f>
        <v>10.982454000000001</v>
      </c>
      <c r="EW19" s="21">
        <f>IF(EW$1&lt;INDEX('Valo FX'!$Q:$Q,MATCH($A19,'Valo FX'!$A:$A,0)),0,IF(EW$1&lt;INDEX('Valo FX'!$R:$R,MATCH($A19,'Valo FX'!$A:$A,0)),INDEX(Base!$U:$U,MATCH($A19,Base!$A:$A,0)),IF(EW$1=INDEX('Valo FX'!$R:$R,MATCH($A19,'Valo FX'!$A:$A,0)),INDEX(Base!$V:$V,MATCH($A19,Base!$A:$A,0)),0)))</f>
        <v>10.982454000000001</v>
      </c>
      <c r="EX19" s="21">
        <f>IF(EX$1&lt;INDEX('Valo FX'!$Q:$Q,MATCH($A19,'Valo FX'!$A:$A,0)),0,IF(EX$1&lt;INDEX('Valo FX'!$R:$R,MATCH($A19,'Valo FX'!$A:$A,0)),INDEX(Base!$U:$U,MATCH($A19,Base!$A:$A,0)),IF(EX$1=INDEX('Valo FX'!$R:$R,MATCH($A19,'Valo FX'!$A:$A,0)),INDEX(Base!$V:$V,MATCH($A19,Base!$A:$A,0)),0)))</f>
        <v>10.982454000000001</v>
      </c>
      <c r="EY19" s="21">
        <f>IF(EY$1&lt;INDEX('Valo FX'!$Q:$Q,MATCH($A19,'Valo FX'!$A:$A,0)),0,IF(EY$1&lt;INDEX('Valo FX'!$R:$R,MATCH($A19,'Valo FX'!$A:$A,0)),INDEX(Base!$U:$U,MATCH($A19,Base!$A:$A,0)),IF(EY$1=INDEX('Valo FX'!$R:$R,MATCH($A19,'Valo FX'!$A:$A,0)),INDEX(Base!$V:$V,MATCH($A19,Base!$A:$A,0)),0)))</f>
        <v>10.982454000000001</v>
      </c>
      <c r="EZ19" s="21">
        <f>IF(EZ$1&lt;INDEX('Valo FX'!$Q:$Q,MATCH($A19,'Valo FX'!$A:$A,0)),0,IF(EZ$1&lt;INDEX('Valo FX'!$R:$R,MATCH($A19,'Valo FX'!$A:$A,0)),INDEX(Base!$U:$U,MATCH($A19,Base!$A:$A,0)),IF(EZ$1=INDEX('Valo FX'!$R:$R,MATCH($A19,'Valo FX'!$A:$A,0)),INDEX(Base!$V:$V,MATCH($A19,Base!$A:$A,0)),0)))</f>
        <v>10.982454000000001</v>
      </c>
      <c r="FA19" s="21">
        <f>IF(FA$1&lt;INDEX('Valo FX'!$Q:$Q,MATCH($A19,'Valo FX'!$A:$A,0)),0,IF(FA$1&lt;INDEX('Valo FX'!$R:$R,MATCH($A19,'Valo FX'!$A:$A,0)),INDEX(Base!$U:$U,MATCH($A19,Base!$A:$A,0)),IF(FA$1=INDEX('Valo FX'!$R:$R,MATCH($A19,'Valo FX'!$A:$A,0)),INDEX(Base!$V:$V,MATCH($A19,Base!$A:$A,0)),0)))</f>
        <v>10.982454000000001</v>
      </c>
      <c r="FB19" s="21">
        <f>IF(FB$1&lt;INDEX('Valo FX'!$Q:$Q,MATCH($A19,'Valo FX'!$A:$A,0)),0,IF(FB$1&lt;INDEX('Valo FX'!$R:$R,MATCH($A19,'Valo FX'!$A:$A,0)),INDEX(Base!$U:$U,MATCH($A19,Base!$A:$A,0)),IF(FB$1=INDEX('Valo FX'!$R:$R,MATCH($A19,'Valo FX'!$A:$A,0)),INDEX(Base!$V:$V,MATCH($A19,Base!$A:$A,0)),0)))</f>
        <v>10.982454000000001</v>
      </c>
      <c r="FC19" s="21">
        <f>IF(FC$1&lt;INDEX('Valo FX'!$Q:$Q,MATCH($A19,'Valo FX'!$A:$A,0)),0,IF(FC$1&lt;INDEX('Valo FX'!$R:$R,MATCH($A19,'Valo FX'!$A:$A,0)),INDEX(Base!$U:$U,MATCH($A19,Base!$A:$A,0)),IF(FC$1=INDEX('Valo FX'!$R:$R,MATCH($A19,'Valo FX'!$A:$A,0)),INDEX(Base!$V:$V,MATCH($A19,Base!$A:$A,0)),0)))</f>
        <v>10.982454000000001</v>
      </c>
      <c r="FD19" s="21">
        <f>IF(FD$1&lt;INDEX('Valo FX'!$Q:$Q,MATCH($A19,'Valo FX'!$A:$A,0)),0,IF(FD$1&lt;INDEX('Valo FX'!$R:$R,MATCH($A19,'Valo FX'!$A:$A,0)),INDEX(Base!$U:$U,MATCH($A19,Base!$A:$A,0)),IF(FD$1=INDEX('Valo FX'!$R:$R,MATCH($A19,'Valo FX'!$A:$A,0)),INDEX(Base!$V:$V,MATCH($A19,Base!$A:$A,0)),0)))</f>
        <v>10.982454000000001</v>
      </c>
      <c r="FE19" s="21">
        <f>IF(FE$1&lt;INDEX('Valo FX'!$Q:$Q,MATCH($A19,'Valo FX'!$A:$A,0)),0,IF(FE$1&lt;INDEX('Valo FX'!$R:$R,MATCH($A19,'Valo FX'!$A:$A,0)),INDEX(Base!$U:$U,MATCH($A19,Base!$A:$A,0)),IF(FE$1=INDEX('Valo FX'!$R:$R,MATCH($A19,'Valo FX'!$A:$A,0)),INDEX(Base!$V:$V,MATCH($A19,Base!$A:$A,0)),0)))</f>
        <v>10.982454000000001</v>
      </c>
      <c r="FF19" s="21">
        <f>IF(FF$1&lt;INDEX('Valo FX'!$Q:$Q,MATCH($A19,'Valo FX'!$A:$A,0)),0,IF(FF$1&lt;INDEX('Valo FX'!$R:$R,MATCH($A19,'Valo FX'!$A:$A,0)),INDEX(Base!$U:$U,MATCH($A19,Base!$A:$A,0)),IF(FF$1=INDEX('Valo FX'!$R:$R,MATCH($A19,'Valo FX'!$A:$A,0)),INDEX(Base!$V:$V,MATCH($A19,Base!$A:$A,0)),0)))</f>
        <v>10.982454000000001</v>
      </c>
      <c r="FG19" s="21">
        <f>IF(FG$1&lt;INDEX('Valo FX'!$Q:$Q,MATCH($A19,'Valo FX'!$A:$A,0)),0,IF(FG$1&lt;INDEX('Valo FX'!$R:$R,MATCH($A19,'Valo FX'!$A:$A,0)),INDEX(Base!$U:$U,MATCH($A19,Base!$A:$A,0)),IF(FG$1=INDEX('Valo FX'!$R:$R,MATCH($A19,'Valo FX'!$A:$A,0)),INDEX(Base!$V:$V,MATCH($A19,Base!$A:$A,0)),0)))</f>
        <v>10.982454000000001</v>
      </c>
      <c r="FH19" s="21">
        <f>IF(FH$1&lt;INDEX('Valo FX'!$Q:$Q,MATCH($A19,'Valo FX'!$A:$A,0)),0,IF(FH$1&lt;INDEX('Valo FX'!$R:$R,MATCH($A19,'Valo FX'!$A:$A,0)),INDEX(Base!$U:$U,MATCH($A19,Base!$A:$A,0)),IF(FH$1=INDEX('Valo FX'!$R:$R,MATCH($A19,'Valo FX'!$A:$A,0)),INDEX(Base!$V:$V,MATCH($A19,Base!$A:$A,0)),0)))</f>
        <v>10.982454000000001</v>
      </c>
      <c r="FI19" s="21">
        <f>IF(FI$1&lt;INDEX('Valo FX'!$Q:$Q,MATCH($A19,'Valo FX'!$A:$A,0)),0,IF(FI$1&lt;INDEX('Valo FX'!$R:$R,MATCH($A19,'Valo FX'!$A:$A,0)),INDEX(Base!$U:$U,MATCH($A19,Base!$A:$A,0)),IF(FI$1=INDEX('Valo FX'!$R:$R,MATCH($A19,'Valo FX'!$A:$A,0)),INDEX(Base!$V:$V,MATCH($A19,Base!$A:$A,0)),0)))</f>
        <v>10.982454000000001</v>
      </c>
      <c r="FJ19" s="21">
        <f>IF(FJ$1&lt;INDEX('Valo FX'!$Q:$Q,MATCH($A19,'Valo FX'!$A:$A,0)),0,IF(FJ$1&lt;INDEX('Valo FX'!$R:$R,MATCH($A19,'Valo FX'!$A:$A,0)),INDEX(Base!$U:$U,MATCH($A19,Base!$A:$A,0)),IF(FJ$1=INDEX('Valo FX'!$R:$R,MATCH($A19,'Valo FX'!$A:$A,0)),INDEX(Base!$V:$V,MATCH($A19,Base!$A:$A,0)),0)))</f>
        <v>10.982454000000001</v>
      </c>
      <c r="FK19" s="21">
        <f>IF(FK$1&lt;INDEX('Valo FX'!$Q:$Q,MATCH($A19,'Valo FX'!$A:$A,0)),0,IF(FK$1&lt;INDEX('Valo FX'!$R:$R,MATCH($A19,'Valo FX'!$A:$A,0)),INDEX(Base!$U:$U,MATCH($A19,Base!$A:$A,0)),IF(FK$1=INDEX('Valo FX'!$R:$R,MATCH($A19,'Valo FX'!$A:$A,0)),INDEX(Base!$V:$V,MATCH($A19,Base!$A:$A,0)),0)))</f>
        <v>10.982454000000001</v>
      </c>
      <c r="FL19" s="21">
        <f>IF(FL$1&lt;INDEX('Valo FX'!$Q:$Q,MATCH($A19,'Valo FX'!$A:$A,0)),0,IF(FL$1&lt;INDEX('Valo FX'!$R:$R,MATCH($A19,'Valo FX'!$A:$A,0)),INDEX(Base!$U:$U,MATCH($A19,Base!$A:$A,0)),IF(FL$1=INDEX('Valo FX'!$R:$R,MATCH($A19,'Valo FX'!$A:$A,0)),INDEX(Base!$V:$V,MATCH($A19,Base!$A:$A,0)),0)))</f>
        <v>10.982454000000001</v>
      </c>
      <c r="FM19" s="21">
        <f>IF(FM$1&lt;INDEX('Valo FX'!$Q:$Q,MATCH($A19,'Valo FX'!$A:$A,0)),0,IF(FM$1&lt;INDEX('Valo FX'!$R:$R,MATCH($A19,'Valo FX'!$A:$A,0)),INDEX(Base!$U:$U,MATCH($A19,Base!$A:$A,0)),IF(FM$1=INDEX('Valo FX'!$R:$R,MATCH($A19,'Valo FX'!$A:$A,0)),INDEX(Base!$V:$V,MATCH($A19,Base!$A:$A,0)),0)))</f>
        <v>10.982454000000001</v>
      </c>
      <c r="FN19" s="21">
        <f>IF(FN$1&lt;INDEX('Valo FX'!$Q:$Q,MATCH($A19,'Valo FX'!$A:$A,0)),0,IF(FN$1&lt;INDEX('Valo FX'!$R:$R,MATCH($A19,'Valo FX'!$A:$A,0)),INDEX(Base!$U:$U,MATCH($A19,Base!$A:$A,0)),IF(FN$1=INDEX('Valo FX'!$R:$R,MATCH($A19,'Valo FX'!$A:$A,0)),INDEX(Base!$V:$V,MATCH($A19,Base!$A:$A,0)),0)))</f>
        <v>10.982454000000001</v>
      </c>
      <c r="FO19" s="21">
        <f>IF(FO$1&lt;INDEX('Valo FX'!$Q:$Q,MATCH($A19,'Valo FX'!$A:$A,0)),0,IF(FO$1&lt;INDEX('Valo FX'!$R:$R,MATCH($A19,'Valo FX'!$A:$A,0)),INDEX(Base!$U:$U,MATCH($A19,Base!$A:$A,0)),IF(FO$1=INDEX('Valo FX'!$R:$R,MATCH($A19,'Valo FX'!$A:$A,0)),INDEX(Base!$V:$V,MATCH($A19,Base!$A:$A,0)),0)))</f>
        <v>10.982454000000001</v>
      </c>
      <c r="FP19" s="21">
        <f>IF(FP$1&lt;INDEX('Valo FX'!$Q:$Q,MATCH($A19,'Valo FX'!$A:$A,0)),0,IF(FP$1&lt;INDEX('Valo FX'!$R:$R,MATCH($A19,'Valo FX'!$A:$A,0)),INDEX(Base!$U:$U,MATCH($A19,Base!$A:$A,0)),IF(FP$1=INDEX('Valo FX'!$R:$R,MATCH($A19,'Valo FX'!$A:$A,0)),INDEX(Base!$V:$V,MATCH($A19,Base!$A:$A,0)),0)))</f>
        <v>10.982454000000001</v>
      </c>
      <c r="FQ19" s="21">
        <f>IF(FQ$1&lt;INDEX('Valo FX'!$Q:$Q,MATCH($A19,'Valo FX'!$A:$A,0)),0,IF(FQ$1&lt;INDEX('Valo FX'!$R:$R,MATCH($A19,'Valo FX'!$A:$A,0)),INDEX(Base!$U:$U,MATCH($A19,Base!$A:$A,0)),IF(FQ$1=INDEX('Valo FX'!$R:$R,MATCH($A19,'Valo FX'!$A:$A,0)),INDEX(Base!$V:$V,MATCH($A19,Base!$A:$A,0)),0)))</f>
        <v>10.982454000000001</v>
      </c>
      <c r="FR19" s="21">
        <f>IF(FR$1&lt;INDEX('Valo FX'!$Q:$Q,MATCH($A19,'Valo FX'!$A:$A,0)),0,IF(FR$1&lt;INDEX('Valo FX'!$R:$R,MATCH($A19,'Valo FX'!$A:$A,0)),INDEX(Base!$U:$U,MATCH($A19,Base!$A:$A,0)),IF(FR$1=INDEX('Valo FX'!$R:$R,MATCH($A19,'Valo FX'!$A:$A,0)),INDEX(Base!$V:$V,MATCH($A19,Base!$A:$A,0)),0)))</f>
        <v>10.982454000000001</v>
      </c>
      <c r="FS19" s="21">
        <f>IF(FS$1&lt;INDEX('Valo FX'!$Q:$Q,MATCH($A19,'Valo FX'!$A:$A,0)),0,IF(FS$1&lt;INDEX('Valo FX'!$R:$R,MATCH($A19,'Valo FX'!$A:$A,0)),INDEX(Base!$U:$U,MATCH($A19,Base!$A:$A,0)),IF(FS$1=INDEX('Valo FX'!$R:$R,MATCH($A19,'Valo FX'!$A:$A,0)),INDEX(Base!$V:$V,MATCH($A19,Base!$A:$A,0)),0)))</f>
        <v>10.982454000000001</v>
      </c>
      <c r="FT19" s="21">
        <f>IF(FT$1&lt;INDEX('Valo FX'!$Q:$Q,MATCH($A19,'Valo FX'!$A:$A,0)),0,IF(FT$1&lt;INDEX('Valo FX'!$R:$R,MATCH($A19,'Valo FX'!$A:$A,0)),INDEX(Base!$U:$U,MATCH($A19,Base!$A:$A,0)),IF(FT$1=INDEX('Valo FX'!$R:$R,MATCH($A19,'Valo FX'!$A:$A,0)),INDEX(Base!$V:$V,MATCH($A19,Base!$A:$A,0)),0)))</f>
        <v>10.982454000000001</v>
      </c>
      <c r="FU19" s="21">
        <f>IF(FU$1&lt;INDEX('Valo FX'!$Q:$Q,MATCH($A19,'Valo FX'!$A:$A,0)),0,IF(FU$1&lt;INDEX('Valo FX'!$R:$R,MATCH($A19,'Valo FX'!$A:$A,0)),INDEX(Base!$U:$U,MATCH($A19,Base!$A:$A,0)),IF(FU$1=INDEX('Valo FX'!$R:$R,MATCH($A19,'Valo FX'!$A:$A,0)),INDEX(Base!$V:$V,MATCH($A19,Base!$A:$A,0)),0)))</f>
        <v>10.982454000000001</v>
      </c>
      <c r="FV19" s="21">
        <f>IF(FV$1&lt;INDEX('Valo FX'!$Q:$Q,MATCH($A19,'Valo FX'!$A:$A,0)),0,IF(FV$1&lt;INDEX('Valo FX'!$R:$R,MATCH($A19,'Valo FX'!$A:$A,0)),INDEX(Base!$U:$U,MATCH($A19,Base!$A:$A,0)),IF(FV$1=INDEX('Valo FX'!$R:$R,MATCH($A19,'Valo FX'!$A:$A,0)),INDEX(Base!$V:$V,MATCH($A19,Base!$A:$A,0)),0)))</f>
        <v>10.982454000000001</v>
      </c>
      <c r="FW19" s="21">
        <f>IF(FW$1&lt;INDEX('Valo FX'!$Q:$Q,MATCH($A19,'Valo FX'!$A:$A,0)),0,IF(FW$1&lt;INDEX('Valo FX'!$R:$R,MATCH($A19,'Valo FX'!$A:$A,0)),INDEX(Base!$U:$U,MATCH($A19,Base!$A:$A,0)),IF(FW$1=INDEX('Valo FX'!$R:$R,MATCH($A19,'Valo FX'!$A:$A,0)),INDEX(Base!$V:$V,MATCH($A19,Base!$A:$A,0)),0)))</f>
        <v>10.982454000000001</v>
      </c>
      <c r="FX19" s="21">
        <f>IF(FX$1&lt;INDEX('Valo FX'!$Q:$Q,MATCH($A19,'Valo FX'!$A:$A,0)),0,IF(FX$1&lt;INDEX('Valo FX'!$R:$R,MATCH($A19,'Valo FX'!$A:$A,0)),INDEX(Base!$U:$U,MATCH($A19,Base!$A:$A,0)),IF(FX$1=INDEX('Valo FX'!$R:$R,MATCH($A19,'Valo FX'!$A:$A,0)),INDEX(Base!$V:$V,MATCH($A19,Base!$A:$A,0)),0)))</f>
        <v>10.982454000000001</v>
      </c>
      <c r="FY19" s="21">
        <f>IF(FY$1&lt;INDEX('Valo FX'!$Q:$Q,MATCH($A19,'Valo FX'!$A:$A,0)),0,IF(FY$1&lt;INDEX('Valo FX'!$R:$R,MATCH($A19,'Valo FX'!$A:$A,0)),INDEX(Base!$U:$U,MATCH($A19,Base!$A:$A,0)),IF(FY$1=INDEX('Valo FX'!$R:$R,MATCH($A19,'Valo FX'!$A:$A,0)),INDEX(Base!$V:$V,MATCH($A19,Base!$A:$A,0)),0)))</f>
        <v>10.982454000000001</v>
      </c>
      <c r="FZ19" s="21">
        <f>IF(FZ$1&lt;INDEX('Valo FX'!$Q:$Q,MATCH($A19,'Valo FX'!$A:$A,0)),0,IF(FZ$1&lt;INDEX('Valo FX'!$R:$R,MATCH($A19,'Valo FX'!$A:$A,0)),INDEX(Base!$U:$U,MATCH($A19,Base!$A:$A,0)),IF(FZ$1=INDEX('Valo FX'!$R:$R,MATCH($A19,'Valo FX'!$A:$A,0)),INDEX(Base!$V:$V,MATCH($A19,Base!$A:$A,0)),0)))</f>
        <v>10.982454000000001</v>
      </c>
      <c r="GA19" s="21">
        <f>IF(GA$1&lt;INDEX('Valo FX'!$Q:$Q,MATCH($A19,'Valo FX'!$A:$A,0)),0,IF(GA$1&lt;INDEX('Valo FX'!$R:$R,MATCH($A19,'Valo FX'!$A:$A,0)),INDEX(Base!$U:$U,MATCH($A19,Base!$A:$A,0)),IF(GA$1=INDEX('Valo FX'!$R:$R,MATCH($A19,'Valo FX'!$A:$A,0)),INDEX(Base!$V:$V,MATCH($A19,Base!$A:$A,0)),0)))</f>
        <v>10.982454000000001</v>
      </c>
      <c r="GB19" s="21">
        <f>IF(GB$1&lt;INDEX('Valo FX'!$Q:$Q,MATCH($A19,'Valo FX'!$A:$A,0)),0,IF(GB$1&lt;INDEX('Valo FX'!$R:$R,MATCH($A19,'Valo FX'!$A:$A,0)),INDEX(Base!$U:$U,MATCH($A19,Base!$A:$A,0)),IF(GB$1=INDEX('Valo FX'!$R:$R,MATCH($A19,'Valo FX'!$A:$A,0)),INDEX(Base!$V:$V,MATCH($A19,Base!$A:$A,0)),0)))</f>
        <v>10.982454000000001</v>
      </c>
      <c r="GC19" s="21">
        <f>IF(GC$1&lt;INDEX('Valo FX'!$Q:$Q,MATCH($A19,'Valo FX'!$A:$A,0)),0,IF(GC$1&lt;INDEX('Valo FX'!$R:$R,MATCH($A19,'Valo FX'!$A:$A,0)),INDEX(Base!$U:$U,MATCH($A19,Base!$A:$A,0)),IF(GC$1=INDEX('Valo FX'!$R:$R,MATCH($A19,'Valo FX'!$A:$A,0)),INDEX(Base!$V:$V,MATCH($A19,Base!$A:$A,0)),0)))</f>
        <v>10.982454000000001</v>
      </c>
      <c r="GD19" s="21">
        <f>IF(GD$1&lt;INDEX('Valo FX'!$Q:$Q,MATCH($A19,'Valo FX'!$A:$A,0)),0,IF(GD$1&lt;INDEX('Valo FX'!$R:$R,MATCH($A19,'Valo FX'!$A:$A,0)),INDEX(Base!$U:$U,MATCH($A19,Base!$A:$A,0)),IF(GD$1=INDEX('Valo FX'!$R:$R,MATCH($A19,'Valo FX'!$A:$A,0)),INDEX(Base!$V:$V,MATCH($A19,Base!$A:$A,0)),0)))</f>
        <v>10.982454000000001</v>
      </c>
      <c r="GE19" s="21">
        <f>IF(GE$1&lt;INDEX('Valo FX'!$Q:$Q,MATCH($A19,'Valo FX'!$A:$A,0)),0,IF(GE$1&lt;INDEX('Valo FX'!$R:$R,MATCH($A19,'Valo FX'!$A:$A,0)),INDEX(Base!$U:$U,MATCH($A19,Base!$A:$A,0)),IF(GE$1=INDEX('Valo FX'!$R:$R,MATCH($A19,'Valo FX'!$A:$A,0)),INDEX(Base!$V:$V,MATCH($A19,Base!$A:$A,0)),0)))</f>
        <v>10.982454000000001</v>
      </c>
      <c r="GF19" s="21">
        <f>IF(GF$1&lt;INDEX('Valo FX'!$Q:$Q,MATCH($A19,'Valo FX'!$A:$A,0)),0,IF(GF$1&lt;INDEX('Valo FX'!$R:$R,MATCH($A19,'Valo FX'!$A:$A,0)),INDEX(Base!$U:$U,MATCH($A19,Base!$A:$A,0)),IF(GF$1=INDEX('Valo FX'!$R:$R,MATCH($A19,'Valo FX'!$A:$A,0)),INDEX(Base!$V:$V,MATCH($A19,Base!$A:$A,0)),0)))</f>
        <v>10.982454000000001</v>
      </c>
      <c r="GG19" s="21">
        <f>IF(GG$1&lt;INDEX('Valo FX'!$Q:$Q,MATCH($A19,'Valo FX'!$A:$A,0)),0,IF(GG$1&lt;INDEX('Valo FX'!$R:$R,MATCH($A19,'Valo FX'!$A:$A,0)),INDEX(Base!$U:$U,MATCH($A19,Base!$A:$A,0)),IF(GG$1=INDEX('Valo FX'!$R:$R,MATCH($A19,'Valo FX'!$A:$A,0)),INDEX(Base!$V:$V,MATCH($A19,Base!$A:$A,0)),0)))</f>
        <v>10.982454000000001</v>
      </c>
      <c r="GH19" s="21">
        <f>IF(GH$1&lt;INDEX('Valo FX'!$Q:$Q,MATCH($A19,'Valo FX'!$A:$A,0)),0,IF(GH$1&lt;INDEX('Valo FX'!$R:$R,MATCH($A19,'Valo FX'!$A:$A,0)),INDEX(Base!$U:$U,MATCH($A19,Base!$A:$A,0)),IF(GH$1=INDEX('Valo FX'!$R:$R,MATCH($A19,'Valo FX'!$A:$A,0)),INDEX(Base!$V:$V,MATCH($A19,Base!$A:$A,0)),0)))</f>
        <v>10.982454000000001</v>
      </c>
      <c r="GI19" s="21">
        <f>IF(GI$1&lt;INDEX('Valo FX'!$Q:$Q,MATCH($A19,'Valo FX'!$A:$A,0)),0,IF(GI$1&lt;INDEX('Valo FX'!$R:$R,MATCH($A19,'Valo FX'!$A:$A,0)),INDEX(Base!$U:$U,MATCH($A19,Base!$A:$A,0)),IF(GI$1=INDEX('Valo FX'!$R:$R,MATCH($A19,'Valo FX'!$A:$A,0)),INDEX(Base!$V:$V,MATCH($A19,Base!$A:$A,0)),0)))</f>
        <v>10.982454000000001</v>
      </c>
      <c r="GJ19" s="21">
        <f>IF(GJ$1&lt;INDEX('Valo FX'!$Q:$Q,MATCH($A19,'Valo FX'!$A:$A,0)),0,IF(GJ$1&lt;INDEX('Valo FX'!$R:$R,MATCH($A19,'Valo FX'!$A:$A,0)),INDEX(Base!$U:$U,MATCH($A19,Base!$A:$A,0)),IF(GJ$1=INDEX('Valo FX'!$R:$R,MATCH($A19,'Valo FX'!$A:$A,0)),INDEX(Base!$V:$V,MATCH($A19,Base!$A:$A,0)),0)))</f>
        <v>10.982454000000001</v>
      </c>
      <c r="GK19" s="21">
        <f>IF(GK$1&lt;INDEX('Valo FX'!$Q:$Q,MATCH($A19,'Valo FX'!$A:$A,0)),0,IF(GK$1&lt;INDEX('Valo FX'!$R:$R,MATCH($A19,'Valo FX'!$A:$A,0)),INDEX(Base!$U:$U,MATCH($A19,Base!$A:$A,0)),IF(GK$1=INDEX('Valo FX'!$R:$R,MATCH($A19,'Valo FX'!$A:$A,0)),INDEX(Base!$V:$V,MATCH($A19,Base!$A:$A,0)),0)))</f>
        <v>10.982454000000001</v>
      </c>
      <c r="GL19" s="21">
        <f>IF(GL$1&lt;INDEX('Valo FX'!$Q:$Q,MATCH($A19,'Valo FX'!$A:$A,0)),0,IF(GL$1&lt;INDEX('Valo FX'!$R:$R,MATCH($A19,'Valo FX'!$A:$A,0)),INDEX(Base!$U:$U,MATCH($A19,Base!$A:$A,0)),IF(GL$1=INDEX('Valo FX'!$R:$R,MATCH($A19,'Valo FX'!$A:$A,0)),INDEX(Base!$V:$V,MATCH($A19,Base!$A:$A,0)),0)))</f>
        <v>10.982454000000001</v>
      </c>
      <c r="GM19" s="21">
        <f>IF(GM$1&lt;INDEX('Valo FX'!$Q:$Q,MATCH($A19,'Valo FX'!$A:$A,0)),0,IF(GM$1&lt;INDEX('Valo FX'!$R:$R,MATCH($A19,'Valo FX'!$A:$A,0)),INDEX(Base!$U:$U,MATCH($A19,Base!$A:$A,0)),IF(GM$1=INDEX('Valo FX'!$R:$R,MATCH($A19,'Valo FX'!$A:$A,0)),INDEX(Base!$V:$V,MATCH($A19,Base!$A:$A,0)),0)))</f>
        <v>10.982454000000001</v>
      </c>
      <c r="GN19" s="21">
        <f>IF(GN$1&lt;INDEX('Valo FX'!$Q:$Q,MATCH($A19,'Valo FX'!$A:$A,0)),0,IF(GN$1&lt;INDEX('Valo FX'!$R:$R,MATCH($A19,'Valo FX'!$A:$A,0)),INDEX(Base!$U:$U,MATCH($A19,Base!$A:$A,0)),IF(GN$1=INDEX('Valo FX'!$R:$R,MATCH($A19,'Valo FX'!$A:$A,0)),INDEX(Base!$V:$V,MATCH($A19,Base!$A:$A,0)),0)))</f>
        <v>10.982454000000001</v>
      </c>
      <c r="GO19" s="21">
        <f>IF(GO$1&lt;INDEX('Valo FX'!$Q:$Q,MATCH($A19,'Valo FX'!$A:$A,0)),0,IF(GO$1&lt;INDEX('Valo FX'!$R:$R,MATCH($A19,'Valo FX'!$A:$A,0)),INDEX(Base!$U:$U,MATCH($A19,Base!$A:$A,0)),IF(GO$1=INDEX('Valo FX'!$R:$R,MATCH($A19,'Valo FX'!$A:$A,0)),INDEX(Base!$V:$V,MATCH($A19,Base!$A:$A,0)),0)))</f>
        <v>10.982454000000001</v>
      </c>
      <c r="GP19" s="21">
        <f>IF(GP$1&lt;INDEX('Valo FX'!$Q:$Q,MATCH($A19,'Valo FX'!$A:$A,0)),0,IF(GP$1&lt;INDEX('Valo FX'!$R:$R,MATCH($A19,'Valo FX'!$A:$A,0)),INDEX(Base!$U:$U,MATCH($A19,Base!$A:$A,0)),IF(GP$1=INDEX('Valo FX'!$R:$R,MATCH($A19,'Valo FX'!$A:$A,0)),INDEX(Base!$V:$V,MATCH($A19,Base!$A:$A,0)),0)))</f>
        <v>10.982454000000001</v>
      </c>
      <c r="GQ19" s="21">
        <f>IF(GQ$1&lt;INDEX('Valo FX'!$Q:$Q,MATCH($A19,'Valo FX'!$A:$A,0)),0,IF(GQ$1&lt;INDEX('Valo FX'!$R:$R,MATCH($A19,'Valo FX'!$A:$A,0)),INDEX(Base!$U:$U,MATCH($A19,Base!$A:$A,0)),IF(GQ$1=INDEX('Valo FX'!$R:$R,MATCH($A19,'Valo FX'!$A:$A,0)),INDEX(Base!$V:$V,MATCH($A19,Base!$A:$A,0)),0)))</f>
        <v>10.982454000000001</v>
      </c>
      <c r="GR19" s="21">
        <f>IF(GR$1&lt;INDEX('Valo FX'!$Q:$Q,MATCH($A19,'Valo FX'!$A:$A,0)),0,IF(GR$1&lt;INDEX('Valo FX'!$R:$R,MATCH($A19,'Valo FX'!$A:$A,0)),INDEX(Base!$U:$U,MATCH($A19,Base!$A:$A,0)),IF(GR$1=INDEX('Valo FX'!$R:$R,MATCH($A19,'Valo FX'!$A:$A,0)),INDEX(Base!$V:$V,MATCH($A19,Base!$A:$A,0)),0)))</f>
        <v>10.982454000000001</v>
      </c>
      <c r="GS19" s="21">
        <f>IF(GS$1&lt;INDEX('Valo FX'!$Q:$Q,MATCH($A19,'Valo FX'!$A:$A,0)),0,IF(GS$1&lt;INDEX('Valo FX'!$R:$R,MATCH($A19,'Valo FX'!$A:$A,0)),INDEX(Base!$U:$U,MATCH($A19,Base!$A:$A,0)),IF(GS$1=INDEX('Valo FX'!$R:$R,MATCH($A19,'Valo FX'!$A:$A,0)),INDEX(Base!$V:$V,MATCH($A19,Base!$A:$A,0)),0)))</f>
        <v>10.982454000000001</v>
      </c>
      <c r="GT19" s="21">
        <f>IF(GT$1&lt;INDEX('Valo FX'!$Q:$Q,MATCH($A19,'Valo FX'!$A:$A,0)),0,IF(GT$1&lt;INDEX('Valo FX'!$R:$R,MATCH($A19,'Valo FX'!$A:$A,0)),INDEX(Base!$U:$U,MATCH($A19,Base!$A:$A,0)),IF(GT$1=INDEX('Valo FX'!$R:$R,MATCH($A19,'Valo FX'!$A:$A,0)),INDEX(Base!$V:$V,MATCH($A19,Base!$A:$A,0)),0)))</f>
        <v>10.982454000000001</v>
      </c>
      <c r="GU19" s="21">
        <f>IF(GU$1&lt;INDEX('Valo FX'!$Q:$Q,MATCH($A19,'Valo FX'!$A:$A,0)),0,IF(GU$1&lt;INDEX('Valo FX'!$R:$R,MATCH($A19,'Valo FX'!$A:$A,0)),INDEX(Base!$U:$U,MATCH($A19,Base!$A:$A,0)),IF(GU$1=INDEX('Valo FX'!$R:$R,MATCH($A19,'Valo FX'!$A:$A,0)),INDEX(Base!$V:$V,MATCH($A19,Base!$A:$A,0)),0)))</f>
        <v>10.982454000000001</v>
      </c>
      <c r="GV19" s="21">
        <f>IF(GV$1&lt;INDEX('Valo FX'!$Q:$Q,MATCH($A19,'Valo FX'!$A:$A,0)),0,IF(GV$1&lt;INDEX('Valo FX'!$R:$R,MATCH($A19,'Valo FX'!$A:$A,0)),INDEX(Base!$U:$U,MATCH($A19,Base!$A:$A,0)),IF(GV$1=INDEX('Valo FX'!$R:$R,MATCH($A19,'Valo FX'!$A:$A,0)),INDEX(Base!$V:$V,MATCH($A19,Base!$A:$A,0)),0)))</f>
        <v>10.982454000000001</v>
      </c>
      <c r="GW19" s="21">
        <f>IF(GW$1&lt;INDEX('Valo FX'!$Q:$Q,MATCH($A19,'Valo FX'!$A:$A,0)),0,IF(GW$1&lt;INDEX('Valo FX'!$R:$R,MATCH($A19,'Valo FX'!$A:$A,0)),INDEX(Base!$U:$U,MATCH($A19,Base!$A:$A,0)),IF(GW$1=INDEX('Valo FX'!$R:$R,MATCH($A19,'Valo FX'!$A:$A,0)),INDEX(Base!$V:$V,MATCH($A19,Base!$A:$A,0)),0)))</f>
        <v>10.982454000000001</v>
      </c>
      <c r="GX19" s="21">
        <f>IF(GX$1&lt;INDEX('Valo FX'!$Q:$Q,MATCH($A19,'Valo FX'!$A:$A,0)),0,IF(GX$1&lt;INDEX('Valo FX'!$R:$R,MATCH($A19,'Valo FX'!$A:$A,0)),INDEX(Base!$U:$U,MATCH($A19,Base!$A:$A,0)),IF(GX$1=INDEX('Valo FX'!$R:$R,MATCH($A19,'Valo FX'!$A:$A,0)),INDEX(Base!$V:$V,MATCH($A19,Base!$A:$A,0)),0)))</f>
        <v>10.982454000000001</v>
      </c>
      <c r="GY19" s="21">
        <f>IF(GY$1&lt;INDEX('Valo FX'!$Q:$Q,MATCH($A19,'Valo FX'!$A:$A,0)),0,IF(GY$1&lt;INDEX('Valo FX'!$R:$R,MATCH($A19,'Valo FX'!$A:$A,0)),INDEX(Base!$U:$U,MATCH($A19,Base!$A:$A,0)),IF(GY$1=INDEX('Valo FX'!$R:$R,MATCH($A19,'Valo FX'!$A:$A,0)),INDEX(Base!$V:$V,MATCH($A19,Base!$A:$A,0)),0)))</f>
        <v>10.982454000000001</v>
      </c>
      <c r="GZ19" s="21">
        <f>IF(GZ$1&lt;INDEX('Valo FX'!$Q:$Q,MATCH($A19,'Valo FX'!$A:$A,0)),0,IF(GZ$1&lt;INDEX('Valo FX'!$R:$R,MATCH($A19,'Valo FX'!$A:$A,0)),INDEX(Base!$U:$U,MATCH($A19,Base!$A:$A,0)),IF(GZ$1=INDEX('Valo FX'!$R:$R,MATCH($A19,'Valo FX'!$A:$A,0)),INDEX(Base!$V:$V,MATCH($A19,Base!$A:$A,0)),0)))</f>
        <v>10.982454000000001</v>
      </c>
      <c r="HA19" s="21">
        <f>IF(HA$1&lt;INDEX('Valo FX'!$Q:$Q,MATCH($A19,'Valo FX'!$A:$A,0)),0,IF(HA$1&lt;INDEX('Valo FX'!$R:$R,MATCH($A19,'Valo FX'!$A:$A,0)),INDEX(Base!$U:$U,MATCH($A19,Base!$A:$A,0)),IF(HA$1=INDEX('Valo FX'!$R:$R,MATCH($A19,'Valo FX'!$A:$A,0)),INDEX(Base!$V:$V,MATCH($A19,Base!$A:$A,0)),0)))</f>
        <v>10.982454000000001</v>
      </c>
      <c r="HB19" s="21">
        <f>IF(HB$1&lt;INDEX('Valo FX'!$Q:$Q,MATCH($A19,'Valo FX'!$A:$A,0)),0,IF(HB$1&lt;INDEX('Valo FX'!$R:$R,MATCH($A19,'Valo FX'!$A:$A,0)),INDEX(Base!$U:$U,MATCH($A19,Base!$A:$A,0)),IF(HB$1=INDEX('Valo FX'!$R:$R,MATCH($A19,'Valo FX'!$A:$A,0)),INDEX(Base!$V:$V,MATCH($A19,Base!$A:$A,0)),0)))</f>
        <v>10.982454000000001</v>
      </c>
      <c r="HC19" s="21">
        <f>IF(HC$1&lt;INDEX('Valo FX'!$Q:$Q,MATCH($A19,'Valo FX'!$A:$A,0)),0,IF(HC$1&lt;INDEX('Valo FX'!$R:$R,MATCH($A19,'Valo FX'!$A:$A,0)),INDEX(Base!$U:$U,MATCH($A19,Base!$A:$A,0)),IF(HC$1=INDEX('Valo FX'!$R:$R,MATCH($A19,'Valo FX'!$A:$A,0)),INDEX(Base!$V:$V,MATCH($A19,Base!$A:$A,0)),0)))</f>
        <v>10.982454000000001</v>
      </c>
      <c r="HD19" s="21">
        <f>IF(HD$1&lt;INDEX('Valo FX'!$Q:$Q,MATCH($A19,'Valo FX'!$A:$A,0)),0,IF(HD$1&lt;INDEX('Valo FX'!$R:$R,MATCH($A19,'Valo FX'!$A:$A,0)),INDEX(Base!$U:$U,MATCH($A19,Base!$A:$A,0)),IF(HD$1=INDEX('Valo FX'!$R:$R,MATCH($A19,'Valo FX'!$A:$A,0)),INDEX(Base!$V:$V,MATCH($A19,Base!$A:$A,0)),0)))</f>
        <v>10.982454000000001</v>
      </c>
      <c r="HE19" s="21">
        <f>IF(HE$1&lt;INDEX('Valo FX'!$Q:$Q,MATCH($A19,'Valo FX'!$A:$A,0)),0,IF(HE$1&lt;INDEX('Valo FX'!$R:$R,MATCH($A19,'Valo FX'!$A:$A,0)),INDEX(Base!$U:$U,MATCH($A19,Base!$A:$A,0)),IF(HE$1=INDEX('Valo FX'!$R:$R,MATCH($A19,'Valo FX'!$A:$A,0)),INDEX(Base!$V:$V,MATCH($A19,Base!$A:$A,0)),0)))</f>
        <v>10.982454000000001</v>
      </c>
      <c r="HF19" s="21">
        <f>IF(HF$1&lt;INDEX('Valo FX'!$Q:$Q,MATCH($A19,'Valo FX'!$A:$A,0)),0,IF(HF$1&lt;INDEX('Valo FX'!$R:$R,MATCH($A19,'Valo FX'!$A:$A,0)),INDEX(Base!$U:$U,MATCH($A19,Base!$A:$A,0)),IF(HF$1=INDEX('Valo FX'!$R:$R,MATCH($A19,'Valo FX'!$A:$A,0)),INDEX(Base!$V:$V,MATCH($A19,Base!$A:$A,0)),0)))</f>
        <v>10.982454000000001</v>
      </c>
      <c r="HG19" s="21">
        <f>IF(HG$1&lt;INDEX('Valo FX'!$Q:$Q,MATCH($A19,'Valo FX'!$A:$A,0)),0,IF(HG$1&lt;INDEX('Valo FX'!$R:$R,MATCH($A19,'Valo FX'!$A:$A,0)),INDEX(Base!$U:$U,MATCH($A19,Base!$A:$A,0)),IF(HG$1=INDEX('Valo FX'!$R:$R,MATCH($A19,'Valo FX'!$A:$A,0)),INDEX(Base!$V:$V,MATCH($A19,Base!$A:$A,0)),0)))</f>
        <v>10.982454000000001</v>
      </c>
      <c r="HH19" s="21">
        <f>IF(HH$1&lt;INDEX('Valo FX'!$Q:$Q,MATCH($A19,'Valo FX'!$A:$A,0)),0,IF(HH$1&lt;INDEX('Valo FX'!$R:$R,MATCH($A19,'Valo FX'!$A:$A,0)),INDEX(Base!$U:$U,MATCH($A19,Base!$A:$A,0)),IF(HH$1=INDEX('Valo FX'!$R:$R,MATCH($A19,'Valo FX'!$A:$A,0)),INDEX(Base!$V:$V,MATCH($A19,Base!$A:$A,0)),0)))</f>
        <v>10.982454000000001</v>
      </c>
      <c r="HI19" s="21">
        <f>IF(HI$1&lt;INDEX('Valo FX'!$Q:$Q,MATCH($A19,'Valo FX'!$A:$A,0)),0,IF(HI$1&lt;INDEX('Valo FX'!$R:$R,MATCH($A19,'Valo FX'!$A:$A,0)),INDEX(Base!$U:$U,MATCH($A19,Base!$A:$A,0)),IF(HI$1=INDEX('Valo FX'!$R:$R,MATCH($A19,'Valo FX'!$A:$A,0)),INDEX(Base!$V:$V,MATCH($A19,Base!$A:$A,0)),0)))</f>
        <v>10.982454000000001</v>
      </c>
      <c r="HJ19" s="21">
        <f>IF(HJ$1&lt;INDEX('Valo FX'!$Q:$Q,MATCH($A19,'Valo FX'!$A:$A,0)),0,IF(HJ$1&lt;INDEX('Valo FX'!$R:$R,MATCH($A19,'Valo FX'!$A:$A,0)),INDEX(Base!$U:$U,MATCH($A19,Base!$A:$A,0)),IF(HJ$1=INDEX('Valo FX'!$R:$R,MATCH($A19,'Valo FX'!$A:$A,0)),INDEX(Base!$V:$V,MATCH($A19,Base!$A:$A,0)),0)))</f>
        <v>10.982454000000001</v>
      </c>
      <c r="HK19" s="21">
        <f>IF(HK$1&lt;INDEX('Valo FX'!$Q:$Q,MATCH($A19,'Valo FX'!$A:$A,0)),0,IF(HK$1&lt;INDEX('Valo FX'!$R:$R,MATCH($A19,'Valo FX'!$A:$A,0)),INDEX(Base!$U:$U,MATCH($A19,Base!$A:$A,0)),IF(HK$1=INDEX('Valo FX'!$R:$R,MATCH($A19,'Valo FX'!$A:$A,0)),INDEX(Base!$V:$V,MATCH($A19,Base!$A:$A,0)),0)))</f>
        <v>10.982454000000001</v>
      </c>
      <c r="HL19" s="21">
        <f>IF(HL$1&lt;INDEX('Valo FX'!$Q:$Q,MATCH($A19,'Valo FX'!$A:$A,0)),0,IF(HL$1&lt;INDEX('Valo FX'!$R:$R,MATCH($A19,'Valo FX'!$A:$A,0)),INDEX(Base!$U:$U,MATCH($A19,Base!$A:$A,0)),IF(HL$1=INDEX('Valo FX'!$R:$R,MATCH($A19,'Valo FX'!$A:$A,0)),INDEX(Base!$V:$V,MATCH($A19,Base!$A:$A,0)),0)))</f>
        <v>10.982454000000001</v>
      </c>
      <c r="HM19" s="21">
        <f>IF(HM$1&lt;INDEX('Valo FX'!$Q:$Q,MATCH($A19,'Valo FX'!$A:$A,0)),0,IF(HM$1&lt;INDEX('Valo FX'!$R:$R,MATCH($A19,'Valo FX'!$A:$A,0)),INDEX(Base!$U:$U,MATCH($A19,Base!$A:$A,0)),IF(HM$1=INDEX('Valo FX'!$R:$R,MATCH($A19,'Valo FX'!$A:$A,0)),INDEX(Base!$V:$V,MATCH($A19,Base!$A:$A,0)),0)))</f>
        <v>10.982454000000001</v>
      </c>
      <c r="HN19" s="21">
        <f>IF(HN$1&lt;INDEX('Valo FX'!$Q:$Q,MATCH($A19,'Valo FX'!$A:$A,0)),0,IF(HN$1&lt;INDEX('Valo FX'!$R:$R,MATCH($A19,'Valo FX'!$A:$A,0)),INDEX(Base!$U:$U,MATCH($A19,Base!$A:$A,0)),IF(HN$1=INDEX('Valo FX'!$R:$R,MATCH($A19,'Valo FX'!$A:$A,0)),INDEX(Base!$V:$V,MATCH($A19,Base!$A:$A,0)),0)))</f>
        <v>10.982454000000001</v>
      </c>
      <c r="HO19" s="21">
        <f>IF(HO$1&lt;INDEX('Valo FX'!$Q:$Q,MATCH($A19,'Valo FX'!$A:$A,0)),0,IF(HO$1&lt;INDEX('Valo FX'!$R:$R,MATCH($A19,'Valo FX'!$A:$A,0)),INDEX(Base!$U:$U,MATCH($A19,Base!$A:$A,0)),IF(HO$1=INDEX('Valo FX'!$R:$R,MATCH($A19,'Valo FX'!$A:$A,0)),INDEX(Base!$V:$V,MATCH($A19,Base!$A:$A,0)),0)))</f>
        <v>10.982454000000001</v>
      </c>
      <c r="HP19" s="21">
        <f>IF(HP$1&lt;INDEX('Valo FX'!$Q:$Q,MATCH($A19,'Valo FX'!$A:$A,0)),0,IF(HP$1&lt;INDEX('Valo FX'!$R:$R,MATCH($A19,'Valo FX'!$A:$A,0)),INDEX(Base!$U:$U,MATCH($A19,Base!$A:$A,0)),IF(HP$1=INDEX('Valo FX'!$R:$R,MATCH($A19,'Valo FX'!$A:$A,0)),INDEX(Base!$V:$V,MATCH($A19,Base!$A:$A,0)),0)))</f>
        <v>10.982454000000001</v>
      </c>
      <c r="HQ19" s="21">
        <f>IF(HQ$1&lt;INDEX('Valo FX'!$Q:$Q,MATCH($A19,'Valo FX'!$A:$A,0)),0,IF(HQ$1&lt;INDEX('Valo FX'!$R:$R,MATCH($A19,'Valo FX'!$A:$A,0)),INDEX(Base!$U:$U,MATCH($A19,Base!$A:$A,0)),IF(HQ$1=INDEX('Valo FX'!$R:$R,MATCH($A19,'Valo FX'!$A:$A,0)),INDEX(Base!$V:$V,MATCH($A19,Base!$A:$A,0)),0)))</f>
        <v>10.982454000000001</v>
      </c>
      <c r="HR19" s="21">
        <f>IF(HR$1&lt;INDEX('Valo FX'!$Q:$Q,MATCH($A19,'Valo FX'!$A:$A,0)),0,IF(HR$1&lt;INDEX('Valo FX'!$R:$R,MATCH($A19,'Valo FX'!$A:$A,0)),INDEX(Base!$U:$U,MATCH($A19,Base!$A:$A,0)),IF(HR$1=INDEX('Valo FX'!$R:$R,MATCH($A19,'Valo FX'!$A:$A,0)),INDEX(Base!$V:$V,MATCH($A19,Base!$A:$A,0)),0)))</f>
        <v>10.982454000000001</v>
      </c>
      <c r="HS19" s="21">
        <f>IF(HS$1&lt;INDEX('Valo FX'!$Q:$Q,MATCH($A19,'Valo FX'!$A:$A,0)),0,IF(HS$1&lt;INDEX('Valo FX'!$R:$R,MATCH($A19,'Valo FX'!$A:$A,0)),INDEX(Base!$U:$U,MATCH($A19,Base!$A:$A,0)),IF(HS$1=INDEX('Valo FX'!$R:$R,MATCH($A19,'Valo FX'!$A:$A,0)),INDEX(Base!$V:$V,MATCH($A19,Base!$A:$A,0)),0)))</f>
        <v>10.982454000000001</v>
      </c>
      <c r="HT19" s="21">
        <f>IF(HT$1&lt;INDEX('Valo FX'!$Q:$Q,MATCH($A19,'Valo FX'!$A:$A,0)),0,IF(HT$1&lt;INDEX('Valo FX'!$R:$R,MATCH($A19,'Valo FX'!$A:$A,0)),INDEX(Base!$U:$U,MATCH($A19,Base!$A:$A,0)),IF(HT$1=INDEX('Valo FX'!$R:$R,MATCH($A19,'Valo FX'!$A:$A,0)),INDEX(Base!$V:$V,MATCH($A19,Base!$A:$A,0)),0)))</f>
        <v>10.982454000000001</v>
      </c>
      <c r="HU19" s="21">
        <f>IF(HU$1&lt;INDEX('Valo FX'!$Q:$Q,MATCH($A19,'Valo FX'!$A:$A,0)),0,IF(HU$1&lt;INDEX('Valo FX'!$R:$R,MATCH($A19,'Valo FX'!$A:$A,0)),INDEX(Base!$U:$U,MATCH($A19,Base!$A:$A,0)),IF(HU$1=INDEX('Valo FX'!$R:$R,MATCH($A19,'Valo FX'!$A:$A,0)),INDEX(Base!$V:$V,MATCH($A19,Base!$A:$A,0)),0)))</f>
        <v>10.982454000000001</v>
      </c>
      <c r="HV19" s="21">
        <f>IF(HV$1&lt;INDEX('Valo FX'!$Q:$Q,MATCH($A19,'Valo FX'!$A:$A,0)),0,IF(HV$1&lt;INDEX('Valo FX'!$R:$R,MATCH($A19,'Valo FX'!$A:$A,0)),INDEX(Base!$U:$U,MATCH($A19,Base!$A:$A,0)),IF(HV$1=INDEX('Valo FX'!$R:$R,MATCH($A19,'Valo FX'!$A:$A,0)),INDEX(Base!$V:$V,MATCH($A19,Base!$A:$A,0)),0)))</f>
        <v>10.982454000000001</v>
      </c>
      <c r="HW19" s="21">
        <f>IF(HW$1&lt;INDEX('Valo FX'!$Q:$Q,MATCH($A19,'Valo FX'!$A:$A,0)),0,IF(HW$1&lt;INDEX('Valo FX'!$R:$R,MATCH($A19,'Valo FX'!$A:$A,0)),INDEX(Base!$U:$U,MATCH($A19,Base!$A:$A,0)),IF(HW$1=INDEX('Valo FX'!$R:$R,MATCH($A19,'Valo FX'!$A:$A,0)),INDEX(Base!$V:$V,MATCH($A19,Base!$A:$A,0)),0)))</f>
        <v>10.982454000000001</v>
      </c>
      <c r="HX19" s="21">
        <f>IF(HX$1&lt;INDEX('Valo FX'!$Q:$Q,MATCH($A19,'Valo FX'!$A:$A,0)),0,IF(HX$1&lt;INDEX('Valo FX'!$R:$R,MATCH($A19,'Valo FX'!$A:$A,0)),INDEX(Base!$U:$U,MATCH($A19,Base!$A:$A,0)),IF(HX$1=INDEX('Valo FX'!$R:$R,MATCH($A19,'Valo FX'!$A:$A,0)),INDEX(Base!$V:$V,MATCH($A19,Base!$A:$A,0)),0)))</f>
        <v>10.982454000000001</v>
      </c>
      <c r="HY19" s="21">
        <f>IF(HY$1&lt;INDEX('Valo FX'!$Q:$Q,MATCH($A19,'Valo FX'!$A:$A,0)),0,IF(HY$1&lt;INDEX('Valo FX'!$R:$R,MATCH($A19,'Valo FX'!$A:$A,0)),INDEX(Base!$U:$U,MATCH($A19,Base!$A:$A,0)),IF(HY$1=INDEX('Valo FX'!$R:$R,MATCH($A19,'Valo FX'!$A:$A,0)),INDEX(Base!$V:$V,MATCH($A19,Base!$A:$A,0)),0)))</f>
        <v>10.982454000000001</v>
      </c>
      <c r="HZ19" s="21">
        <f>IF(HZ$1&lt;INDEX('Valo FX'!$Q:$Q,MATCH($A19,'Valo FX'!$A:$A,0)),0,IF(HZ$1&lt;INDEX('Valo FX'!$R:$R,MATCH($A19,'Valo FX'!$A:$A,0)),INDEX(Base!$U:$U,MATCH($A19,Base!$A:$A,0)),IF(HZ$1=INDEX('Valo FX'!$R:$R,MATCH($A19,'Valo FX'!$A:$A,0)),INDEX(Base!$V:$V,MATCH($A19,Base!$A:$A,0)),0)))</f>
        <v>10.982454000000001</v>
      </c>
      <c r="IA19" s="21">
        <f>IF(IA$1&lt;INDEX('Valo FX'!$Q:$Q,MATCH($A19,'Valo FX'!$A:$A,0)),0,IF(IA$1&lt;INDEX('Valo FX'!$R:$R,MATCH($A19,'Valo FX'!$A:$A,0)),INDEX(Base!$U:$U,MATCH($A19,Base!$A:$A,0)),IF(IA$1=INDEX('Valo FX'!$R:$R,MATCH($A19,'Valo FX'!$A:$A,0)),INDEX(Base!$V:$V,MATCH($A19,Base!$A:$A,0)),0)))</f>
        <v>10.982454000000001</v>
      </c>
      <c r="IB19" s="21">
        <f>IF(IB$1&lt;INDEX('Valo FX'!$Q:$Q,MATCH($A19,'Valo FX'!$A:$A,0)),0,IF(IB$1&lt;INDEX('Valo FX'!$R:$R,MATCH($A19,'Valo FX'!$A:$A,0)),INDEX(Base!$U:$U,MATCH($A19,Base!$A:$A,0)),IF(IB$1=INDEX('Valo FX'!$R:$R,MATCH($A19,'Valo FX'!$A:$A,0)),INDEX(Base!$V:$V,MATCH($A19,Base!$A:$A,0)),0)))</f>
        <v>10.982454000000001</v>
      </c>
      <c r="IC19" s="21">
        <f>IF(IC$1&lt;INDEX('Valo FX'!$Q:$Q,MATCH($A19,'Valo FX'!$A:$A,0)),0,IF(IC$1&lt;INDEX('Valo FX'!$R:$R,MATCH($A19,'Valo FX'!$A:$A,0)),INDEX(Base!$U:$U,MATCH($A19,Base!$A:$A,0)),IF(IC$1=INDEX('Valo FX'!$R:$R,MATCH($A19,'Valo FX'!$A:$A,0)),INDEX(Base!$V:$V,MATCH($A19,Base!$A:$A,0)),0)))</f>
        <v>10.982454000000001</v>
      </c>
      <c r="ID19" s="21">
        <f>IF(ID$1&lt;INDEX('Valo FX'!$Q:$Q,MATCH($A19,'Valo FX'!$A:$A,0)),0,IF(ID$1&lt;INDEX('Valo FX'!$R:$R,MATCH($A19,'Valo FX'!$A:$A,0)),INDEX(Base!$U:$U,MATCH($A19,Base!$A:$A,0)),IF(ID$1=INDEX('Valo FX'!$R:$R,MATCH($A19,'Valo FX'!$A:$A,0)),INDEX(Base!$V:$V,MATCH($A19,Base!$A:$A,0)),0)))</f>
        <v>10.982454000000001</v>
      </c>
      <c r="IE19" s="21">
        <f>IF(IE$1&lt;INDEX('Valo FX'!$Q:$Q,MATCH($A19,'Valo FX'!$A:$A,0)),0,IF(IE$1&lt;INDEX('Valo FX'!$R:$R,MATCH($A19,'Valo FX'!$A:$A,0)),INDEX(Base!$U:$U,MATCH($A19,Base!$A:$A,0)),IF(IE$1=INDEX('Valo FX'!$R:$R,MATCH($A19,'Valo FX'!$A:$A,0)),INDEX(Base!$V:$V,MATCH($A19,Base!$A:$A,0)),0)))</f>
        <v>10.982454000000001</v>
      </c>
      <c r="IF19" s="21">
        <f>IF(IF$1&lt;INDEX('Valo FX'!$Q:$Q,MATCH($A19,'Valo FX'!$A:$A,0)),0,IF(IF$1&lt;INDEX('Valo FX'!$R:$R,MATCH($A19,'Valo FX'!$A:$A,0)),INDEX(Base!$U:$U,MATCH($A19,Base!$A:$A,0)),IF(IF$1=INDEX('Valo FX'!$R:$R,MATCH($A19,'Valo FX'!$A:$A,0)),INDEX(Base!$V:$V,MATCH($A19,Base!$A:$A,0)),0)))</f>
        <v>10.982454000000001</v>
      </c>
      <c r="IG19" s="21">
        <f>IF(IG$1&lt;INDEX('Valo FX'!$Q:$Q,MATCH($A19,'Valo FX'!$A:$A,0)),0,IF(IG$1&lt;INDEX('Valo FX'!$R:$R,MATCH($A19,'Valo FX'!$A:$A,0)),INDEX(Base!$U:$U,MATCH($A19,Base!$A:$A,0)),IF(IG$1=INDEX('Valo FX'!$R:$R,MATCH($A19,'Valo FX'!$A:$A,0)),INDEX(Base!$V:$V,MATCH($A19,Base!$A:$A,0)),0)))</f>
        <v>10.982454000000001</v>
      </c>
      <c r="IH19" s="21">
        <f>IF(IH$1&lt;INDEX('Valo FX'!$Q:$Q,MATCH($A19,'Valo FX'!$A:$A,0)),0,IF(IH$1&lt;INDEX('Valo FX'!$R:$R,MATCH($A19,'Valo FX'!$A:$A,0)),INDEX(Base!$U:$U,MATCH($A19,Base!$A:$A,0)),IF(IH$1=INDEX('Valo FX'!$R:$R,MATCH($A19,'Valo FX'!$A:$A,0)),INDEX(Base!$V:$V,MATCH($A19,Base!$A:$A,0)),0)))</f>
        <v>10.982454000000001</v>
      </c>
      <c r="II19" s="21">
        <f>IF(II$1&lt;INDEX('Valo FX'!$Q:$Q,MATCH($A19,'Valo FX'!$A:$A,0)),0,IF(II$1&lt;INDEX('Valo FX'!$R:$R,MATCH($A19,'Valo FX'!$A:$A,0)),INDEX(Base!$U:$U,MATCH($A19,Base!$A:$A,0)),IF(II$1=INDEX('Valo FX'!$R:$R,MATCH($A19,'Valo FX'!$A:$A,0)),INDEX(Base!$V:$V,MATCH($A19,Base!$A:$A,0)),0)))</f>
        <v>10.982454000000001</v>
      </c>
      <c r="IJ19" s="21">
        <f>IF(IJ$1&lt;INDEX('Valo FX'!$Q:$Q,MATCH($A19,'Valo FX'!$A:$A,0)),0,IF(IJ$1&lt;INDEX('Valo FX'!$R:$R,MATCH($A19,'Valo FX'!$A:$A,0)),INDEX(Base!$U:$U,MATCH($A19,Base!$A:$A,0)),IF(IJ$1=INDEX('Valo FX'!$R:$R,MATCH($A19,'Valo FX'!$A:$A,0)),INDEX(Base!$V:$V,MATCH($A19,Base!$A:$A,0)),0)))</f>
        <v>10.982454000000001</v>
      </c>
      <c r="IK19" s="21">
        <f>IF(IK$1&lt;INDEX('Valo FX'!$Q:$Q,MATCH($A19,'Valo FX'!$A:$A,0)),0,IF(IK$1&lt;INDEX('Valo FX'!$R:$R,MATCH($A19,'Valo FX'!$A:$A,0)),INDEX(Base!$U:$U,MATCH($A19,Base!$A:$A,0)),IF(IK$1=INDEX('Valo FX'!$R:$R,MATCH($A19,'Valo FX'!$A:$A,0)),INDEX(Base!$V:$V,MATCH($A19,Base!$A:$A,0)),0)))</f>
        <v>10.982454000000001</v>
      </c>
      <c r="IL19" s="21">
        <f>IF(IL$1&lt;INDEX('Valo FX'!$Q:$Q,MATCH($A19,'Valo FX'!$A:$A,0)),0,IF(IL$1&lt;INDEX('Valo FX'!$R:$R,MATCH($A19,'Valo FX'!$A:$A,0)),INDEX(Base!$U:$U,MATCH($A19,Base!$A:$A,0)),IF(IL$1=INDEX('Valo FX'!$R:$R,MATCH($A19,'Valo FX'!$A:$A,0)),INDEX(Base!$V:$V,MATCH($A19,Base!$A:$A,0)),0)))</f>
        <v>10.982454000000001</v>
      </c>
      <c r="IM19" s="21">
        <f>IF(IM$1&lt;INDEX('Valo FX'!$Q:$Q,MATCH($A19,'Valo FX'!$A:$A,0)),0,IF(IM$1&lt;INDEX('Valo FX'!$R:$R,MATCH($A19,'Valo FX'!$A:$A,0)),INDEX(Base!$U:$U,MATCH($A19,Base!$A:$A,0)),IF(IM$1=INDEX('Valo FX'!$R:$R,MATCH($A19,'Valo FX'!$A:$A,0)),INDEX(Base!$V:$V,MATCH($A19,Base!$A:$A,0)),0)))</f>
        <v>10.982454000000001</v>
      </c>
      <c r="IN19" s="21">
        <f>IF(IN$1&lt;INDEX('Valo FX'!$Q:$Q,MATCH($A19,'Valo FX'!$A:$A,0)),0,IF(IN$1&lt;INDEX('Valo FX'!$R:$R,MATCH($A19,'Valo FX'!$A:$A,0)),INDEX(Base!$U:$U,MATCH($A19,Base!$A:$A,0)),IF(IN$1=INDEX('Valo FX'!$R:$R,MATCH($A19,'Valo FX'!$A:$A,0)),INDEX(Base!$V:$V,MATCH($A19,Base!$A:$A,0)),0)))</f>
        <v>10.982454000000001</v>
      </c>
      <c r="IO19" s="21">
        <f>IF(IO$1&lt;INDEX('Valo FX'!$Q:$Q,MATCH($A19,'Valo FX'!$A:$A,0)),0,IF(IO$1&lt;INDEX('Valo FX'!$R:$R,MATCH($A19,'Valo FX'!$A:$A,0)),INDEX(Base!$U:$U,MATCH($A19,Base!$A:$A,0)),IF(IO$1=INDEX('Valo FX'!$R:$R,MATCH($A19,'Valo FX'!$A:$A,0)),INDEX(Base!$V:$V,MATCH($A19,Base!$A:$A,0)),0)))</f>
        <v>10.982454000000001</v>
      </c>
      <c r="IP19" s="21">
        <f>IF(IP$1&lt;INDEX('Valo FX'!$Q:$Q,MATCH($A19,'Valo FX'!$A:$A,0)),0,IF(IP$1&lt;INDEX('Valo FX'!$R:$R,MATCH($A19,'Valo FX'!$A:$A,0)),INDEX(Base!$U:$U,MATCH($A19,Base!$A:$A,0)),IF(IP$1=INDEX('Valo FX'!$R:$R,MATCH($A19,'Valo FX'!$A:$A,0)),INDEX(Base!$V:$V,MATCH($A19,Base!$A:$A,0)),0)))</f>
        <v>10.982454000000001</v>
      </c>
      <c r="IQ19" s="21">
        <f>IF(IQ$1&lt;INDEX('Valo FX'!$Q:$Q,MATCH($A19,'Valo FX'!$A:$A,0)),0,IF(IQ$1&lt;INDEX('Valo FX'!$R:$R,MATCH($A19,'Valo FX'!$A:$A,0)),INDEX(Base!$U:$U,MATCH($A19,Base!$A:$A,0)),IF(IQ$1=INDEX('Valo FX'!$R:$R,MATCH($A19,'Valo FX'!$A:$A,0)),INDEX(Base!$V:$V,MATCH($A19,Base!$A:$A,0)),0)))</f>
        <v>10.982454000000001</v>
      </c>
      <c r="IR19" s="21">
        <f>IF(IR$1&lt;INDEX('Valo FX'!$Q:$Q,MATCH($A19,'Valo FX'!$A:$A,0)),0,IF(IR$1&lt;INDEX('Valo FX'!$R:$R,MATCH($A19,'Valo FX'!$A:$A,0)),INDEX(Base!$U:$U,MATCH($A19,Base!$A:$A,0)),IF(IR$1=INDEX('Valo FX'!$R:$R,MATCH($A19,'Valo FX'!$A:$A,0)),INDEX(Base!$V:$V,MATCH($A19,Base!$A:$A,0)),0)))</f>
        <v>10.982454000000001</v>
      </c>
      <c r="IS19" s="21">
        <f>IF(IS$1&lt;INDEX('Valo FX'!$Q:$Q,MATCH($A19,'Valo FX'!$A:$A,0)),0,IF(IS$1&lt;INDEX('Valo FX'!$R:$R,MATCH($A19,'Valo FX'!$A:$A,0)),INDEX(Base!$U:$U,MATCH($A19,Base!$A:$A,0)),IF(IS$1=INDEX('Valo FX'!$R:$R,MATCH($A19,'Valo FX'!$A:$A,0)),INDEX(Base!$V:$V,MATCH($A19,Base!$A:$A,0)),0)))</f>
        <v>10.982454000000001</v>
      </c>
      <c r="IT19" s="21">
        <f>IF(IT$1&lt;INDEX('Valo FX'!$Q:$Q,MATCH($A19,'Valo FX'!$A:$A,0)),0,IF(IT$1&lt;INDEX('Valo FX'!$R:$R,MATCH($A19,'Valo FX'!$A:$A,0)),INDEX(Base!$U:$U,MATCH($A19,Base!$A:$A,0)),IF(IT$1=INDEX('Valo FX'!$R:$R,MATCH($A19,'Valo FX'!$A:$A,0)),INDEX(Base!$V:$V,MATCH($A19,Base!$A:$A,0)),0)))</f>
        <v>10.982454000000001</v>
      </c>
      <c r="IU19" s="21">
        <f>IF(IU$1&lt;INDEX('Valo FX'!$Q:$Q,MATCH($A19,'Valo FX'!$A:$A,0)),0,IF(IU$1&lt;INDEX('Valo FX'!$R:$R,MATCH($A19,'Valo FX'!$A:$A,0)),INDEX(Base!$U:$U,MATCH($A19,Base!$A:$A,0)),IF(IU$1=INDEX('Valo FX'!$R:$R,MATCH($A19,'Valo FX'!$A:$A,0)),INDEX(Base!$V:$V,MATCH($A19,Base!$A:$A,0)),0)))</f>
        <v>10.982454000000001</v>
      </c>
      <c r="IV19" s="21">
        <f>IF(IV$1&lt;INDEX('Valo FX'!$Q:$Q,MATCH($A19,'Valo FX'!$A:$A,0)),0,IF(IV$1&lt;INDEX('Valo FX'!$R:$R,MATCH($A19,'Valo FX'!$A:$A,0)),INDEX(Base!$U:$U,MATCH($A19,Base!$A:$A,0)),IF(IV$1=INDEX('Valo FX'!$R:$R,MATCH($A19,'Valo FX'!$A:$A,0)),INDEX(Base!$V:$V,MATCH($A19,Base!$A:$A,0)),0)))</f>
        <v>10.982454000000001</v>
      </c>
      <c r="IW19" s="21">
        <f>IF(IW$1&lt;INDEX('Valo FX'!$Q:$Q,MATCH($A19,'Valo FX'!$A:$A,0)),0,IF(IW$1&lt;INDEX('Valo FX'!$R:$R,MATCH($A19,'Valo FX'!$A:$A,0)),INDEX(Base!$U:$U,MATCH($A19,Base!$A:$A,0)),IF(IW$1=INDEX('Valo FX'!$R:$R,MATCH($A19,'Valo FX'!$A:$A,0)),INDEX(Base!$V:$V,MATCH($A19,Base!$A:$A,0)),0)))</f>
        <v>10.982454000000001</v>
      </c>
      <c r="IX19" s="21">
        <f>IF(IX$1&lt;INDEX('Valo FX'!$Q:$Q,MATCH($A19,'Valo FX'!$A:$A,0)),0,IF(IX$1&lt;INDEX('Valo FX'!$R:$R,MATCH($A19,'Valo FX'!$A:$A,0)),INDEX(Base!$U:$U,MATCH($A19,Base!$A:$A,0)),IF(IX$1=INDEX('Valo FX'!$R:$R,MATCH($A19,'Valo FX'!$A:$A,0)),INDEX(Base!$V:$V,MATCH($A19,Base!$A:$A,0)),0)))</f>
        <v>10.982454000000001</v>
      </c>
      <c r="IY19" s="21">
        <f>IF(IY$1&lt;INDEX('Valo FX'!$Q:$Q,MATCH($A19,'Valo FX'!$A:$A,0)),0,IF(IY$1&lt;INDEX('Valo FX'!$R:$R,MATCH($A19,'Valo FX'!$A:$A,0)),INDEX(Base!$U:$U,MATCH($A19,Base!$A:$A,0)),IF(IY$1=INDEX('Valo FX'!$R:$R,MATCH($A19,'Valo FX'!$A:$A,0)),INDEX(Base!$V:$V,MATCH($A19,Base!$A:$A,0)),0)))</f>
        <v>10.982454000000001</v>
      </c>
      <c r="IZ19" s="21">
        <f>IF(IZ$1&lt;INDEX('Valo FX'!$Q:$Q,MATCH($A19,'Valo FX'!$A:$A,0)),0,IF(IZ$1&lt;INDEX('Valo FX'!$R:$R,MATCH($A19,'Valo FX'!$A:$A,0)),INDEX(Base!$U:$U,MATCH($A19,Base!$A:$A,0)),IF(IZ$1=INDEX('Valo FX'!$R:$R,MATCH($A19,'Valo FX'!$A:$A,0)),INDEX(Base!$V:$V,MATCH($A19,Base!$A:$A,0)),0)))</f>
        <v>10.982454000000001</v>
      </c>
      <c r="JA19" s="21">
        <f>IF(JA$1&lt;INDEX('Valo FX'!$Q:$Q,MATCH($A19,'Valo FX'!$A:$A,0)),0,IF(JA$1&lt;INDEX('Valo FX'!$R:$R,MATCH($A19,'Valo FX'!$A:$A,0)),INDEX(Base!$U:$U,MATCH($A19,Base!$A:$A,0)),IF(JA$1=INDEX('Valo FX'!$R:$R,MATCH($A19,'Valo FX'!$A:$A,0)),INDEX(Base!$V:$V,MATCH($A19,Base!$A:$A,0)),0)))</f>
        <v>10.982454000000001</v>
      </c>
      <c r="JB19" s="21">
        <f>IF(JB$1&lt;INDEX('Valo FX'!$Q:$Q,MATCH($A19,'Valo FX'!$A:$A,0)),0,IF(JB$1&lt;INDEX('Valo FX'!$R:$R,MATCH($A19,'Valo FX'!$A:$A,0)),INDEX(Base!$U:$U,MATCH($A19,Base!$A:$A,0)),IF(JB$1=INDEX('Valo FX'!$R:$R,MATCH($A19,'Valo FX'!$A:$A,0)),INDEX(Base!$V:$V,MATCH($A19,Base!$A:$A,0)),0)))</f>
        <v>10.982454000000001</v>
      </c>
      <c r="JC19" s="21">
        <f>IF(JC$1&lt;INDEX('Valo FX'!$Q:$Q,MATCH($A19,'Valo FX'!$A:$A,0)),0,IF(JC$1&lt;INDEX('Valo FX'!$R:$R,MATCH($A19,'Valo FX'!$A:$A,0)),INDEX(Base!$U:$U,MATCH($A19,Base!$A:$A,0)),IF(JC$1=INDEX('Valo FX'!$R:$R,MATCH($A19,'Valo FX'!$A:$A,0)),INDEX(Base!$V:$V,MATCH($A19,Base!$A:$A,0)),0)))</f>
        <v>10.982454000000001</v>
      </c>
      <c r="JD19" s="21">
        <f>IF(JD$1&lt;INDEX('Valo FX'!$Q:$Q,MATCH($A19,'Valo FX'!$A:$A,0)),0,IF(JD$1&lt;INDEX('Valo FX'!$R:$R,MATCH($A19,'Valo FX'!$A:$A,0)),INDEX(Base!$U:$U,MATCH($A19,Base!$A:$A,0)),IF(JD$1=INDEX('Valo FX'!$R:$R,MATCH($A19,'Valo FX'!$A:$A,0)),INDEX(Base!$V:$V,MATCH($A19,Base!$A:$A,0)),0)))</f>
        <v>10.982454000000001</v>
      </c>
      <c r="JE19" s="21">
        <f>IF(JE$1&lt;INDEX('Valo FX'!$Q:$Q,MATCH($A19,'Valo FX'!$A:$A,0)),0,IF(JE$1&lt;INDEX('Valo FX'!$R:$R,MATCH($A19,'Valo FX'!$A:$A,0)),INDEX(Base!$U:$U,MATCH($A19,Base!$A:$A,0)),IF(JE$1=INDEX('Valo FX'!$R:$R,MATCH($A19,'Valo FX'!$A:$A,0)),INDEX(Base!$V:$V,MATCH($A19,Base!$A:$A,0)),0)))</f>
        <v>10.982454000000001</v>
      </c>
      <c r="JF19" s="21">
        <f>IF(JF$1&lt;INDEX('Valo FX'!$Q:$Q,MATCH($A19,'Valo FX'!$A:$A,0)),0,IF(JF$1&lt;INDEX('Valo FX'!$R:$R,MATCH($A19,'Valo FX'!$A:$A,0)),INDEX(Base!$U:$U,MATCH($A19,Base!$A:$A,0)),IF(JF$1=INDEX('Valo FX'!$R:$R,MATCH($A19,'Valo FX'!$A:$A,0)),INDEX(Base!$V:$V,MATCH($A19,Base!$A:$A,0)),0)))</f>
        <v>10.982454000000001</v>
      </c>
      <c r="JG19" s="21">
        <f>IF(JG$1&lt;INDEX('Valo FX'!$Q:$Q,MATCH($A19,'Valo FX'!$A:$A,0)),0,IF(JG$1&lt;INDEX('Valo FX'!$R:$R,MATCH($A19,'Valo FX'!$A:$A,0)),INDEX(Base!$U:$U,MATCH($A19,Base!$A:$A,0)),IF(JG$1=INDEX('Valo FX'!$R:$R,MATCH($A19,'Valo FX'!$A:$A,0)),INDEX(Base!$V:$V,MATCH($A19,Base!$A:$A,0)),0)))</f>
        <v>10.982454000000001</v>
      </c>
      <c r="JH19" s="21">
        <f>IF(JH$1&lt;INDEX('Valo FX'!$Q:$Q,MATCH($A19,'Valo FX'!$A:$A,0)),0,IF(JH$1&lt;INDEX('Valo FX'!$R:$R,MATCH($A19,'Valo FX'!$A:$A,0)),INDEX(Base!$U:$U,MATCH($A19,Base!$A:$A,0)),IF(JH$1=INDEX('Valo FX'!$R:$R,MATCH($A19,'Valo FX'!$A:$A,0)),INDEX(Base!$V:$V,MATCH($A19,Base!$A:$A,0)),0)))</f>
        <v>10.982454000000001</v>
      </c>
      <c r="JI19" s="21">
        <f>IF(JI$1&lt;INDEX('Valo FX'!$Q:$Q,MATCH($A19,'Valo FX'!$A:$A,0)),0,IF(JI$1&lt;INDEX('Valo FX'!$R:$R,MATCH($A19,'Valo FX'!$A:$A,0)),INDEX(Base!$U:$U,MATCH($A19,Base!$A:$A,0)),IF(JI$1=INDEX('Valo FX'!$R:$R,MATCH($A19,'Valo FX'!$A:$A,0)),INDEX(Base!$V:$V,MATCH($A19,Base!$A:$A,0)),0)))</f>
        <v>10.982454000000001</v>
      </c>
      <c r="JJ19" s="21">
        <f>IF(JJ$1&lt;INDEX('Valo FX'!$Q:$Q,MATCH($A19,'Valo FX'!$A:$A,0)),0,IF(JJ$1&lt;INDEX('Valo FX'!$R:$R,MATCH($A19,'Valo FX'!$A:$A,0)),INDEX(Base!$U:$U,MATCH($A19,Base!$A:$A,0)),IF(JJ$1=INDEX('Valo FX'!$R:$R,MATCH($A19,'Valo FX'!$A:$A,0)),INDEX(Base!$V:$V,MATCH($A19,Base!$A:$A,0)),0)))</f>
        <v>10.982454000000001</v>
      </c>
      <c r="JK19" s="21">
        <f>IF(JK$1&lt;INDEX('Valo FX'!$Q:$Q,MATCH($A19,'Valo FX'!$A:$A,0)),0,IF(JK$1&lt;INDEX('Valo FX'!$R:$R,MATCH($A19,'Valo FX'!$A:$A,0)),INDEX(Base!$U:$U,MATCH($A19,Base!$A:$A,0)),IF(JK$1=INDEX('Valo FX'!$R:$R,MATCH($A19,'Valo FX'!$A:$A,0)),INDEX(Base!$V:$V,MATCH($A19,Base!$A:$A,0)),0)))</f>
        <v>10.982454000000001</v>
      </c>
      <c r="JL19" s="21">
        <f>IF(JL$1&lt;INDEX('Valo FX'!$Q:$Q,MATCH($A19,'Valo FX'!$A:$A,0)),0,IF(JL$1&lt;INDEX('Valo FX'!$R:$R,MATCH($A19,'Valo FX'!$A:$A,0)),INDEX(Base!$U:$U,MATCH($A19,Base!$A:$A,0)),IF(JL$1=INDEX('Valo FX'!$R:$R,MATCH($A19,'Valo FX'!$A:$A,0)),INDEX(Base!$V:$V,MATCH($A19,Base!$A:$A,0)),0)))</f>
        <v>10.982454000000001</v>
      </c>
      <c r="JM19" s="21">
        <f>IF(JM$1&lt;INDEX('Valo FX'!$Q:$Q,MATCH($A19,'Valo FX'!$A:$A,0)),0,IF(JM$1&lt;INDEX('Valo FX'!$R:$R,MATCH($A19,'Valo FX'!$A:$A,0)),INDEX(Base!$U:$U,MATCH($A19,Base!$A:$A,0)),IF(JM$1=INDEX('Valo FX'!$R:$R,MATCH($A19,'Valo FX'!$A:$A,0)),INDEX(Base!$V:$V,MATCH($A19,Base!$A:$A,0)),0)))</f>
        <v>10.982454000000001</v>
      </c>
      <c r="JN19" s="21">
        <f>IF(JN$1&lt;INDEX('Valo FX'!$Q:$Q,MATCH($A19,'Valo FX'!$A:$A,0)),0,IF(JN$1&lt;INDEX('Valo FX'!$R:$R,MATCH($A19,'Valo FX'!$A:$A,0)),INDEX(Base!$U:$U,MATCH($A19,Base!$A:$A,0)),IF(JN$1=INDEX('Valo FX'!$R:$R,MATCH($A19,'Valo FX'!$A:$A,0)),INDEX(Base!$V:$V,MATCH($A19,Base!$A:$A,0)),0)))</f>
        <v>10.982454000000001</v>
      </c>
      <c r="JO19" s="21">
        <f>IF(JO$1&lt;INDEX('Valo FX'!$Q:$Q,MATCH($A19,'Valo FX'!$A:$A,0)),0,IF(JO$1&lt;INDEX('Valo FX'!$R:$R,MATCH($A19,'Valo FX'!$A:$A,0)),INDEX(Base!$U:$U,MATCH($A19,Base!$A:$A,0)),IF(JO$1=INDEX('Valo FX'!$R:$R,MATCH($A19,'Valo FX'!$A:$A,0)),INDEX(Base!$V:$V,MATCH($A19,Base!$A:$A,0)),0)))</f>
        <v>10.982454000000001</v>
      </c>
      <c r="JP19" s="21">
        <f>IF(JP$1&lt;INDEX('Valo FX'!$Q:$Q,MATCH($A19,'Valo FX'!$A:$A,0)),0,IF(JP$1&lt;INDEX('Valo FX'!$R:$R,MATCH($A19,'Valo FX'!$A:$A,0)),INDEX(Base!$U:$U,MATCH($A19,Base!$A:$A,0)),IF(JP$1=INDEX('Valo FX'!$R:$R,MATCH($A19,'Valo FX'!$A:$A,0)),INDEX(Base!$V:$V,MATCH($A19,Base!$A:$A,0)),0)))</f>
        <v>10.982454000000001</v>
      </c>
      <c r="JQ19" s="21">
        <f>IF(JQ$1&lt;INDEX('Valo FX'!$Q:$Q,MATCH($A19,'Valo FX'!$A:$A,0)),0,IF(JQ$1&lt;INDEX('Valo FX'!$R:$R,MATCH($A19,'Valo FX'!$A:$A,0)),INDEX(Base!$U:$U,MATCH($A19,Base!$A:$A,0)),IF(JQ$1=INDEX('Valo FX'!$R:$R,MATCH($A19,'Valo FX'!$A:$A,0)),INDEX(Base!$V:$V,MATCH($A19,Base!$A:$A,0)),0)))</f>
        <v>10.982454000000001</v>
      </c>
      <c r="JR19" s="21">
        <f>IF(JR$1&lt;INDEX('Valo FX'!$Q:$Q,MATCH($A19,'Valo FX'!$A:$A,0)),0,IF(JR$1&lt;INDEX('Valo FX'!$R:$R,MATCH($A19,'Valo FX'!$A:$A,0)),INDEX(Base!$U:$U,MATCH($A19,Base!$A:$A,0)),IF(JR$1=INDEX('Valo FX'!$R:$R,MATCH($A19,'Valo FX'!$A:$A,0)),INDEX(Base!$V:$V,MATCH($A19,Base!$A:$A,0)),0)))</f>
        <v>10.982454000000001</v>
      </c>
      <c r="JS19" s="21">
        <f>IF(JS$1&lt;INDEX('Valo FX'!$Q:$Q,MATCH($A19,'Valo FX'!$A:$A,0)),0,IF(JS$1&lt;INDEX('Valo FX'!$R:$R,MATCH($A19,'Valo FX'!$A:$A,0)),INDEX(Base!$U:$U,MATCH($A19,Base!$A:$A,0)),IF(JS$1=INDEX('Valo FX'!$R:$R,MATCH($A19,'Valo FX'!$A:$A,0)),INDEX(Base!$V:$V,MATCH($A19,Base!$A:$A,0)),0)))</f>
        <v>10.982454000000001</v>
      </c>
      <c r="JT19" s="21">
        <f>IF(JT$1&lt;INDEX('Valo FX'!$Q:$Q,MATCH($A19,'Valo FX'!$A:$A,0)),0,IF(JT$1&lt;INDEX('Valo FX'!$R:$R,MATCH($A19,'Valo FX'!$A:$A,0)),INDEX(Base!$U:$U,MATCH($A19,Base!$A:$A,0)),IF(JT$1=INDEX('Valo FX'!$R:$R,MATCH($A19,'Valo FX'!$A:$A,0)),INDEX(Base!$V:$V,MATCH($A19,Base!$A:$A,0)),0)))</f>
        <v>10.982454000000001</v>
      </c>
      <c r="JU19" s="21">
        <f>IF(JU$1&lt;INDEX('Valo FX'!$Q:$Q,MATCH($A19,'Valo FX'!$A:$A,0)),0,IF(JU$1&lt;INDEX('Valo FX'!$R:$R,MATCH($A19,'Valo FX'!$A:$A,0)),INDEX(Base!$U:$U,MATCH($A19,Base!$A:$A,0)),IF(JU$1=INDEX('Valo FX'!$R:$R,MATCH($A19,'Valo FX'!$A:$A,0)),INDEX(Base!$V:$V,MATCH($A19,Base!$A:$A,0)),0)))</f>
        <v>10.982454000000001</v>
      </c>
      <c r="JV19" s="21">
        <f>IF(JV$1&lt;INDEX('Valo FX'!$Q:$Q,MATCH($A19,'Valo FX'!$A:$A,0)),0,IF(JV$1&lt;INDEX('Valo FX'!$R:$R,MATCH($A19,'Valo FX'!$A:$A,0)),INDEX(Base!$U:$U,MATCH($A19,Base!$A:$A,0)),IF(JV$1=INDEX('Valo FX'!$R:$R,MATCH($A19,'Valo FX'!$A:$A,0)),INDEX(Base!$V:$V,MATCH($A19,Base!$A:$A,0)),0)))</f>
        <v>10.982454000000001</v>
      </c>
      <c r="JW19" s="21">
        <f>IF(JW$1&lt;INDEX('Valo FX'!$Q:$Q,MATCH($A19,'Valo FX'!$A:$A,0)),0,IF(JW$1&lt;INDEX('Valo FX'!$R:$R,MATCH($A19,'Valo FX'!$A:$A,0)),INDEX(Base!$U:$U,MATCH($A19,Base!$A:$A,0)),IF(JW$1=INDEX('Valo FX'!$R:$R,MATCH($A19,'Valo FX'!$A:$A,0)),INDEX(Base!$V:$V,MATCH($A19,Base!$A:$A,0)),0)))</f>
        <v>10.982454000000001</v>
      </c>
      <c r="JX19" s="21">
        <f>IF(JX$1&lt;INDEX('Valo FX'!$Q:$Q,MATCH($A19,'Valo FX'!$A:$A,0)),0,IF(JX$1&lt;INDEX('Valo FX'!$R:$R,MATCH($A19,'Valo FX'!$A:$A,0)),INDEX(Base!$U:$U,MATCH($A19,Base!$A:$A,0)),IF(JX$1=INDEX('Valo FX'!$R:$R,MATCH($A19,'Valo FX'!$A:$A,0)),INDEX(Base!$V:$V,MATCH($A19,Base!$A:$A,0)),0)))</f>
        <v>10.982454000000001</v>
      </c>
      <c r="JY19" s="21">
        <f>IF(JY$1&lt;INDEX('Valo FX'!$Q:$Q,MATCH($A19,'Valo FX'!$A:$A,0)),0,IF(JY$1&lt;INDEX('Valo FX'!$R:$R,MATCH($A19,'Valo FX'!$A:$A,0)),INDEX(Base!$U:$U,MATCH($A19,Base!$A:$A,0)),IF(JY$1=INDEX('Valo FX'!$R:$R,MATCH($A19,'Valo FX'!$A:$A,0)),INDEX(Base!$V:$V,MATCH($A19,Base!$A:$A,0)),0)))</f>
        <v>10.982454000000001</v>
      </c>
      <c r="JZ19" s="21">
        <f>IF(JZ$1&lt;INDEX('Valo FX'!$Q:$Q,MATCH($A19,'Valo FX'!$A:$A,0)),0,IF(JZ$1&lt;INDEX('Valo FX'!$R:$R,MATCH($A19,'Valo FX'!$A:$A,0)),INDEX(Base!$U:$U,MATCH($A19,Base!$A:$A,0)),IF(JZ$1=INDEX('Valo FX'!$R:$R,MATCH($A19,'Valo FX'!$A:$A,0)),INDEX(Base!$V:$V,MATCH($A19,Base!$A:$A,0)),0)))</f>
        <v>10.982454000000001</v>
      </c>
      <c r="KA19" s="21">
        <f>IF(KA$1&lt;INDEX('Valo FX'!$Q:$Q,MATCH($A19,'Valo FX'!$A:$A,0)),0,IF(KA$1&lt;INDEX('Valo FX'!$R:$R,MATCH($A19,'Valo FX'!$A:$A,0)),INDEX(Base!$U:$U,MATCH($A19,Base!$A:$A,0)),IF(KA$1=INDEX('Valo FX'!$R:$R,MATCH($A19,'Valo FX'!$A:$A,0)),INDEX(Base!$V:$V,MATCH($A19,Base!$A:$A,0)),0)))</f>
        <v>10.982454000000001</v>
      </c>
      <c r="KB19" s="21">
        <f>IF(KB$1&lt;INDEX('Valo FX'!$Q:$Q,MATCH($A19,'Valo FX'!$A:$A,0)),0,IF(KB$1&lt;INDEX('Valo FX'!$R:$R,MATCH($A19,'Valo FX'!$A:$A,0)),INDEX(Base!$U:$U,MATCH($A19,Base!$A:$A,0)),IF(KB$1=INDEX('Valo FX'!$R:$R,MATCH($A19,'Valo FX'!$A:$A,0)),INDEX(Base!$V:$V,MATCH($A19,Base!$A:$A,0)),0)))</f>
        <v>10.982454000000001</v>
      </c>
      <c r="KC19" s="21">
        <f>IF(KC$1&lt;INDEX('Valo FX'!$Q:$Q,MATCH($A19,'Valo FX'!$A:$A,0)),0,IF(KC$1&lt;INDEX('Valo FX'!$R:$R,MATCH($A19,'Valo FX'!$A:$A,0)),INDEX(Base!$U:$U,MATCH($A19,Base!$A:$A,0)),IF(KC$1=INDEX('Valo FX'!$R:$R,MATCH($A19,'Valo FX'!$A:$A,0)),INDEX(Base!$V:$V,MATCH($A19,Base!$A:$A,0)),0)))</f>
        <v>10.982454000000001</v>
      </c>
      <c r="KD19" s="21">
        <f>IF(KD$1&lt;INDEX('Valo FX'!$Q:$Q,MATCH($A19,'Valo FX'!$A:$A,0)),0,IF(KD$1&lt;INDEX('Valo FX'!$R:$R,MATCH($A19,'Valo FX'!$A:$A,0)),INDEX(Base!$U:$U,MATCH($A19,Base!$A:$A,0)),IF(KD$1=INDEX('Valo FX'!$R:$R,MATCH($A19,'Valo FX'!$A:$A,0)),INDEX(Base!$V:$V,MATCH($A19,Base!$A:$A,0)),0)))</f>
        <v>10.982454000000001</v>
      </c>
      <c r="KE19" s="21">
        <f>IF(KE$1&lt;INDEX('Valo FX'!$Q:$Q,MATCH($A19,'Valo FX'!$A:$A,0)),0,IF(KE$1&lt;INDEX('Valo FX'!$R:$R,MATCH($A19,'Valo FX'!$A:$A,0)),INDEX(Base!$U:$U,MATCH($A19,Base!$A:$A,0)),IF(KE$1=INDEX('Valo FX'!$R:$R,MATCH($A19,'Valo FX'!$A:$A,0)),INDEX(Base!$V:$V,MATCH($A19,Base!$A:$A,0)),0)))</f>
        <v>10.982454000000001</v>
      </c>
      <c r="KF19" s="21">
        <f>IF(KF$1&lt;INDEX('Valo FX'!$Q:$Q,MATCH($A19,'Valo FX'!$A:$A,0)),0,IF(KF$1&lt;INDEX('Valo FX'!$R:$R,MATCH($A19,'Valo FX'!$A:$A,0)),INDEX(Base!$U:$U,MATCH($A19,Base!$A:$A,0)),IF(KF$1=INDEX('Valo FX'!$R:$R,MATCH($A19,'Valo FX'!$A:$A,0)),INDEX(Base!$V:$V,MATCH($A19,Base!$A:$A,0)),0)))</f>
        <v>10.982454000000001</v>
      </c>
      <c r="KG19" s="21">
        <f>IF(KG$1&lt;INDEX('Valo FX'!$Q:$Q,MATCH($A19,'Valo FX'!$A:$A,0)),0,IF(KG$1&lt;INDEX('Valo FX'!$R:$R,MATCH($A19,'Valo FX'!$A:$A,0)),INDEX(Base!$U:$U,MATCH($A19,Base!$A:$A,0)),IF(KG$1=INDEX('Valo FX'!$R:$R,MATCH($A19,'Valo FX'!$A:$A,0)),INDEX(Base!$V:$V,MATCH($A19,Base!$A:$A,0)),0)))</f>
        <v>10.982454000000001</v>
      </c>
      <c r="KH19" s="21">
        <f>IF(KH$1&lt;INDEX('Valo FX'!$Q:$Q,MATCH($A19,'Valo FX'!$A:$A,0)),0,IF(KH$1&lt;INDEX('Valo FX'!$R:$R,MATCH($A19,'Valo FX'!$A:$A,0)),INDEX(Base!$U:$U,MATCH($A19,Base!$A:$A,0)),IF(KH$1=INDEX('Valo FX'!$R:$R,MATCH($A19,'Valo FX'!$A:$A,0)),INDEX(Base!$V:$V,MATCH($A19,Base!$A:$A,0)),0)))</f>
        <v>10.982454000000001</v>
      </c>
      <c r="KI19" s="21">
        <f>IF(KI$1&lt;INDEX('Valo FX'!$Q:$Q,MATCH($A19,'Valo FX'!$A:$A,0)),0,IF(KI$1&lt;INDEX('Valo FX'!$R:$R,MATCH($A19,'Valo FX'!$A:$A,0)),INDEX(Base!$U:$U,MATCH($A19,Base!$A:$A,0)),IF(KI$1=INDEX('Valo FX'!$R:$R,MATCH($A19,'Valo FX'!$A:$A,0)),INDEX(Base!$V:$V,MATCH($A19,Base!$A:$A,0)),0)))</f>
        <v>10.982454000000001</v>
      </c>
      <c r="KJ19" s="21">
        <f>IF(KJ$1&lt;INDEX('Valo FX'!$Q:$Q,MATCH($A19,'Valo FX'!$A:$A,0)),0,IF(KJ$1&lt;INDEX('Valo FX'!$R:$R,MATCH($A19,'Valo FX'!$A:$A,0)),INDEX(Base!$U:$U,MATCH($A19,Base!$A:$A,0)),IF(KJ$1=INDEX('Valo FX'!$R:$R,MATCH($A19,'Valo FX'!$A:$A,0)),INDEX(Base!$V:$V,MATCH($A19,Base!$A:$A,0)),0)))</f>
        <v>10.982454000000001</v>
      </c>
      <c r="KK19" s="21">
        <f>IF(KK$1&lt;INDEX('Valo FX'!$Q:$Q,MATCH($A19,'Valo FX'!$A:$A,0)),0,IF(KK$1&lt;INDEX('Valo FX'!$R:$R,MATCH($A19,'Valo FX'!$A:$A,0)),INDEX(Base!$U:$U,MATCH($A19,Base!$A:$A,0)),IF(KK$1=INDEX('Valo FX'!$R:$R,MATCH($A19,'Valo FX'!$A:$A,0)),INDEX(Base!$V:$V,MATCH($A19,Base!$A:$A,0)),0)))</f>
        <v>10.982454000000001</v>
      </c>
      <c r="KL19" s="21">
        <f>IF(KL$1&lt;INDEX('Valo FX'!$Q:$Q,MATCH($A19,'Valo FX'!$A:$A,0)),0,IF(KL$1&lt;INDEX('Valo FX'!$R:$R,MATCH($A19,'Valo FX'!$A:$A,0)),INDEX(Base!$U:$U,MATCH($A19,Base!$A:$A,0)),IF(KL$1=INDEX('Valo FX'!$R:$R,MATCH($A19,'Valo FX'!$A:$A,0)),INDEX(Base!$V:$V,MATCH($A19,Base!$A:$A,0)),0)))</f>
        <v>10.982454000000001</v>
      </c>
      <c r="KM19" s="21">
        <f>IF(KM$1&lt;INDEX('Valo FX'!$Q:$Q,MATCH($A19,'Valo FX'!$A:$A,0)),0,IF(KM$1&lt;INDEX('Valo FX'!$R:$R,MATCH($A19,'Valo FX'!$A:$A,0)),INDEX(Base!$U:$U,MATCH($A19,Base!$A:$A,0)),IF(KM$1=INDEX('Valo FX'!$R:$R,MATCH($A19,'Valo FX'!$A:$A,0)),INDEX(Base!$V:$V,MATCH($A19,Base!$A:$A,0)),0)))</f>
        <v>10.982454000000001</v>
      </c>
      <c r="KN19" s="21">
        <f>IF(KN$1&lt;INDEX('Valo FX'!$Q:$Q,MATCH($A19,'Valo FX'!$A:$A,0)),0,IF(KN$1&lt;INDEX('Valo FX'!$R:$R,MATCH($A19,'Valo FX'!$A:$A,0)),INDEX(Base!$U:$U,MATCH($A19,Base!$A:$A,0)),IF(KN$1=INDEX('Valo FX'!$R:$R,MATCH($A19,'Valo FX'!$A:$A,0)),INDEX(Base!$V:$V,MATCH($A19,Base!$A:$A,0)),0)))</f>
        <v>10.982454000000001</v>
      </c>
      <c r="KO19" s="21">
        <f>IF(KO$1&lt;INDEX('Valo FX'!$Q:$Q,MATCH($A19,'Valo FX'!$A:$A,0)),0,IF(KO$1&lt;INDEX('Valo FX'!$R:$R,MATCH($A19,'Valo FX'!$A:$A,0)),INDEX(Base!$U:$U,MATCH($A19,Base!$A:$A,0)),IF(KO$1=INDEX('Valo FX'!$R:$R,MATCH($A19,'Valo FX'!$A:$A,0)),INDEX(Base!$V:$V,MATCH($A19,Base!$A:$A,0)),0)))</f>
        <v>10.982454000000001</v>
      </c>
      <c r="KP19" s="21">
        <f>IF(KP$1&lt;INDEX('Valo FX'!$Q:$Q,MATCH($A19,'Valo FX'!$A:$A,0)),0,IF(KP$1&lt;INDEX('Valo FX'!$R:$R,MATCH($A19,'Valo FX'!$A:$A,0)),INDEX(Base!$U:$U,MATCH($A19,Base!$A:$A,0)),IF(KP$1=INDEX('Valo FX'!$R:$R,MATCH($A19,'Valo FX'!$A:$A,0)),INDEX(Base!$V:$V,MATCH($A19,Base!$A:$A,0)),0)))</f>
        <v>10.982454000000001</v>
      </c>
      <c r="KQ19" s="21">
        <f>IF(KQ$1&lt;INDEX('Valo FX'!$Q:$Q,MATCH($A19,'Valo FX'!$A:$A,0)),0,IF(KQ$1&lt;INDEX('Valo FX'!$R:$R,MATCH($A19,'Valo FX'!$A:$A,0)),INDEX(Base!$U:$U,MATCH($A19,Base!$A:$A,0)),IF(KQ$1=INDEX('Valo FX'!$R:$R,MATCH($A19,'Valo FX'!$A:$A,0)),INDEX(Base!$V:$V,MATCH($A19,Base!$A:$A,0)),0)))</f>
        <v>10.982454000000001</v>
      </c>
      <c r="KR19" s="21">
        <f>IF(KR$1&lt;INDEX('Valo FX'!$Q:$Q,MATCH($A19,'Valo FX'!$A:$A,0)),0,IF(KR$1&lt;INDEX('Valo FX'!$R:$R,MATCH($A19,'Valo FX'!$A:$A,0)),INDEX(Base!$U:$U,MATCH($A19,Base!$A:$A,0)),IF(KR$1=INDEX('Valo FX'!$R:$R,MATCH($A19,'Valo FX'!$A:$A,0)),INDEX(Base!$V:$V,MATCH($A19,Base!$A:$A,0)),0)))</f>
        <v>10.982454000000001</v>
      </c>
      <c r="KS19" s="21">
        <f>IF(KS$1&lt;INDEX('Valo FX'!$Q:$Q,MATCH($A19,'Valo FX'!$A:$A,0)),0,IF(KS$1&lt;INDEX('Valo FX'!$R:$R,MATCH($A19,'Valo FX'!$A:$A,0)),INDEX(Base!$U:$U,MATCH($A19,Base!$A:$A,0)),IF(KS$1=INDEX('Valo FX'!$R:$R,MATCH($A19,'Valo FX'!$A:$A,0)),INDEX(Base!$V:$V,MATCH($A19,Base!$A:$A,0)),0)))</f>
        <v>10.982454000000001</v>
      </c>
      <c r="KT19" s="21">
        <f>IF(KT$1&lt;INDEX('Valo FX'!$Q:$Q,MATCH($A19,'Valo FX'!$A:$A,0)),0,IF(KT$1&lt;INDEX('Valo FX'!$R:$R,MATCH($A19,'Valo FX'!$A:$A,0)),INDEX(Base!$U:$U,MATCH($A19,Base!$A:$A,0)),IF(KT$1=INDEX('Valo FX'!$R:$R,MATCH($A19,'Valo FX'!$A:$A,0)),INDEX(Base!$V:$V,MATCH($A19,Base!$A:$A,0)),0)))</f>
        <v>10.982454000000001</v>
      </c>
      <c r="KU19" s="21">
        <f>IF(KU$1&lt;INDEX('Valo FX'!$Q:$Q,MATCH($A19,'Valo FX'!$A:$A,0)),0,IF(KU$1&lt;INDEX('Valo FX'!$R:$R,MATCH($A19,'Valo FX'!$A:$A,0)),INDEX(Base!$U:$U,MATCH($A19,Base!$A:$A,0)),IF(KU$1=INDEX('Valo FX'!$R:$R,MATCH($A19,'Valo FX'!$A:$A,0)),INDEX(Base!$V:$V,MATCH($A19,Base!$A:$A,0)),0)))</f>
        <v>10.982454000000001</v>
      </c>
      <c r="KV19" s="21">
        <f>IF(KV$1&lt;INDEX('Valo FX'!$Q:$Q,MATCH($A19,'Valo FX'!$A:$A,0)),0,IF(KV$1&lt;INDEX('Valo FX'!$R:$R,MATCH($A19,'Valo FX'!$A:$A,0)),INDEX(Base!$U:$U,MATCH($A19,Base!$A:$A,0)),IF(KV$1=INDEX('Valo FX'!$R:$R,MATCH($A19,'Valo FX'!$A:$A,0)),INDEX(Base!$V:$V,MATCH($A19,Base!$A:$A,0)),0)))</f>
        <v>10.982454000000001</v>
      </c>
      <c r="KW19" s="21">
        <f>IF(KW$1&lt;INDEX('Valo FX'!$Q:$Q,MATCH($A19,'Valo FX'!$A:$A,0)),0,IF(KW$1&lt;INDEX('Valo FX'!$R:$R,MATCH($A19,'Valo FX'!$A:$A,0)),INDEX(Base!$U:$U,MATCH($A19,Base!$A:$A,0)),IF(KW$1=INDEX('Valo FX'!$R:$R,MATCH($A19,'Valo FX'!$A:$A,0)),INDEX(Base!$V:$V,MATCH($A19,Base!$A:$A,0)),0)))</f>
        <v>10.982454000000001</v>
      </c>
      <c r="KX19" s="21">
        <f>IF(KX$1&lt;INDEX('Valo FX'!$Q:$Q,MATCH($A19,'Valo FX'!$A:$A,0)),0,IF(KX$1&lt;INDEX('Valo FX'!$R:$R,MATCH($A19,'Valo FX'!$A:$A,0)),INDEX(Base!$U:$U,MATCH($A19,Base!$A:$A,0)),IF(KX$1=INDEX('Valo FX'!$R:$R,MATCH($A19,'Valo FX'!$A:$A,0)),INDEX(Base!$V:$V,MATCH($A19,Base!$A:$A,0)),0)))</f>
        <v>10.982454000000001</v>
      </c>
      <c r="KY19" s="21">
        <f>IF(KY$1&lt;INDEX('Valo FX'!$Q:$Q,MATCH($A19,'Valo FX'!$A:$A,0)),0,IF(KY$1&lt;INDEX('Valo FX'!$R:$R,MATCH($A19,'Valo FX'!$A:$A,0)),INDEX(Base!$U:$U,MATCH($A19,Base!$A:$A,0)),IF(KY$1=INDEX('Valo FX'!$R:$R,MATCH($A19,'Valo FX'!$A:$A,0)),INDEX(Base!$V:$V,MATCH($A19,Base!$A:$A,0)),0)))</f>
        <v>10.982454000000001</v>
      </c>
      <c r="KZ19" s="21">
        <f>IF(KZ$1&lt;INDEX('Valo FX'!$Q:$Q,MATCH($A19,'Valo FX'!$A:$A,0)),0,IF(KZ$1&lt;INDEX('Valo FX'!$R:$R,MATCH($A19,'Valo FX'!$A:$A,0)),INDEX(Base!$U:$U,MATCH($A19,Base!$A:$A,0)),IF(KZ$1=INDEX('Valo FX'!$R:$R,MATCH($A19,'Valo FX'!$A:$A,0)),INDEX(Base!$V:$V,MATCH($A19,Base!$A:$A,0)),0)))</f>
        <v>10.982454000000001</v>
      </c>
      <c r="LA19" s="21">
        <f>IF(LA$1&lt;INDEX('Valo FX'!$Q:$Q,MATCH($A19,'Valo FX'!$A:$A,0)),0,IF(LA$1&lt;INDEX('Valo FX'!$R:$R,MATCH($A19,'Valo FX'!$A:$A,0)),INDEX(Base!$U:$U,MATCH($A19,Base!$A:$A,0)),IF(LA$1=INDEX('Valo FX'!$R:$R,MATCH($A19,'Valo FX'!$A:$A,0)),INDEX(Base!$V:$V,MATCH($A19,Base!$A:$A,0)),0)))</f>
        <v>10.982454000000001</v>
      </c>
      <c r="LB19" s="21">
        <f>IF(LB$1&lt;INDEX('Valo FX'!$Q:$Q,MATCH($A19,'Valo FX'!$A:$A,0)),0,IF(LB$1&lt;INDEX('Valo FX'!$R:$R,MATCH($A19,'Valo FX'!$A:$A,0)),INDEX(Base!$U:$U,MATCH($A19,Base!$A:$A,0)),IF(LB$1=INDEX('Valo FX'!$R:$R,MATCH($A19,'Valo FX'!$A:$A,0)),INDEX(Base!$V:$V,MATCH($A19,Base!$A:$A,0)),0)))</f>
        <v>10.982454000000001</v>
      </c>
      <c r="LC19" s="21">
        <f>IF(LC$1&lt;INDEX('Valo FX'!$Q:$Q,MATCH($A19,'Valo FX'!$A:$A,0)),0,IF(LC$1&lt;INDEX('Valo FX'!$R:$R,MATCH($A19,'Valo FX'!$A:$A,0)),INDEX(Base!$U:$U,MATCH($A19,Base!$A:$A,0)),IF(LC$1=INDEX('Valo FX'!$R:$R,MATCH($A19,'Valo FX'!$A:$A,0)),INDEX(Base!$V:$V,MATCH($A19,Base!$A:$A,0)),0)))</f>
        <v>10.982454000000001</v>
      </c>
      <c r="LD19" s="21">
        <f>IF(LD$1&lt;INDEX('Valo FX'!$Q:$Q,MATCH($A19,'Valo FX'!$A:$A,0)),0,IF(LD$1&lt;INDEX('Valo FX'!$R:$R,MATCH($A19,'Valo FX'!$A:$A,0)),INDEX(Base!$U:$U,MATCH($A19,Base!$A:$A,0)),IF(LD$1=INDEX('Valo FX'!$R:$R,MATCH($A19,'Valo FX'!$A:$A,0)),INDEX(Base!$V:$V,MATCH($A19,Base!$A:$A,0)),0)))</f>
        <v>10.982454000000001</v>
      </c>
      <c r="LE19" s="21">
        <f>IF(LE$1&lt;INDEX('Valo FX'!$Q:$Q,MATCH($A19,'Valo FX'!$A:$A,0)),0,IF(LE$1&lt;INDEX('Valo FX'!$R:$R,MATCH($A19,'Valo FX'!$A:$A,0)),INDEX(Base!$U:$U,MATCH($A19,Base!$A:$A,0)),IF(LE$1=INDEX('Valo FX'!$R:$R,MATCH($A19,'Valo FX'!$A:$A,0)),INDEX(Base!$V:$V,MATCH($A19,Base!$A:$A,0)),0)))</f>
        <v>10.982454000000001</v>
      </c>
      <c r="LF19" s="21">
        <f>IF(LF$1&lt;INDEX('Valo FX'!$Q:$Q,MATCH($A19,'Valo FX'!$A:$A,0)),0,IF(LF$1&lt;INDEX('Valo FX'!$R:$R,MATCH($A19,'Valo FX'!$A:$A,0)),INDEX(Base!$U:$U,MATCH($A19,Base!$A:$A,0)),IF(LF$1=INDEX('Valo FX'!$R:$R,MATCH($A19,'Valo FX'!$A:$A,0)),INDEX(Base!$V:$V,MATCH($A19,Base!$A:$A,0)),0)))</f>
        <v>10.982454000000001</v>
      </c>
      <c r="LG19" s="21">
        <f>IF(LG$1&lt;INDEX('Valo FX'!$Q:$Q,MATCH($A19,'Valo FX'!$A:$A,0)),0,IF(LG$1&lt;INDEX('Valo FX'!$R:$R,MATCH($A19,'Valo FX'!$A:$A,0)),INDEX(Base!$U:$U,MATCH($A19,Base!$A:$A,0)),IF(LG$1=INDEX('Valo FX'!$R:$R,MATCH($A19,'Valo FX'!$A:$A,0)),INDEX(Base!$V:$V,MATCH($A19,Base!$A:$A,0)),0)))</f>
        <v>10.982454000000001</v>
      </c>
      <c r="LH19" s="21">
        <f>IF(LH$1&lt;INDEX('Valo FX'!$Q:$Q,MATCH($A19,'Valo FX'!$A:$A,0)),0,IF(LH$1&lt;INDEX('Valo FX'!$R:$R,MATCH($A19,'Valo FX'!$A:$A,0)),INDEX(Base!$U:$U,MATCH($A19,Base!$A:$A,0)),IF(LH$1=INDEX('Valo FX'!$R:$R,MATCH($A19,'Valo FX'!$A:$A,0)),INDEX(Base!$V:$V,MATCH($A19,Base!$A:$A,0)),0)))</f>
        <v>10.982454000000001</v>
      </c>
      <c r="LI19" s="21">
        <f>IF(LI$1&lt;INDEX('Valo FX'!$Q:$Q,MATCH($A19,'Valo FX'!$A:$A,0)),0,IF(LI$1&lt;INDEX('Valo FX'!$R:$R,MATCH($A19,'Valo FX'!$A:$A,0)),INDEX(Base!$U:$U,MATCH($A19,Base!$A:$A,0)),IF(LI$1=INDEX('Valo FX'!$R:$R,MATCH($A19,'Valo FX'!$A:$A,0)),INDEX(Base!$V:$V,MATCH($A19,Base!$A:$A,0)),0)))</f>
        <v>10.982454000000001</v>
      </c>
      <c r="LJ19" s="21">
        <f>IF(LJ$1&lt;INDEX('Valo FX'!$Q:$Q,MATCH($A19,'Valo FX'!$A:$A,0)),0,IF(LJ$1&lt;INDEX('Valo FX'!$R:$R,MATCH($A19,'Valo FX'!$A:$A,0)),INDEX(Base!$U:$U,MATCH($A19,Base!$A:$A,0)),IF(LJ$1=INDEX('Valo FX'!$R:$R,MATCH($A19,'Valo FX'!$A:$A,0)),INDEX(Base!$V:$V,MATCH($A19,Base!$A:$A,0)),0)))</f>
        <v>10.982454000000001</v>
      </c>
      <c r="LK19" s="21">
        <f>IF(LK$1&lt;INDEX('Valo FX'!$Q:$Q,MATCH($A19,'Valo FX'!$A:$A,0)),0,IF(LK$1&lt;INDEX('Valo FX'!$R:$R,MATCH($A19,'Valo FX'!$A:$A,0)),INDEX(Base!$U:$U,MATCH($A19,Base!$A:$A,0)),IF(LK$1=INDEX('Valo FX'!$R:$R,MATCH($A19,'Valo FX'!$A:$A,0)),INDEX(Base!$V:$V,MATCH($A19,Base!$A:$A,0)),0)))</f>
        <v>10.982454000000001</v>
      </c>
      <c r="LL19" s="21">
        <f>IF(LL$1&lt;INDEX('Valo FX'!$Q:$Q,MATCH($A19,'Valo FX'!$A:$A,0)),0,IF(LL$1&lt;INDEX('Valo FX'!$R:$R,MATCH($A19,'Valo FX'!$A:$A,0)),INDEX(Base!$U:$U,MATCH($A19,Base!$A:$A,0)),IF(LL$1=INDEX('Valo FX'!$R:$R,MATCH($A19,'Valo FX'!$A:$A,0)),INDEX(Base!$V:$V,MATCH($A19,Base!$A:$A,0)),0)))</f>
        <v>10.982454000000001</v>
      </c>
      <c r="LM19" s="21">
        <f>IF(LM$1&lt;INDEX('Valo FX'!$Q:$Q,MATCH($A19,'Valo FX'!$A:$A,0)),0,IF(LM$1&lt;INDEX('Valo FX'!$R:$R,MATCH($A19,'Valo FX'!$A:$A,0)),INDEX(Base!$U:$U,MATCH($A19,Base!$A:$A,0)),IF(LM$1=INDEX('Valo FX'!$R:$R,MATCH($A19,'Valo FX'!$A:$A,0)),INDEX(Base!$V:$V,MATCH($A19,Base!$A:$A,0)),0)))</f>
        <v>10.982454000000001</v>
      </c>
      <c r="LN19" s="21">
        <f>IF(LN$1&lt;INDEX('Valo FX'!$Q:$Q,MATCH($A19,'Valo FX'!$A:$A,0)),0,IF(LN$1&lt;INDEX('Valo FX'!$R:$R,MATCH($A19,'Valo FX'!$A:$A,0)),INDEX(Base!$U:$U,MATCH($A19,Base!$A:$A,0)),IF(LN$1=INDEX('Valo FX'!$R:$R,MATCH($A19,'Valo FX'!$A:$A,0)),INDEX(Base!$V:$V,MATCH($A19,Base!$A:$A,0)),0)))</f>
        <v>10.982454000000001</v>
      </c>
      <c r="LO19" s="21">
        <f>IF(LO$1&lt;INDEX('Valo FX'!$Q:$Q,MATCH($A19,'Valo FX'!$A:$A,0)),0,IF(LO$1&lt;INDEX('Valo FX'!$R:$R,MATCH($A19,'Valo FX'!$A:$A,0)),INDEX(Base!$U:$U,MATCH($A19,Base!$A:$A,0)),IF(LO$1=INDEX('Valo FX'!$R:$R,MATCH($A19,'Valo FX'!$A:$A,0)),INDEX(Base!$V:$V,MATCH($A19,Base!$A:$A,0)),0)))</f>
        <v>10.982454000000001</v>
      </c>
      <c r="LP19" s="21">
        <f>IF(LP$1&lt;INDEX('Valo FX'!$Q:$Q,MATCH($A19,'Valo FX'!$A:$A,0)),0,IF(LP$1&lt;INDEX('Valo FX'!$R:$R,MATCH($A19,'Valo FX'!$A:$A,0)),INDEX(Base!$U:$U,MATCH($A19,Base!$A:$A,0)),IF(LP$1=INDEX('Valo FX'!$R:$R,MATCH($A19,'Valo FX'!$A:$A,0)),INDEX(Base!$V:$V,MATCH($A19,Base!$A:$A,0)),0)))</f>
        <v>10.982454000000001</v>
      </c>
      <c r="LQ19" s="21">
        <f>IF(LQ$1&lt;INDEX('Valo FX'!$Q:$Q,MATCH($A19,'Valo FX'!$A:$A,0)),0,IF(LQ$1&lt;INDEX('Valo FX'!$R:$R,MATCH($A19,'Valo FX'!$A:$A,0)),INDEX(Base!$U:$U,MATCH($A19,Base!$A:$A,0)),IF(LQ$1=INDEX('Valo FX'!$R:$R,MATCH($A19,'Valo FX'!$A:$A,0)),INDEX(Base!$V:$V,MATCH($A19,Base!$A:$A,0)),0)))</f>
        <v>10.982454000000001</v>
      </c>
      <c r="LR19" s="21">
        <f>IF(LR$1&lt;INDEX('Valo FX'!$Q:$Q,MATCH($A19,'Valo FX'!$A:$A,0)),0,IF(LR$1&lt;INDEX('Valo FX'!$R:$R,MATCH($A19,'Valo FX'!$A:$A,0)),INDEX(Base!$U:$U,MATCH($A19,Base!$A:$A,0)),IF(LR$1=INDEX('Valo FX'!$R:$R,MATCH($A19,'Valo FX'!$A:$A,0)),INDEX(Base!$V:$V,MATCH($A19,Base!$A:$A,0)),0)))</f>
        <v>10.982454000000001</v>
      </c>
      <c r="LS19" s="21">
        <f>IF(LS$1&lt;INDEX('Valo FX'!$Q:$Q,MATCH($A19,'Valo FX'!$A:$A,0)),0,IF(LS$1&lt;INDEX('Valo FX'!$R:$R,MATCH($A19,'Valo FX'!$A:$A,0)),INDEX(Base!$U:$U,MATCH($A19,Base!$A:$A,0)),IF(LS$1=INDEX('Valo FX'!$R:$R,MATCH($A19,'Valo FX'!$A:$A,0)),INDEX(Base!$V:$V,MATCH($A19,Base!$A:$A,0)),0)))</f>
        <v>10.982454000000001</v>
      </c>
      <c r="LT19" s="21">
        <f>IF(LT$1&lt;INDEX('Valo FX'!$Q:$Q,MATCH($A19,'Valo FX'!$A:$A,0)),0,IF(LT$1&lt;INDEX('Valo FX'!$R:$R,MATCH($A19,'Valo FX'!$A:$A,0)),INDEX(Base!$U:$U,MATCH($A19,Base!$A:$A,0)),IF(LT$1=INDEX('Valo FX'!$R:$R,MATCH($A19,'Valo FX'!$A:$A,0)),INDEX(Base!$V:$V,MATCH($A19,Base!$A:$A,0)),0)))</f>
        <v>10.982454000000001</v>
      </c>
      <c r="LU19" s="21">
        <f>IF(LU$1&lt;INDEX('Valo FX'!$Q:$Q,MATCH($A19,'Valo FX'!$A:$A,0)),0,IF(LU$1&lt;INDEX('Valo FX'!$R:$R,MATCH($A19,'Valo FX'!$A:$A,0)),INDEX(Base!$U:$U,MATCH($A19,Base!$A:$A,0)),IF(LU$1=INDEX('Valo FX'!$R:$R,MATCH($A19,'Valo FX'!$A:$A,0)),INDEX(Base!$V:$V,MATCH($A19,Base!$A:$A,0)),0)))</f>
        <v>10.982454000000001</v>
      </c>
      <c r="LV19" s="21">
        <f>IF(LV$1&lt;INDEX('Valo FX'!$Q:$Q,MATCH($A19,'Valo FX'!$A:$A,0)),0,IF(LV$1&lt;INDEX('Valo FX'!$R:$R,MATCH($A19,'Valo FX'!$A:$A,0)),INDEX(Base!$U:$U,MATCH($A19,Base!$A:$A,0)),IF(LV$1=INDEX('Valo FX'!$R:$R,MATCH($A19,'Valo FX'!$A:$A,0)),INDEX(Base!$V:$V,MATCH($A19,Base!$A:$A,0)),0)))</f>
        <v>10.982454000000001</v>
      </c>
      <c r="LW19" s="21">
        <f>IF(LW$1&lt;INDEX('Valo FX'!$Q:$Q,MATCH($A19,'Valo FX'!$A:$A,0)),0,IF(LW$1&lt;INDEX('Valo FX'!$R:$R,MATCH($A19,'Valo FX'!$A:$A,0)),INDEX(Base!$U:$U,MATCH($A19,Base!$A:$A,0)),IF(LW$1=INDEX('Valo FX'!$R:$R,MATCH($A19,'Valo FX'!$A:$A,0)),INDEX(Base!$V:$V,MATCH($A19,Base!$A:$A,0)),0)))</f>
        <v>10.982454000000001</v>
      </c>
      <c r="LX19" s="21">
        <f>IF(LX$1&lt;INDEX('Valo FX'!$Q:$Q,MATCH($A19,'Valo FX'!$A:$A,0)),0,IF(LX$1&lt;INDEX('Valo FX'!$R:$R,MATCH($A19,'Valo FX'!$A:$A,0)),INDEX(Base!$U:$U,MATCH($A19,Base!$A:$A,0)),IF(LX$1=INDEX('Valo FX'!$R:$R,MATCH($A19,'Valo FX'!$A:$A,0)),INDEX(Base!$V:$V,MATCH($A19,Base!$A:$A,0)),0)))</f>
        <v>10.982454000000001</v>
      </c>
      <c r="LY19" s="21">
        <f>IF(LY$1&lt;INDEX('Valo FX'!$Q:$Q,MATCH($A19,'Valo FX'!$A:$A,0)),0,IF(LY$1&lt;INDEX('Valo FX'!$R:$R,MATCH($A19,'Valo FX'!$A:$A,0)),INDEX(Base!$U:$U,MATCH($A19,Base!$A:$A,0)),IF(LY$1=INDEX('Valo FX'!$R:$R,MATCH($A19,'Valo FX'!$A:$A,0)),INDEX(Base!$V:$V,MATCH($A19,Base!$A:$A,0)),0)))</f>
        <v>10.982454000000001</v>
      </c>
      <c r="LZ19" s="21">
        <f>IF(LZ$1&lt;INDEX('Valo FX'!$Q:$Q,MATCH($A19,'Valo FX'!$A:$A,0)),0,IF(LZ$1&lt;INDEX('Valo FX'!$R:$R,MATCH($A19,'Valo FX'!$A:$A,0)),INDEX(Base!$U:$U,MATCH($A19,Base!$A:$A,0)),IF(LZ$1=INDEX('Valo FX'!$R:$R,MATCH($A19,'Valo FX'!$A:$A,0)),INDEX(Base!$V:$V,MATCH($A19,Base!$A:$A,0)),0)))</f>
        <v>10.982454000000001</v>
      </c>
      <c r="MA19" s="21">
        <f>IF(MA$1&lt;INDEX('Valo FX'!$Q:$Q,MATCH($A19,'Valo FX'!$A:$A,0)),0,IF(MA$1&lt;INDEX('Valo FX'!$R:$R,MATCH($A19,'Valo FX'!$A:$A,0)),INDEX(Base!$U:$U,MATCH($A19,Base!$A:$A,0)),IF(MA$1=INDEX('Valo FX'!$R:$R,MATCH($A19,'Valo FX'!$A:$A,0)),INDEX(Base!$V:$V,MATCH($A19,Base!$A:$A,0)),0)))</f>
        <v>10.982454000000001</v>
      </c>
      <c r="MB19" s="21">
        <f>IF(MB$1&lt;INDEX('Valo FX'!$Q:$Q,MATCH($A19,'Valo FX'!$A:$A,0)),0,IF(MB$1&lt;INDEX('Valo FX'!$R:$R,MATCH($A19,'Valo FX'!$A:$A,0)),INDEX(Base!$U:$U,MATCH($A19,Base!$A:$A,0)),IF(MB$1=INDEX('Valo FX'!$R:$R,MATCH($A19,'Valo FX'!$A:$A,0)),INDEX(Base!$V:$V,MATCH($A19,Base!$A:$A,0)),0)))</f>
        <v>10.982454000000001</v>
      </c>
      <c r="MC19" s="21">
        <f>IF(MC$1&lt;INDEX('Valo FX'!$Q:$Q,MATCH($A19,'Valo FX'!$A:$A,0)),0,IF(MC$1&lt;INDEX('Valo FX'!$R:$R,MATCH($A19,'Valo FX'!$A:$A,0)),INDEX(Base!$U:$U,MATCH($A19,Base!$A:$A,0)),IF(MC$1=INDEX('Valo FX'!$R:$R,MATCH($A19,'Valo FX'!$A:$A,0)),INDEX(Base!$V:$V,MATCH($A19,Base!$A:$A,0)),0)))</f>
        <v>10.982454000000001</v>
      </c>
      <c r="MD19" s="21">
        <f>IF(MD$1&lt;INDEX('Valo FX'!$Q:$Q,MATCH($A19,'Valo FX'!$A:$A,0)),0,IF(MD$1&lt;INDEX('Valo FX'!$R:$R,MATCH($A19,'Valo FX'!$A:$A,0)),INDEX(Base!$U:$U,MATCH($A19,Base!$A:$A,0)),IF(MD$1=INDEX('Valo FX'!$R:$R,MATCH($A19,'Valo FX'!$A:$A,0)),INDEX(Base!$V:$V,MATCH($A19,Base!$A:$A,0)),0)))</f>
        <v>10.982454000000001</v>
      </c>
      <c r="ME19" s="21">
        <f>IF(ME$1&lt;INDEX('Valo FX'!$Q:$Q,MATCH($A19,'Valo FX'!$A:$A,0)),0,IF(ME$1&lt;INDEX('Valo FX'!$R:$R,MATCH($A19,'Valo FX'!$A:$A,0)),INDEX(Base!$U:$U,MATCH($A19,Base!$A:$A,0)),IF(ME$1=INDEX('Valo FX'!$R:$R,MATCH($A19,'Valo FX'!$A:$A,0)),INDEX(Base!$V:$V,MATCH($A19,Base!$A:$A,0)),0)))</f>
        <v>10.982454000000001</v>
      </c>
      <c r="MF19" s="21">
        <f>IF(MF$1&lt;INDEX('Valo FX'!$Q:$Q,MATCH($A19,'Valo FX'!$A:$A,0)),0,IF(MF$1&lt;INDEX('Valo FX'!$R:$R,MATCH($A19,'Valo FX'!$A:$A,0)),INDEX(Base!$U:$U,MATCH($A19,Base!$A:$A,0)),IF(MF$1=INDEX('Valo FX'!$R:$R,MATCH($A19,'Valo FX'!$A:$A,0)),INDEX(Base!$V:$V,MATCH($A19,Base!$A:$A,0)),0)))</f>
        <v>10.982454000000001</v>
      </c>
      <c r="MG19" s="21">
        <f>IF(MG$1&lt;INDEX('Valo FX'!$Q:$Q,MATCH($A19,'Valo FX'!$A:$A,0)),0,IF(MG$1&lt;INDEX('Valo FX'!$R:$R,MATCH($A19,'Valo FX'!$A:$A,0)),INDEX(Base!$U:$U,MATCH($A19,Base!$A:$A,0)),IF(MG$1=INDEX('Valo FX'!$R:$R,MATCH($A19,'Valo FX'!$A:$A,0)),INDEX(Base!$V:$V,MATCH($A19,Base!$A:$A,0)),0)))</f>
        <v>10.982454000000001</v>
      </c>
      <c r="MH19" s="21">
        <f>IF(MH$1&lt;INDEX('Valo FX'!$Q:$Q,MATCH($A19,'Valo FX'!$A:$A,0)),0,IF(MH$1&lt;INDEX('Valo FX'!$R:$R,MATCH($A19,'Valo FX'!$A:$A,0)),INDEX(Base!$U:$U,MATCH($A19,Base!$A:$A,0)),IF(MH$1=INDEX('Valo FX'!$R:$R,MATCH($A19,'Valo FX'!$A:$A,0)),INDEX(Base!$V:$V,MATCH($A19,Base!$A:$A,0)),0)))</f>
        <v>10.982454000000001</v>
      </c>
      <c r="MI19" s="21">
        <f>IF(MI$1&lt;INDEX('Valo FX'!$Q:$Q,MATCH($A19,'Valo FX'!$A:$A,0)),0,IF(MI$1&lt;INDEX('Valo FX'!$R:$R,MATCH($A19,'Valo FX'!$A:$A,0)),INDEX(Base!$U:$U,MATCH($A19,Base!$A:$A,0)),IF(MI$1=INDEX('Valo FX'!$R:$R,MATCH($A19,'Valo FX'!$A:$A,0)),INDEX(Base!$V:$V,MATCH($A19,Base!$A:$A,0)),0)))</f>
        <v>10.982454000000001</v>
      </c>
      <c r="MJ19" s="21">
        <f>IF(MJ$1&lt;INDEX('Valo FX'!$Q:$Q,MATCH($A19,'Valo FX'!$A:$A,0)),0,IF(MJ$1&lt;INDEX('Valo FX'!$R:$R,MATCH($A19,'Valo FX'!$A:$A,0)),INDEX(Base!$U:$U,MATCH($A19,Base!$A:$A,0)),IF(MJ$1=INDEX('Valo FX'!$R:$R,MATCH($A19,'Valo FX'!$A:$A,0)),INDEX(Base!$V:$V,MATCH($A19,Base!$A:$A,0)),0)))</f>
        <v>10.982454000000001</v>
      </c>
      <c r="MK19" s="21">
        <f>IF(MK$1&lt;INDEX('Valo FX'!$Q:$Q,MATCH($A19,'Valo FX'!$A:$A,0)),0,IF(MK$1&lt;INDEX('Valo FX'!$R:$R,MATCH($A19,'Valo FX'!$A:$A,0)),INDEX(Base!$U:$U,MATCH($A19,Base!$A:$A,0)),IF(MK$1=INDEX('Valo FX'!$R:$R,MATCH($A19,'Valo FX'!$A:$A,0)),INDEX(Base!$V:$V,MATCH($A19,Base!$A:$A,0)),0)))</f>
        <v>10.982454000000001</v>
      </c>
      <c r="ML19" s="21">
        <f>IF(ML$1&lt;INDEX('Valo FX'!$Q:$Q,MATCH($A19,'Valo FX'!$A:$A,0)),0,IF(ML$1&lt;INDEX('Valo FX'!$R:$R,MATCH($A19,'Valo FX'!$A:$A,0)),INDEX(Base!$U:$U,MATCH($A19,Base!$A:$A,0)),IF(ML$1=INDEX('Valo FX'!$R:$R,MATCH($A19,'Valo FX'!$A:$A,0)),INDEX(Base!$V:$V,MATCH($A19,Base!$A:$A,0)),0)))</f>
        <v>10.982454000000001</v>
      </c>
      <c r="MM19" s="21">
        <f>IF(MM$1&lt;INDEX('Valo FX'!$Q:$Q,MATCH($A19,'Valo FX'!$A:$A,0)),0,IF(MM$1&lt;INDEX('Valo FX'!$R:$R,MATCH($A19,'Valo FX'!$A:$A,0)),INDEX(Base!$U:$U,MATCH($A19,Base!$A:$A,0)),IF(MM$1=INDEX('Valo FX'!$R:$R,MATCH($A19,'Valo FX'!$A:$A,0)),INDEX(Base!$V:$V,MATCH($A19,Base!$A:$A,0)),0)))</f>
        <v>10.982454000000001</v>
      </c>
      <c r="MN19" s="21">
        <f>IF(MN$1&lt;INDEX('Valo FX'!$Q:$Q,MATCH($A19,'Valo FX'!$A:$A,0)),0,IF(MN$1&lt;INDEX('Valo FX'!$R:$R,MATCH($A19,'Valo FX'!$A:$A,0)),INDEX(Base!$U:$U,MATCH($A19,Base!$A:$A,0)),IF(MN$1=INDEX('Valo FX'!$R:$R,MATCH($A19,'Valo FX'!$A:$A,0)),INDEX(Base!$V:$V,MATCH($A19,Base!$A:$A,0)),0)))</f>
        <v>10.982454000000001</v>
      </c>
      <c r="MO19" s="21">
        <f>IF(MO$1&lt;INDEX('Valo FX'!$Q:$Q,MATCH($A19,'Valo FX'!$A:$A,0)),0,IF(MO$1&lt;INDEX('Valo FX'!$R:$R,MATCH($A19,'Valo FX'!$A:$A,0)),INDEX(Base!$U:$U,MATCH($A19,Base!$A:$A,0)),IF(MO$1=INDEX('Valo FX'!$R:$R,MATCH($A19,'Valo FX'!$A:$A,0)),INDEX(Base!$V:$V,MATCH($A19,Base!$A:$A,0)),0)))</f>
        <v>10.982454000000001</v>
      </c>
      <c r="MP19" s="21">
        <f>IF(MP$1&lt;INDEX('Valo FX'!$Q:$Q,MATCH($A19,'Valo FX'!$A:$A,0)),0,IF(MP$1&lt;INDEX('Valo FX'!$R:$R,MATCH($A19,'Valo FX'!$A:$A,0)),INDEX(Base!$U:$U,MATCH($A19,Base!$A:$A,0)),IF(MP$1=INDEX('Valo FX'!$R:$R,MATCH($A19,'Valo FX'!$A:$A,0)),INDEX(Base!$V:$V,MATCH($A19,Base!$A:$A,0)),0)))</f>
        <v>10.982454000000001</v>
      </c>
      <c r="MQ19" s="21">
        <f>IF(MQ$1&lt;INDEX('Valo FX'!$Q:$Q,MATCH($A19,'Valo FX'!$A:$A,0)),0,IF(MQ$1&lt;INDEX('Valo FX'!$R:$R,MATCH($A19,'Valo FX'!$A:$A,0)),INDEX(Base!$U:$U,MATCH($A19,Base!$A:$A,0)),IF(MQ$1=INDEX('Valo FX'!$R:$R,MATCH($A19,'Valo FX'!$A:$A,0)),INDEX(Base!$V:$V,MATCH($A19,Base!$A:$A,0)),0)))</f>
        <v>10.982454000000001</v>
      </c>
      <c r="MR19" s="21">
        <f>IF(MR$1&lt;INDEX('Valo FX'!$Q:$Q,MATCH($A19,'Valo FX'!$A:$A,0)),0,IF(MR$1&lt;INDEX('Valo FX'!$R:$R,MATCH($A19,'Valo FX'!$A:$A,0)),INDEX(Base!$U:$U,MATCH($A19,Base!$A:$A,0)),IF(MR$1=INDEX('Valo FX'!$R:$R,MATCH($A19,'Valo FX'!$A:$A,0)),INDEX(Base!$V:$V,MATCH($A19,Base!$A:$A,0)),0)))</f>
        <v>10.982454000000001</v>
      </c>
      <c r="MS19" s="21">
        <f>IF(MS$1&lt;INDEX('Valo FX'!$Q:$Q,MATCH($A19,'Valo FX'!$A:$A,0)),0,IF(MS$1&lt;INDEX('Valo FX'!$R:$R,MATCH($A19,'Valo FX'!$A:$A,0)),INDEX(Base!$U:$U,MATCH($A19,Base!$A:$A,0)),IF(MS$1=INDEX('Valo FX'!$R:$R,MATCH($A19,'Valo FX'!$A:$A,0)),INDEX(Base!$V:$V,MATCH($A19,Base!$A:$A,0)),0)))</f>
        <v>10.982454000000001</v>
      </c>
      <c r="MT19" s="21">
        <f>IF(MT$1&lt;INDEX('Valo FX'!$Q:$Q,MATCH($A19,'Valo FX'!$A:$A,0)),0,IF(MT$1&lt;INDEX('Valo FX'!$R:$R,MATCH($A19,'Valo FX'!$A:$A,0)),INDEX(Base!$U:$U,MATCH($A19,Base!$A:$A,0)),IF(MT$1=INDEX('Valo FX'!$R:$R,MATCH($A19,'Valo FX'!$A:$A,0)),INDEX(Base!$V:$V,MATCH($A19,Base!$A:$A,0)),0)))</f>
        <v>10.982454000000001</v>
      </c>
      <c r="MU19" s="21">
        <f>IF(MU$1&lt;INDEX('Valo FX'!$Q:$Q,MATCH($A19,'Valo FX'!$A:$A,0)),0,IF(MU$1&lt;INDEX('Valo FX'!$R:$R,MATCH($A19,'Valo FX'!$A:$A,0)),INDEX(Base!$U:$U,MATCH($A19,Base!$A:$A,0)),IF(MU$1=INDEX('Valo FX'!$R:$R,MATCH($A19,'Valo FX'!$A:$A,0)),INDEX(Base!$V:$V,MATCH($A19,Base!$A:$A,0)),0)))</f>
        <v>10.982454000000001</v>
      </c>
      <c r="MV19" s="21">
        <f>IF(MV$1&lt;INDEX('Valo FX'!$Q:$Q,MATCH($A19,'Valo FX'!$A:$A,0)),0,IF(MV$1&lt;INDEX('Valo FX'!$R:$R,MATCH($A19,'Valo FX'!$A:$A,0)),INDEX(Base!$U:$U,MATCH($A19,Base!$A:$A,0)),IF(MV$1=INDEX('Valo FX'!$R:$R,MATCH($A19,'Valo FX'!$A:$A,0)),INDEX(Base!$V:$V,MATCH($A19,Base!$A:$A,0)),0)))</f>
        <v>10.982454000000001</v>
      </c>
      <c r="MW19" s="21">
        <f>IF(MW$1&lt;INDEX('Valo FX'!$Q:$Q,MATCH($A19,'Valo FX'!$A:$A,0)),0,IF(MW$1&lt;INDEX('Valo FX'!$R:$R,MATCH($A19,'Valo FX'!$A:$A,0)),INDEX(Base!$U:$U,MATCH($A19,Base!$A:$A,0)),IF(MW$1=INDEX('Valo FX'!$R:$R,MATCH($A19,'Valo FX'!$A:$A,0)),INDEX(Base!$V:$V,MATCH($A19,Base!$A:$A,0)),0)))</f>
        <v>10.982454000000001</v>
      </c>
      <c r="MX19" s="21">
        <f>IF(MX$1&lt;INDEX('Valo FX'!$Q:$Q,MATCH($A19,'Valo FX'!$A:$A,0)),0,IF(MX$1&lt;INDEX('Valo FX'!$R:$R,MATCH($A19,'Valo FX'!$A:$A,0)),INDEX(Base!$U:$U,MATCH($A19,Base!$A:$A,0)),IF(MX$1=INDEX('Valo FX'!$R:$R,MATCH($A19,'Valo FX'!$A:$A,0)),INDEX(Base!$V:$V,MATCH($A19,Base!$A:$A,0)),0)))</f>
        <v>10.982454000000001</v>
      </c>
      <c r="MY19" s="21">
        <f>IF(MY$1&lt;INDEX('Valo FX'!$Q:$Q,MATCH($A19,'Valo FX'!$A:$A,0)),0,IF(MY$1&lt;INDEX('Valo FX'!$R:$R,MATCH($A19,'Valo FX'!$A:$A,0)),INDEX(Base!$U:$U,MATCH($A19,Base!$A:$A,0)),IF(MY$1=INDEX('Valo FX'!$R:$R,MATCH($A19,'Valo FX'!$A:$A,0)),INDEX(Base!$V:$V,MATCH($A19,Base!$A:$A,0)),0)))</f>
        <v>11.274037</v>
      </c>
    </row>
    <row r="20" spans="1:363" x14ac:dyDescent="0.2">
      <c r="A20" s="7">
        <f>+'Valo FX'!A21</f>
        <v>18</v>
      </c>
      <c r="B20" s="58">
        <f>-'Valo FX'!T21</f>
        <v>-943.88952857264826</v>
      </c>
      <c r="C20" s="21">
        <f>IF(C$1&lt;INDEX('Valo FX'!$Q:$Q,MATCH($A20,'Valo FX'!$A:$A,0)),0,IF(C$1&lt;INDEX('Valo FX'!$R:$R,MATCH($A20,'Valo FX'!$A:$A,0)),INDEX(Base!$U:$U,MATCH($A20,Base!$A:$A,0)),IF(C$1=INDEX('Valo FX'!$R:$R,MATCH($A20,'Valo FX'!$A:$A,0)),INDEX(Base!$V:$V,MATCH($A20,Base!$A:$A,0)),0)))</f>
        <v>0</v>
      </c>
      <c r="D20" s="21">
        <f>IF(D$1&lt;INDEX('Valo FX'!$Q:$Q,MATCH($A20,'Valo FX'!$A:$A,0)),0,IF(D$1&lt;INDEX('Valo FX'!$R:$R,MATCH($A20,'Valo FX'!$A:$A,0)),INDEX(Base!$U:$U,MATCH($A20,Base!$A:$A,0)),IF(D$1=INDEX('Valo FX'!$R:$R,MATCH($A20,'Valo FX'!$A:$A,0)),INDEX(Base!$V:$V,MATCH($A20,Base!$A:$A,0)),0)))</f>
        <v>0</v>
      </c>
      <c r="E20" s="21">
        <f>IF(E$1&lt;INDEX('Valo FX'!$Q:$Q,MATCH($A20,'Valo FX'!$A:$A,0)),0,IF(E$1&lt;INDEX('Valo FX'!$R:$R,MATCH($A20,'Valo FX'!$A:$A,0)),INDEX(Base!$U:$U,MATCH($A20,Base!$A:$A,0)),IF(E$1=INDEX('Valo FX'!$R:$R,MATCH($A20,'Valo FX'!$A:$A,0)),INDEX(Base!$V:$V,MATCH($A20,Base!$A:$A,0)),0)))</f>
        <v>0</v>
      </c>
      <c r="F20" s="21">
        <f>IF(F$1&lt;INDEX('Valo FX'!$Q:$Q,MATCH($A20,'Valo FX'!$A:$A,0)),0,IF(F$1&lt;INDEX('Valo FX'!$R:$R,MATCH($A20,'Valo FX'!$A:$A,0)),INDEX(Base!$U:$U,MATCH($A20,Base!$A:$A,0)),IF(F$1=INDEX('Valo FX'!$R:$R,MATCH($A20,'Valo FX'!$A:$A,0)),INDEX(Base!$V:$V,MATCH($A20,Base!$A:$A,0)),0)))</f>
        <v>0</v>
      </c>
      <c r="G20" s="21">
        <f>IF(G$1&lt;INDEX('Valo FX'!$Q:$Q,MATCH($A20,'Valo FX'!$A:$A,0)),0,IF(G$1&lt;INDEX('Valo FX'!$R:$R,MATCH($A20,'Valo FX'!$A:$A,0)),INDEX(Base!$U:$U,MATCH($A20,Base!$A:$A,0)),IF(G$1=INDEX('Valo FX'!$R:$R,MATCH($A20,'Valo FX'!$A:$A,0)),INDEX(Base!$V:$V,MATCH($A20,Base!$A:$A,0)),0)))</f>
        <v>0</v>
      </c>
      <c r="H20" s="21">
        <f>IF(H$1&lt;INDEX('Valo FX'!$Q:$Q,MATCH($A20,'Valo FX'!$A:$A,0)),0,IF(H$1&lt;INDEX('Valo FX'!$R:$R,MATCH($A20,'Valo FX'!$A:$A,0)),INDEX(Base!$U:$U,MATCH($A20,Base!$A:$A,0)),IF(H$1=INDEX('Valo FX'!$R:$R,MATCH($A20,'Valo FX'!$A:$A,0)),INDEX(Base!$V:$V,MATCH($A20,Base!$A:$A,0)),0)))</f>
        <v>0</v>
      </c>
      <c r="I20" s="21">
        <f>IF(I$1&lt;INDEX('Valo FX'!$Q:$Q,MATCH($A20,'Valo FX'!$A:$A,0)),0,IF(I$1&lt;INDEX('Valo FX'!$R:$R,MATCH($A20,'Valo FX'!$A:$A,0)),INDEX(Base!$U:$U,MATCH($A20,Base!$A:$A,0)),IF(I$1=INDEX('Valo FX'!$R:$R,MATCH($A20,'Valo FX'!$A:$A,0)),INDEX(Base!$V:$V,MATCH($A20,Base!$A:$A,0)),0)))</f>
        <v>6.9634369999999999</v>
      </c>
      <c r="J20" s="21">
        <f>IF(J$1&lt;INDEX('Valo FX'!$Q:$Q,MATCH($A20,'Valo FX'!$A:$A,0)),0,IF(J$1&lt;INDEX('Valo FX'!$R:$R,MATCH($A20,'Valo FX'!$A:$A,0)),INDEX(Base!$U:$U,MATCH($A20,Base!$A:$A,0)),IF(J$1=INDEX('Valo FX'!$R:$R,MATCH($A20,'Valo FX'!$A:$A,0)),INDEX(Base!$V:$V,MATCH($A20,Base!$A:$A,0)),0)))</f>
        <v>6.9634369999999999</v>
      </c>
      <c r="K20" s="21">
        <f>IF(K$1&lt;INDEX('Valo FX'!$Q:$Q,MATCH($A20,'Valo FX'!$A:$A,0)),0,IF(K$1&lt;INDEX('Valo FX'!$R:$R,MATCH($A20,'Valo FX'!$A:$A,0)),INDEX(Base!$U:$U,MATCH($A20,Base!$A:$A,0)),IF(K$1=INDEX('Valo FX'!$R:$R,MATCH($A20,'Valo FX'!$A:$A,0)),INDEX(Base!$V:$V,MATCH($A20,Base!$A:$A,0)),0)))</f>
        <v>6.9634369999999999</v>
      </c>
      <c r="L20" s="21">
        <f>IF(L$1&lt;INDEX('Valo FX'!$Q:$Q,MATCH($A20,'Valo FX'!$A:$A,0)),0,IF(L$1&lt;INDEX('Valo FX'!$R:$R,MATCH($A20,'Valo FX'!$A:$A,0)),INDEX(Base!$U:$U,MATCH($A20,Base!$A:$A,0)),IF(L$1=INDEX('Valo FX'!$R:$R,MATCH($A20,'Valo FX'!$A:$A,0)),INDEX(Base!$V:$V,MATCH($A20,Base!$A:$A,0)),0)))</f>
        <v>6.9634369999999999</v>
      </c>
      <c r="M20" s="21">
        <f>IF(M$1&lt;INDEX('Valo FX'!$Q:$Q,MATCH($A20,'Valo FX'!$A:$A,0)),0,IF(M$1&lt;INDEX('Valo FX'!$R:$R,MATCH($A20,'Valo FX'!$A:$A,0)),INDEX(Base!$U:$U,MATCH($A20,Base!$A:$A,0)),IF(M$1=INDEX('Valo FX'!$R:$R,MATCH($A20,'Valo FX'!$A:$A,0)),INDEX(Base!$V:$V,MATCH($A20,Base!$A:$A,0)),0)))</f>
        <v>6.9634369999999999</v>
      </c>
      <c r="N20" s="21">
        <f>IF(N$1&lt;INDEX('Valo FX'!$Q:$Q,MATCH($A20,'Valo FX'!$A:$A,0)),0,IF(N$1&lt;INDEX('Valo FX'!$R:$R,MATCH($A20,'Valo FX'!$A:$A,0)),INDEX(Base!$U:$U,MATCH($A20,Base!$A:$A,0)),IF(N$1=INDEX('Valo FX'!$R:$R,MATCH($A20,'Valo FX'!$A:$A,0)),INDEX(Base!$V:$V,MATCH($A20,Base!$A:$A,0)),0)))</f>
        <v>6.9634369999999999</v>
      </c>
      <c r="O20" s="21">
        <f>IF(O$1&lt;INDEX('Valo FX'!$Q:$Q,MATCH($A20,'Valo FX'!$A:$A,0)),0,IF(O$1&lt;INDEX('Valo FX'!$R:$R,MATCH($A20,'Valo FX'!$A:$A,0)),INDEX(Base!$U:$U,MATCH($A20,Base!$A:$A,0)),IF(O$1=INDEX('Valo FX'!$R:$R,MATCH($A20,'Valo FX'!$A:$A,0)),INDEX(Base!$V:$V,MATCH($A20,Base!$A:$A,0)),0)))</f>
        <v>6.9634369999999999</v>
      </c>
      <c r="P20" s="21">
        <f>IF(P$1&lt;INDEX('Valo FX'!$Q:$Q,MATCH($A20,'Valo FX'!$A:$A,0)),0,IF(P$1&lt;INDEX('Valo FX'!$R:$R,MATCH($A20,'Valo FX'!$A:$A,0)),INDEX(Base!$U:$U,MATCH($A20,Base!$A:$A,0)),IF(P$1=INDEX('Valo FX'!$R:$R,MATCH($A20,'Valo FX'!$A:$A,0)),INDEX(Base!$V:$V,MATCH($A20,Base!$A:$A,0)),0)))</f>
        <v>6.9634369999999999</v>
      </c>
      <c r="Q20" s="21">
        <f>IF(Q$1&lt;INDEX('Valo FX'!$Q:$Q,MATCH($A20,'Valo FX'!$A:$A,0)),0,IF(Q$1&lt;INDEX('Valo FX'!$R:$R,MATCH($A20,'Valo FX'!$A:$A,0)),INDEX(Base!$U:$U,MATCH($A20,Base!$A:$A,0)),IF(Q$1=INDEX('Valo FX'!$R:$R,MATCH($A20,'Valo FX'!$A:$A,0)),INDEX(Base!$V:$V,MATCH($A20,Base!$A:$A,0)),0)))</f>
        <v>6.9634369999999999</v>
      </c>
      <c r="R20" s="21">
        <f>IF(R$1&lt;INDEX('Valo FX'!$Q:$Q,MATCH($A20,'Valo FX'!$A:$A,0)),0,IF(R$1&lt;INDEX('Valo FX'!$R:$R,MATCH($A20,'Valo FX'!$A:$A,0)),INDEX(Base!$U:$U,MATCH($A20,Base!$A:$A,0)),IF(R$1=INDEX('Valo FX'!$R:$R,MATCH($A20,'Valo FX'!$A:$A,0)),INDEX(Base!$V:$V,MATCH($A20,Base!$A:$A,0)),0)))</f>
        <v>6.9634369999999999</v>
      </c>
      <c r="S20" s="21">
        <f>IF(S$1&lt;INDEX('Valo FX'!$Q:$Q,MATCH($A20,'Valo FX'!$A:$A,0)),0,IF(S$1&lt;INDEX('Valo FX'!$R:$R,MATCH($A20,'Valo FX'!$A:$A,0)),INDEX(Base!$U:$U,MATCH($A20,Base!$A:$A,0)),IF(S$1=INDEX('Valo FX'!$R:$R,MATCH($A20,'Valo FX'!$A:$A,0)),INDEX(Base!$V:$V,MATCH($A20,Base!$A:$A,0)),0)))</f>
        <v>6.9634369999999999</v>
      </c>
      <c r="T20" s="21">
        <f>IF(T$1&lt;INDEX('Valo FX'!$Q:$Q,MATCH($A20,'Valo FX'!$A:$A,0)),0,IF(T$1&lt;INDEX('Valo FX'!$R:$R,MATCH($A20,'Valo FX'!$A:$A,0)),INDEX(Base!$U:$U,MATCH($A20,Base!$A:$A,0)),IF(T$1=INDEX('Valo FX'!$R:$R,MATCH($A20,'Valo FX'!$A:$A,0)),INDEX(Base!$V:$V,MATCH($A20,Base!$A:$A,0)),0)))</f>
        <v>6.9634369999999999</v>
      </c>
      <c r="U20" s="21">
        <f>IF(U$1&lt;INDEX('Valo FX'!$Q:$Q,MATCH($A20,'Valo FX'!$A:$A,0)),0,IF(U$1&lt;INDEX('Valo FX'!$R:$R,MATCH($A20,'Valo FX'!$A:$A,0)),INDEX(Base!$U:$U,MATCH($A20,Base!$A:$A,0)),IF(U$1=INDEX('Valo FX'!$R:$R,MATCH($A20,'Valo FX'!$A:$A,0)),INDEX(Base!$V:$V,MATCH($A20,Base!$A:$A,0)),0)))</f>
        <v>6.9634369999999999</v>
      </c>
      <c r="V20" s="21">
        <f>IF(V$1&lt;INDEX('Valo FX'!$Q:$Q,MATCH($A20,'Valo FX'!$A:$A,0)),0,IF(V$1&lt;INDEX('Valo FX'!$R:$R,MATCH($A20,'Valo FX'!$A:$A,0)),INDEX(Base!$U:$U,MATCH($A20,Base!$A:$A,0)),IF(V$1=INDEX('Valo FX'!$R:$R,MATCH($A20,'Valo FX'!$A:$A,0)),INDEX(Base!$V:$V,MATCH($A20,Base!$A:$A,0)),0)))</f>
        <v>6.9634369999999999</v>
      </c>
      <c r="W20" s="21">
        <f>IF(W$1&lt;INDEX('Valo FX'!$Q:$Q,MATCH($A20,'Valo FX'!$A:$A,0)),0,IF(W$1&lt;INDEX('Valo FX'!$R:$R,MATCH($A20,'Valo FX'!$A:$A,0)),INDEX(Base!$U:$U,MATCH($A20,Base!$A:$A,0)),IF(W$1=INDEX('Valo FX'!$R:$R,MATCH($A20,'Valo FX'!$A:$A,0)),INDEX(Base!$V:$V,MATCH($A20,Base!$A:$A,0)),0)))</f>
        <v>6.9634369999999999</v>
      </c>
      <c r="X20" s="21">
        <f>IF(X$1&lt;INDEX('Valo FX'!$Q:$Q,MATCH($A20,'Valo FX'!$A:$A,0)),0,IF(X$1&lt;INDEX('Valo FX'!$R:$R,MATCH($A20,'Valo FX'!$A:$A,0)),INDEX(Base!$U:$U,MATCH($A20,Base!$A:$A,0)),IF(X$1=INDEX('Valo FX'!$R:$R,MATCH($A20,'Valo FX'!$A:$A,0)),INDEX(Base!$V:$V,MATCH($A20,Base!$A:$A,0)),0)))</f>
        <v>6.9634369999999999</v>
      </c>
      <c r="Y20" s="21">
        <f>IF(Y$1&lt;INDEX('Valo FX'!$Q:$Q,MATCH($A20,'Valo FX'!$A:$A,0)),0,IF(Y$1&lt;INDEX('Valo FX'!$R:$R,MATCH($A20,'Valo FX'!$A:$A,0)),INDEX(Base!$U:$U,MATCH($A20,Base!$A:$A,0)),IF(Y$1=INDEX('Valo FX'!$R:$R,MATCH($A20,'Valo FX'!$A:$A,0)),INDEX(Base!$V:$V,MATCH($A20,Base!$A:$A,0)),0)))</f>
        <v>6.9634369999999999</v>
      </c>
      <c r="Z20" s="21">
        <f>IF(Z$1&lt;INDEX('Valo FX'!$Q:$Q,MATCH($A20,'Valo FX'!$A:$A,0)),0,IF(Z$1&lt;INDEX('Valo FX'!$R:$R,MATCH($A20,'Valo FX'!$A:$A,0)),INDEX(Base!$U:$U,MATCH($A20,Base!$A:$A,0)),IF(Z$1=INDEX('Valo FX'!$R:$R,MATCH($A20,'Valo FX'!$A:$A,0)),INDEX(Base!$V:$V,MATCH($A20,Base!$A:$A,0)),0)))</f>
        <v>6.9634369999999999</v>
      </c>
      <c r="AA20" s="21">
        <f>IF(AA$1&lt;INDEX('Valo FX'!$Q:$Q,MATCH($A20,'Valo FX'!$A:$A,0)),0,IF(AA$1&lt;INDEX('Valo FX'!$R:$R,MATCH($A20,'Valo FX'!$A:$A,0)),INDEX(Base!$U:$U,MATCH($A20,Base!$A:$A,0)),IF(AA$1=INDEX('Valo FX'!$R:$R,MATCH($A20,'Valo FX'!$A:$A,0)),INDEX(Base!$V:$V,MATCH($A20,Base!$A:$A,0)),0)))</f>
        <v>6.9634369999999999</v>
      </c>
      <c r="AB20" s="21">
        <f>IF(AB$1&lt;INDEX('Valo FX'!$Q:$Q,MATCH($A20,'Valo FX'!$A:$A,0)),0,IF(AB$1&lt;INDEX('Valo FX'!$R:$R,MATCH($A20,'Valo FX'!$A:$A,0)),INDEX(Base!$U:$U,MATCH($A20,Base!$A:$A,0)),IF(AB$1=INDEX('Valo FX'!$R:$R,MATCH($A20,'Valo FX'!$A:$A,0)),INDEX(Base!$V:$V,MATCH($A20,Base!$A:$A,0)),0)))</f>
        <v>6.9634369999999999</v>
      </c>
      <c r="AC20" s="21">
        <f>IF(AC$1&lt;INDEX('Valo FX'!$Q:$Q,MATCH($A20,'Valo FX'!$A:$A,0)),0,IF(AC$1&lt;INDEX('Valo FX'!$R:$R,MATCH($A20,'Valo FX'!$A:$A,0)),INDEX(Base!$U:$U,MATCH($A20,Base!$A:$A,0)),IF(AC$1=INDEX('Valo FX'!$R:$R,MATCH($A20,'Valo FX'!$A:$A,0)),INDEX(Base!$V:$V,MATCH($A20,Base!$A:$A,0)),0)))</f>
        <v>6.9634369999999999</v>
      </c>
      <c r="AD20" s="21">
        <f>IF(AD$1&lt;INDEX('Valo FX'!$Q:$Q,MATCH($A20,'Valo FX'!$A:$A,0)),0,IF(AD$1&lt;INDEX('Valo FX'!$R:$R,MATCH($A20,'Valo FX'!$A:$A,0)),INDEX(Base!$U:$U,MATCH($A20,Base!$A:$A,0)),IF(AD$1=INDEX('Valo FX'!$R:$R,MATCH($A20,'Valo FX'!$A:$A,0)),INDEX(Base!$V:$V,MATCH($A20,Base!$A:$A,0)),0)))</f>
        <v>6.9634369999999999</v>
      </c>
      <c r="AE20" s="21">
        <f>IF(AE$1&lt;INDEX('Valo FX'!$Q:$Q,MATCH($A20,'Valo FX'!$A:$A,0)),0,IF(AE$1&lt;INDEX('Valo FX'!$R:$R,MATCH($A20,'Valo FX'!$A:$A,0)),INDEX(Base!$U:$U,MATCH($A20,Base!$A:$A,0)),IF(AE$1=INDEX('Valo FX'!$R:$R,MATCH($A20,'Valo FX'!$A:$A,0)),INDEX(Base!$V:$V,MATCH($A20,Base!$A:$A,0)),0)))</f>
        <v>6.9634369999999999</v>
      </c>
      <c r="AF20" s="21">
        <f>IF(AF$1&lt;INDEX('Valo FX'!$Q:$Q,MATCH($A20,'Valo FX'!$A:$A,0)),0,IF(AF$1&lt;INDEX('Valo FX'!$R:$R,MATCH($A20,'Valo FX'!$A:$A,0)),INDEX(Base!$U:$U,MATCH($A20,Base!$A:$A,0)),IF(AF$1=INDEX('Valo FX'!$R:$R,MATCH($A20,'Valo FX'!$A:$A,0)),INDEX(Base!$V:$V,MATCH($A20,Base!$A:$A,0)),0)))</f>
        <v>6.9634369999999999</v>
      </c>
      <c r="AG20" s="21">
        <f>IF(AG$1&lt;INDEX('Valo FX'!$Q:$Q,MATCH($A20,'Valo FX'!$A:$A,0)),0,IF(AG$1&lt;INDEX('Valo FX'!$R:$R,MATCH($A20,'Valo FX'!$A:$A,0)),INDEX(Base!$U:$U,MATCH($A20,Base!$A:$A,0)),IF(AG$1=INDEX('Valo FX'!$R:$R,MATCH($A20,'Valo FX'!$A:$A,0)),INDEX(Base!$V:$V,MATCH($A20,Base!$A:$A,0)),0)))</f>
        <v>6.9634369999999999</v>
      </c>
      <c r="AH20" s="21">
        <f>IF(AH$1&lt;INDEX('Valo FX'!$Q:$Q,MATCH($A20,'Valo FX'!$A:$A,0)),0,IF(AH$1&lt;INDEX('Valo FX'!$R:$R,MATCH($A20,'Valo FX'!$A:$A,0)),INDEX(Base!$U:$U,MATCH($A20,Base!$A:$A,0)),IF(AH$1=INDEX('Valo FX'!$R:$R,MATCH($A20,'Valo FX'!$A:$A,0)),INDEX(Base!$V:$V,MATCH($A20,Base!$A:$A,0)),0)))</f>
        <v>6.9634369999999999</v>
      </c>
      <c r="AI20" s="21">
        <f>IF(AI$1&lt;INDEX('Valo FX'!$Q:$Q,MATCH($A20,'Valo FX'!$A:$A,0)),0,IF(AI$1&lt;INDEX('Valo FX'!$R:$R,MATCH($A20,'Valo FX'!$A:$A,0)),INDEX(Base!$U:$U,MATCH($A20,Base!$A:$A,0)),IF(AI$1=INDEX('Valo FX'!$R:$R,MATCH($A20,'Valo FX'!$A:$A,0)),INDEX(Base!$V:$V,MATCH($A20,Base!$A:$A,0)),0)))</f>
        <v>6.9634369999999999</v>
      </c>
      <c r="AJ20" s="21">
        <f>IF(AJ$1&lt;INDEX('Valo FX'!$Q:$Q,MATCH($A20,'Valo FX'!$A:$A,0)),0,IF(AJ$1&lt;INDEX('Valo FX'!$R:$R,MATCH($A20,'Valo FX'!$A:$A,0)),INDEX(Base!$U:$U,MATCH($A20,Base!$A:$A,0)),IF(AJ$1=INDEX('Valo FX'!$R:$R,MATCH($A20,'Valo FX'!$A:$A,0)),INDEX(Base!$V:$V,MATCH($A20,Base!$A:$A,0)),0)))</f>
        <v>6.9634369999999999</v>
      </c>
      <c r="AK20" s="21">
        <f>IF(AK$1&lt;INDEX('Valo FX'!$Q:$Q,MATCH($A20,'Valo FX'!$A:$A,0)),0,IF(AK$1&lt;INDEX('Valo FX'!$R:$R,MATCH($A20,'Valo FX'!$A:$A,0)),INDEX(Base!$U:$U,MATCH($A20,Base!$A:$A,0)),IF(AK$1=INDEX('Valo FX'!$R:$R,MATCH($A20,'Valo FX'!$A:$A,0)),INDEX(Base!$V:$V,MATCH($A20,Base!$A:$A,0)),0)))</f>
        <v>6.9634369999999999</v>
      </c>
      <c r="AL20" s="21">
        <f>IF(AL$1&lt;INDEX('Valo FX'!$Q:$Q,MATCH($A20,'Valo FX'!$A:$A,0)),0,IF(AL$1&lt;INDEX('Valo FX'!$R:$R,MATCH($A20,'Valo FX'!$A:$A,0)),INDEX(Base!$U:$U,MATCH($A20,Base!$A:$A,0)),IF(AL$1=INDEX('Valo FX'!$R:$R,MATCH($A20,'Valo FX'!$A:$A,0)),INDEX(Base!$V:$V,MATCH($A20,Base!$A:$A,0)),0)))</f>
        <v>6.9634369999999999</v>
      </c>
      <c r="AM20" s="21">
        <f>IF(AM$1&lt;INDEX('Valo FX'!$Q:$Q,MATCH($A20,'Valo FX'!$A:$A,0)),0,IF(AM$1&lt;INDEX('Valo FX'!$R:$R,MATCH($A20,'Valo FX'!$A:$A,0)),INDEX(Base!$U:$U,MATCH($A20,Base!$A:$A,0)),IF(AM$1=INDEX('Valo FX'!$R:$R,MATCH($A20,'Valo FX'!$A:$A,0)),INDEX(Base!$V:$V,MATCH($A20,Base!$A:$A,0)),0)))</f>
        <v>6.9634369999999999</v>
      </c>
      <c r="AN20" s="21">
        <f>IF(AN$1&lt;INDEX('Valo FX'!$Q:$Q,MATCH($A20,'Valo FX'!$A:$A,0)),0,IF(AN$1&lt;INDEX('Valo FX'!$R:$R,MATCH($A20,'Valo FX'!$A:$A,0)),INDEX(Base!$U:$U,MATCH($A20,Base!$A:$A,0)),IF(AN$1=INDEX('Valo FX'!$R:$R,MATCH($A20,'Valo FX'!$A:$A,0)),INDEX(Base!$V:$V,MATCH($A20,Base!$A:$A,0)),0)))</f>
        <v>6.9634369999999999</v>
      </c>
      <c r="AO20" s="21">
        <f>IF(AO$1&lt;INDEX('Valo FX'!$Q:$Q,MATCH($A20,'Valo FX'!$A:$A,0)),0,IF(AO$1&lt;INDEX('Valo FX'!$R:$R,MATCH($A20,'Valo FX'!$A:$A,0)),INDEX(Base!$U:$U,MATCH($A20,Base!$A:$A,0)),IF(AO$1=INDEX('Valo FX'!$R:$R,MATCH($A20,'Valo FX'!$A:$A,0)),INDEX(Base!$V:$V,MATCH($A20,Base!$A:$A,0)),0)))</f>
        <v>6.9634369999999999</v>
      </c>
      <c r="AP20" s="21">
        <f>IF(AP$1&lt;INDEX('Valo FX'!$Q:$Q,MATCH($A20,'Valo FX'!$A:$A,0)),0,IF(AP$1&lt;INDEX('Valo FX'!$R:$R,MATCH($A20,'Valo FX'!$A:$A,0)),INDEX(Base!$U:$U,MATCH($A20,Base!$A:$A,0)),IF(AP$1=INDEX('Valo FX'!$R:$R,MATCH($A20,'Valo FX'!$A:$A,0)),INDEX(Base!$V:$V,MATCH($A20,Base!$A:$A,0)),0)))</f>
        <v>6.9634369999999999</v>
      </c>
      <c r="AQ20" s="21">
        <f>IF(AQ$1&lt;INDEX('Valo FX'!$Q:$Q,MATCH($A20,'Valo FX'!$A:$A,0)),0,IF(AQ$1&lt;INDEX('Valo FX'!$R:$R,MATCH($A20,'Valo FX'!$A:$A,0)),INDEX(Base!$U:$U,MATCH($A20,Base!$A:$A,0)),IF(AQ$1=INDEX('Valo FX'!$R:$R,MATCH($A20,'Valo FX'!$A:$A,0)),INDEX(Base!$V:$V,MATCH($A20,Base!$A:$A,0)),0)))</f>
        <v>6.9634369999999999</v>
      </c>
      <c r="AR20" s="21">
        <f>IF(AR$1&lt;INDEX('Valo FX'!$Q:$Q,MATCH($A20,'Valo FX'!$A:$A,0)),0,IF(AR$1&lt;INDEX('Valo FX'!$R:$R,MATCH($A20,'Valo FX'!$A:$A,0)),INDEX(Base!$U:$U,MATCH($A20,Base!$A:$A,0)),IF(AR$1=INDEX('Valo FX'!$R:$R,MATCH($A20,'Valo FX'!$A:$A,0)),INDEX(Base!$V:$V,MATCH($A20,Base!$A:$A,0)),0)))</f>
        <v>6.9634369999999999</v>
      </c>
      <c r="AS20" s="21">
        <f>IF(AS$1&lt;INDEX('Valo FX'!$Q:$Q,MATCH($A20,'Valo FX'!$A:$A,0)),0,IF(AS$1&lt;INDEX('Valo FX'!$R:$R,MATCH($A20,'Valo FX'!$A:$A,0)),INDEX(Base!$U:$U,MATCH($A20,Base!$A:$A,0)),IF(AS$1=INDEX('Valo FX'!$R:$R,MATCH($A20,'Valo FX'!$A:$A,0)),INDEX(Base!$V:$V,MATCH($A20,Base!$A:$A,0)),0)))</f>
        <v>6.9634369999999999</v>
      </c>
      <c r="AT20" s="21">
        <f>IF(AT$1&lt;INDEX('Valo FX'!$Q:$Q,MATCH($A20,'Valo FX'!$A:$A,0)),0,IF(AT$1&lt;INDEX('Valo FX'!$R:$R,MATCH($A20,'Valo FX'!$A:$A,0)),INDEX(Base!$U:$U,MATCH($A20,Base!$A:$A,0)),IF(AT$1=INDEX('Valo FX'!$R:$R,MATCH($A20,'Valo FX'!$A:$A,0)),INDEX(Base!$V:$V,MATCH($A20,Base!$A:$A,0)),0)))</f>
        <v>6.9634369999999999</v>
      </c>
      <c r="AU20" s="21">
        <f>IF(AU$1&lt;INDEX('Valo FX'!$Q:$Q,MATCH($A20,'Valo FX'!$A:$A,0)),0,IF(AU$1&lt;INDEX('Valo FX'!$R:$R,MATCH($A20,'Valo FX'!$A:$A,0)),INDEX(Base!$U:$U,MATCH($A20,Base!$A:$A,0)),IF(AU$1=INDEX('Valo FX'!$R:$R,MATCH($A20,'Valo FX'!$A:$A,0)),INDEX(Base!$V:$V,MATCH($A20,Base!$A:$A,0)),0)))</f>
        <v>6.9634369999999999</v>
      </c>
      <c r="AV20" s="21">
        <f>IF(AV$1&lt;INDEX('Valo FX'!$Q:$Q,MATCH($A20,'Valo FX'!$A:$A,0)),0,IF(AV$1&lt;INDEX('Valo FX'!$R:$R,MATCH($A20,'Valo FX'!$A:$A,0)),INDEX(Base!$U:$U,MATCH($A20,Base!$A:$A,0)),IF(AV$1=INDEX('Valo FX'!$R:$R,MATCH($A20,'Valo FX'!$A:$A,0)),INDEX(Base!$V:$V,MATCH($A20,Base!$A:$A,0)),0)))</f>
        <v>6.9634369999999999</v>
      </c>
      <c r="AW20" s="21">
        <f>IF(AW$1&lt;INDEX('Valo FX'!$Q:$Q,MATCH($A20,'Valo FX'!$A:$A,0)),0,IF(AW$1&lt;INDEX('Valo FX'!$R:$R,MATCH($A20,'Valo FX'!$A:$A,0)),INDEX(Base!$U:$U,MATCH($A20,Base!$A:$A,0)),IF(AW$1=INDEX('Valo FX'!$R:$R,MATCH($A20,'Valo FX'!$A:$A,0)),INDEX(Base!$V:$V,MATCH($A20,Base!$A:$A,0)),0)))</f>
        <v>6.9634369999999999</v>
      </c>
      <c r="AX20" s="21">
        <f>IF(AX$1&lt;INDEX('Valo FX'!$Q:$Q,MATCH($A20,'Valo FX'!$A:$A,0)),0,IF(AX$1&lt;INDEX('Valo FX'!$R:$R,MATCH($A20,'Valo FX'!$A:$A,0)),INDEX(Base!$U:$U,MATCH($A20,Base!$A:$A,0)),IF(AX$1=INDEX('Valo FX'!$R:$R,MATCH($A20,'Valo FX'!$A:$A,0)),INDEX(Base!$V:$V,MATCH($A20,Base!$A:$A,0)),0)))</f>
        <v>6.9634369999999999</v>
      </c>
      <c r="AY20" s="21">
        <f>IF(AY$1&lt;INDEX('Valo FX'!$Q:$Q,MATCH($A20,'Valo FX'!$A:$A,0)),0,IF(AY$1&lt;INDEX('Valo FX'!$R:$R,MATCH($A20,'Valo FX'!$A:$A,0)),INDEX(Base!$U:$U,MATCH($A20,Base!$A:$A,0)),IF(AY$1=INDEX('Valo FX'!$R:$R,MATCH($A20,'Valo FX'!$A:$A,0)),INDEX(Base!$V:$V,MATCH($A20,Base!$A:$A,0)),0)))</f>
        <v>6.9634369999999999</v>
      </c>
      <c r="AZ20" s="21">
        <f>IF(AZ$1&lt;INDEX('Valo FX'!$Q:$Q,MATCH($A20,'Valo FX'!$A:$A,0)),0,IF(AZ$1&lt;INDEX('Valo FX'!$R:$R,MATCH($A20,'Valo FX'!$A:$A,0)),INDEX(Base!$U:$U,MATCH($A20,Base!$A:$A,0)),IF(AZ$1=INDEX('Valo FX'!$R:$R,MATCH($A20,'Valo FX'!$A:$A,0)),INDEX(Base!$V:$V,MATCH($A20,Base!$A:$A,0)),0)))</f>
        <v>6.9634369999999999</v>
      </c>
      <c r="BA20" s="21">
        <f>IF(BA$1&lt;INDEX('Valo FX'!$Q:$Q,MATCH($A20,'Valo FX'!$A:$A,0)),0,IF(BA$1&lt;INDEX('Valo FX'!$R:$R,MATCH($A20,'Valo FX'!$A:$A,0)),INDEX(Base!$U:$U,MATCH($A20,Base!$A:$A,0)),IF(BA$1=INDEX('Valo FX'!$R:$R,MATCH($A20,'Valo FX'!$A:$A,0)),INDEX(Base!$V:$V,MATCH($A20,Base!$A:$A,0)),0)))</f>
        <v>6.9634369999999999</v>
      </c>
      <c r="BB20" s="21">
        <f>IF(BB$1&lt;INDEX('Valo FX'!$Q:$Q,MATCH($A20,'Valo FX'!$A:$A,0)),0,IF(BB$1&lt;INDEX('Valo FX'!$R:$R,MATCH($A20,'Valo FX'!$A:$A,0)),INDEX(Base!$U:$U,MATCH($A20,Base!$A:$A,0)),IF(BB$1=INDEX('Valo FX'!$R:$R,MATCH($A20,'Valo FX'!$A:$A,0)),INDEX(Base!$V:$V,MATCH($A20,Base!$A:$A,0)),0)))</f>
        <v>6.9634369999999999</v>
      </c>
      <c r="BC20" s="21">
        <f>IF(BC$1&lt;INDEX('Valo FX'!$Q:$Q,MATCH($A20,'Valo FX'!$A:$A,0)),0,IF(BC$1&lt;INDEX('Valo FX'!$R:$R,MATCH($A20,'Valo FX'!$A:$A,0)),INDEX(Base!$U:$U,MATCH($A20,Base!$A:$A,0)),IF(BC$1=INDEX('Valo FX'!$R:$R,MATCH($A20,'Valo FX'!$A:$A,0)),INDEX(Base!$V:$V,MATCH($A20,Base!$A:$A,0)),0)))</f>
        <v>6.9634369999999999</v>
      </c>
      <c r="BD20" s="21">
        <f>IF(BD$1&lt;INDEX('Valo FX'!$Q:$Q,MATCH($A20,'Valo FX'!$A:$A,0)),0,IF(BD$1&lt;INDEX('Valo FX'!$R:$R,MATCH($A20,'Valo FX'!$A:$A,0)),INDEX(Base!$U:$U,MATCH($A20,Base!$A:$A,0)),IF(BD$1=INDEX('Valo FX'!$R:$R,MATCH($A20,'Valo FX'!$A:$A,0)),INDEX(Base!$V:$V,MATCH($A20,Base!$A:$A,0)),0)))</f>
        <v>6.9634369999999999</v>
      </c>
      <c r="BE20" s="21">
        <f>IF(BE$1&lt;INDEX('Valo FX'!$Q:$Q,MATCH($A20,'Valo FX'!$A:$A,0)),0,IF(BE$1&lt;INDEX('Valo FX'!$R:$R,MATCH($A20,'Valo FX'!$A:$A,0)),INDEX(Base!$U:$U,MATCH($A20,Base!$A:$A,0)),IF(BE$1=INDEX('Valo FX'!$R:$R,MATCH($A20,'Valo FX'!$A:$A,0)),INDEX(Base!$V:$V,MATCH($A20,Base!$A:$A,0)),0)))</f>
        <v>6.9634369999999999</v>
      </c>
      <c r="BF20" s="21">
        <f>IF(BF$1&lt;INDEX('Valo FX'!$Q:$Q,MATCH($A20,'Valo FX'!$A:$A,0)),0,IF(BF$1&lt;INDEX('Valo FX'!$R:$R,MATCH($A20,'Valo FX'!$A:$A,0)),INDEX(Base!$U:$U,MATCH($A20,Base!$A:$A,0)),IF(BF$1=INDEX('Valo FX'!$R:$R,MATCH($A20,'Valo FX'!$A:$A,0)),INDEX(Base!$V:$V,MATCH($A20,Base!$A:$A,0)),0)))</f>
        <v>6.9634369999999999</v>
      </c>
      <c r="BG20" s="21">
        <f>IF(BG$1&lt;INDEX('Valo FX'!$Q:$Q,MATCH($A20,'Valo FX'!$A:$A,0)),0,IF(BG$1&lt;INDEX('Valo FX'!$R:$R,MATCH($A20,'Valo FX'!$A:$A,0)),INDEX(Base!$U:$U,MATCH($A20,Base!$A:$A,0)),IF(BG$1=INDEX('Valo FX'!$R:$R,MATCH($A20,'Valo FX'!$A:$A,0)),INDEX(Base!$V:$V,MATCH($A20,Base!$A:$A,0)),0)))</f>
        <v>6.9634369999999999</v>
      </c>
      <c r="BH20" s="21">
        <f>IF(BH$1&lt;INDEX('Valo FX'!$Q:$Q,MATCH($A20,'Valo FX'!$A:$A,0)),0,IF(BH$1&lt;INDEX('Valo FX'!$R:$R,MATCH($A20,'Valo FX'!$A:$A,0)),INDEX(Base!$U:$U,MATCH($A20,Base!$A:$A,0)),IF(BH$1=INDEX('Valo FX'!$R:$R,MATCH($A20,'Valo FX'!$A:$A,0)),INDEX(Base!$V:$V,MATCH($A20,Base!$A:$A,0)),0)))</f>
        <v>6.9634369999999999</v>
      </c>
      <c r="BI20" s="21">
        <f>IF(BI$1&lt;INDEX('Valo FX'!$Q:$Q,MATCH($A20,'Valo FX'!$A:$A,0)),0,IF(BI$1&lt;INDEX('Valo FX'!$R:$R,MATCH($A20,'Valo FX'!$A:$A,0)),INDEX(Base!$U:$U,MATCH($A20,Base!$A:$A,0)),IF(BI$1=INDEX('Valo FX'!$R:$R,MATCH($A20,'Valo FX'!$A:$A,0)),INDEX(Base!$V:$V,MATCH($A20,Base!$A:$A,0)),0)))</f>
        <v>6.9634369999999999</v>
      </c>
      <c r="BJ20" s="21">
        <f>IF(BJ$1&lt;INDEX('Valo FX'!$Q:$Q,MATCH($A20,'Valo FX'!$A:$A,0)),0,IF(BJ$1&lt;INDEX('Valo FX'!$R:$R,MATCH($A20,'Valo FX'!$A:$A,0)),INDEX(Base!$U:$U,MATCH($A20,Base!$A:$A,0)),IF(BJ$1=INDEX('Valo FX'!$R:$R,MATCH($A20,'Valo FX'!$A:$A,0)),INDEX(Base!$V:$V,MATCH($A20,Base!$A:$A,0)),0)))</f>
        <v>6.9634369999999999</v>
      </c>
      <c r="BK20" s="21">
        <f>IF(BK$1&lt;INDEX('Valo FX'!$Q:$Q,MATCH($A20,'Valo FX'!$A:$A,0)),0,IF(BK$1&lt;INDEX('Valo FX'!$R:$R,MATCH($A20,'Valo FX'!$A:$A,0)),INDEX(Base!$U:$U,MATCH($A20,Base!$A:$A,0)),IF(BK$1=INDEX('Valo FX'!$R:$R,MATCH($A20,'Valo FX'!$A:$A,0)),INDEX(Base!$V:$V,MATCH($A20,Base!$A:$A,0)),0)))</f>
        <v>6.9634369999999999</v>
      </c>
      <c r="BL20" s="21">
        <f>IF(BL$1&lt;INDEX('Valo FX'!$Q:$Q,MATCH($A20,'Valo FX'!$A:$A,0)),0,IF(BL$1&lt;INDEX('Valo FX'!$R:$R,MATCH($A20,'Valo FX'!$A:$A,0)),INDEX(Base!$U:$U,MATCH($A20,Base!$A:$A,0)),IF(BL$1=INDEX('Valo FX'!$R:$R,MATCH($A20,'Valo FX'!$A:$A,0)),INDEX(Base!$V:$V,MATCH($A20,Base!$A:$A,0)),0)))</f>
        <v>6.9634369999999999</v>
      </c>
      <c r="BM20" s="21">
        <f>IF(BM$1&lt;INDEX('Valo FX'!$Q:$Q,MATCH($A20,'Valo FX'!$A:$A,0)),0,IF(BM$1&lt;INDEX('Valo FX'!$R:$R,MATCH($A20,'Valo FX'!$A:$A,0)),INDEX(Base!$U:$U,MATCH($A20,Base!$A:$A,0)),IF(BM$1=INDEX('Valo FX'!$R:$R,MATCH($A20,'Valo FX'!$A:$A,0)),INDEX(Base!$V:$V,MATCH($A20,Base!$A:$A,0)),0)))</f>
        <v>6.9634369999999999</v>
      </c>
      <c r="BN20" s="21">
        <f>IF(BN$1&lt;INDEX('Valo FX'!$Q:$Q,MATCH($A20,'Valo FX'!$A:$A,0)),0,IF(BN$1&lt;INDEX('Valo FX'!$R:$R,MATCH($A20,'Valo FX'!$A:$A,0)),INDEX(Base!$U:$U,MATCH($A20,Base!$A:$A,0)),IF(BN$1=INDEX('Valo FX'!$R:$R,MATCH($A20,'Valo FX'!$A:$A,0)),INDEX(Base!$V:$V,MATCH($A20,Base!$A:$A,0)),0)))</f>
        <v>6.9634369999999999</v>
      </c>
      <c r="BO20" s="21">
        <f>IF(BO$1&lt;INDEX('Valo FX'!$Q:$Q,MATCH($A20,'Valo FX'!$A:$A,0)),0,IF(BO$1&lt;INDEX('Valo FX'!$R:$R,MATCH($A20,'Valo FX'!$A:$A,0)),INDEX(Base!$U:$U,MATCH($A20,Base!$A:$A,0)),IF(BO$1=INDEX('Valo FX'!$R:$R,MATCH($A20,'Valo FX'!$A:$A,0)),INDEX(Base!$V:$V,MATCH($A20,Base!$A:$A,0)),0)))</f>
        <v>6.9634369999999999</v>
      </c>
      <c r="BP20" s="21">
        <f>IF(BP$1&lt;INDEX('Valo FX'!$Q:$Q,MATCH($A20,'Valo FX'!$A:$A,0)),0,IF(BP$1&lt;INDEX('Valo FX'!$R:$R,MATCH($A20,'Valo FX'!$A:$A,0)),INDEX(Base!$U:$U,MATCH($A20,Base!$A:$A,0)),IF(BP$1=INDEX('Valo FX'!$R:$R,MATCH($A20,'Valo FX'!$A:$A,0)),INDEX(Base!$V:$V,MATCH($A20,Base!$A:$A,0)),0)))</f>
        <v>6.9634369999999999</v>
      </c>
      <c r="BQ20" s="21">
        <f>IF(BQ$1&lt;INDEX('Valo FX'!$Q:$Q,MATCH($A20,'Valo FX'!$A:$A,0)),0,IF(BQ$1&lt;INDEX('Valo FX'!$R:$R,MATCH($A20,'Valo FX'!$A:$A,0)),INDEX(Base!$U:$U,MATCH($A20,Base!$A:$A,0)),IF(BQ$1=INDEX('Valo FX'!$R:$R,MATCH($A20,'Valo FX'!$A:$A,0)),INDEX(Base!$V:$V,MATCH($A20,Base!$A:$A,0)),0)))</f>
        <v>6.9634369999999999</v>
      </c>
      <c r="BR20" s="21">
        <f>IF(BR$1&lt;INDEX('Valo FX'!$Q:$Q,MATCH($A20,'Valo FX'!$A:$A,0)),0,IF(BR$1&lt;INDEX('Valo FX'!$R:$R,MATCH($A20,'Valo FX'!$A:$A,0)),INDEX(Base!$U:$U,MATCH($A20,Base!$A:$A,0)),IF(BR$1=INDEX('Valo FX'!$R:$R,MATCH($A20,'Valo FX'!$A:$A,0)),INDEX(Base!$V:$V,MATCH($A20,Base!$A:$A,0)),0)))</f>
        <v>6.9634369999999999</v>
      </c>
      <c r="BS20" s="21">
        <f>IF(BS$1&lt;INDEX('Valo FX'!$Q:$Q,MATCH($A20,'Valo FX'!$A:$A,0)),0,IF(BS$1&lt;INDEX('Valo FX'!$R:$R,MATCH($A20,'Valo FX'!$A:$A,0)),INDEX(Base!$U:$U,MATCH($A20,Base!$A:$A,0)),IF(BS$1=INDEX('Valo FX'!$R:$R,MATCH($A20,'Valo FX'!$A:$A,0)),INDEX(Base!$V:$V,MATCH($A20,Base!$A:$A,0)),0)))</f>
        <v>6.9634369999999999</v>
      </c>
      <c r="BT20" s="21">
        <f>IF(BT$1&lt;INDEX('Valo FX'!$Q:$Q,MATCH($A20,'Valo FX'!$A:$A,0)),0,IF(BT$1&lt;INDEX('Valo FX'!$R:$R,MATCH($A20,'Valo FX'!$A:$A,0)),INDEX(Base!$U:$U,MATCH($A20,Base!$A:$A,0)),IF(BT$1=INDEX('Valo FX'!$R:$R,MATCH($A20,'Valo FX'!$A:$A,0)),INDEX(Base!$V:$V,MATCH($A20,Base!$A:$A,0)),0)))</f>
        <v>6.9634369999999999</v>
      </c>
      <c r="BU20" s="21">
        <f>IF(BU$1&lt;INDEX('Valo FX'!$Q:$Q,MATCH($A20,'Valo FX'!$A:$A,0)),0,IF(BU$1&lt;INDEX('Valo FX'!$R:$R,MATCH($A20,'Valo FX'!$A:$A,0)),INDEX(Base!$U:$U,MATCH($A20,Base!$A:$A,0)),IF(BU$1=INDEX('Valo FX'!$R:$R,MATCH($A20,'Valo FX'!$A:$A,0)),INDEX(Base!$V:$V,MATCH($A20,Base!$A:$A,0)),0)))</f>
        <v>6.9634369999999999</v>
      </c>
      <c r="BV20" s="21">
        <f>IF(BV$1&lt;INDEX('Valo FX'!$Q:$Q,MATCH($A20,'Valo FX'!$A:$A,0)),0,IF(BV$1&lt;INDEX('Valo FX'!$R:$R,MATCH($A20,'Valo FX'!$A:$A,0)),INDEX(Base!$U:$U,MATCH($A20,Base!$A:$A,0)),IF(BV$1=INDEX('Valo FX'!$R:$R,MATCH($A20,'Valo FX'!$A:$A,0)),INDEX(Base!$V:$V,MATCH($A20,Base!$A:$A,0)),0)))</f>
        <v>6.9634369999999999</v>
      </c>
      <c r="BW20" s="21">
        <f>IF(BW$1&lt;INDEX('Valo FX'!$Q:$Q,MATCH($A20,'Valo FX'!$A:$A,0)),0,IF(BW$1&lt;INDEX('Valo FX'!$R:$R,MATCH($A20,'Valo FX'!$A:$A,0)),INDEX(Base!$U:$U,MATCH($A20,Base!$A:$A,0)),IF(BW$1=INDEX('Valo FX'!$R:$R,MATCH($A20,'Valo FX'!$A:$A,0)),INDEX(Base!$V:$V,MATCH($A20,Base!$A:$A,0)),0)))</f>
        <v>6.9634369999999999</v>
      </c>
      <c r="BX20" s="21">
        <f>IF(BX$1&lt;INDEX('Valo FX'!$Q:$Q,MATCH($A20,'Valo FX'!$A:$A,0)),0,IF(BX$1&lt;INDEX('Valo FX'!$R:$R,MATCH($A20,'Valo FX'!$A:$A,0)),INDEX(Base!$U:$U,MATCH($A20,Base!$A:$A,0)),IF(BX$1=INDEX('Valo FX'!$R:$R,MATCH($A20,'Valo FX'!$A:$A,0)),INDEX(Base!$V:$V,MATCH($A20,Base!$A:$A,0)),0)))</f>
        <v>6.9634369999999999</v>
      </c>
      <c r="BY20" s="21">
        <f>IF(BY$1&lt;INDEX('Valo FX'!$Q:$Q,MATCH($A20,'Valo FX'!$A:$A,0)),0,IF(BY$1&lt;INDEX('Valo FX'!$R:$R,MATCH($A20,'Valo FX'!$A:$A,0)),INDEX(Base!$U:$U,MATCH($A20,Base!$A:$A,0)),IF(BY$1=INDEX('Valo FX'!$R:$R,MATCH($A20,'Valo FX'!$A:$A,0)),INDEX(Base!$V:$V,MATCH($A20,Base!$A:$A,0)),0)))</f>
        <v>6.9634369999999999</v>
      </c>
      <c r="BZ20" s="21">
        <f>IF(BZ$1&lt;INDEX('Valo FX'!$Q:$Q,MATCH($A20,'Valo FX'!$A:$A,0)),0,IF(BZ$1&lt;INDEX('Valo FX'!$R:$R,MATCH($A20,'Valo FX'!$A:$A,0)),INDEX(Base!$U:$U,MATCH($A20,Base!$A:$A,0)),IF(BZ$1=INDEX('Valo FX'!$R:$R,MATCH($A20,'Valo FX'!$A:$A,0)),INDEX(Base!$V:$V,MATCH($A20,Base!$A:$A,0)),0)))</f>
        <v>6.9634369999999999</v>
      </c>
      <c r="CA20" s="21">
        <f>IF(CA$1&lt;INDEX('Valo FX'!$Q:$Q,MATCH($A20,'Valo FX'!$A:$A,0)),0,IF(CA$1&lt;INDEX('Valo FX'!$R:$R,MATCH($A20,'Valo FX'!$A:$A,0)),INDEX(Base!$U:$U,MATCH($A20,Base!$A:$A,0)),IF(CA$1=INDEX('Valo FX'!$R:$R,MATCH($A20,'Valo FX'!$A:$A,0)),INDEX(Base!$V:$V,MATCH($A20,Base!$A:$A,0)),0)))</f>
        <v>6.9634369999999999</v>
      </c>
      <c r="CB20" s="21">
        <f>IF(CB$1&lt;INDEX('Valo FX'!$Q:$Q,MATCH($A20,'Valo FX'!$A:$A,0)),0,IF(CB$1&lt;INDEX('Valo FX'!$R:$R,MATCH($A20,'Valo FX'!$A:$A,0)),INDEX(Base!$U:$U,MATCH($A20,Base!$A:$A,0)),IF(CB$1=INDEX('Valo FX'!$R:$R,MATCH($A20,'Valo FX'!$A:$A,0)),INDEX(Base!$V:$V,MATCH($A20,Base!$A:$A,0)),0)))</f>
        <v>6.9634369999999999</v>
      </c>
      <c r="CC20" s="21">
        <f>IF(CC$1&lt;INDEX('Valo FX'!$Q:$Q,MATCH($A20,'Valo FX'!$A:$A,0)),0,IF(CC$1&lt;INDEX('Valo FX'!$R:$R,MATCH($A20,'Valo FX'!$A:$A,0)),INDEX(Base!$U:$U,MATCH($A20,Base!$A:$A,0)),IF(CC$1=INDEX('Valo FX'!$R:$R,MATCH($A20,'Valo FX'!$A:$A,0)),INDEX(Base!$V:$V,MATCH($A20,Base!$A:$A,0)),0)))</f>
        <v>6.9634369999999999</v>
      </c>
      <c r="CD20" s="21">
        <f>IF(CD$1&lt;INDEX('Valo FX'!$Q:$Q,MATCH($A20,'Valo FX'!$A:$A,0)),0,IF(CD$1&lt;INDEX('Valo FX'!$R:$R,MATCH($A20,'Valo FX'!$A:$A,0)),INDEX(Base!$U:$U,MATCH($A20,Base!$A:$A,0)),IF(CD$1=INDEX('Valo FX'!$R:$R,MATCH($A20,'Valo FX'!$A:$A,0)),INDEX(Base!$V:$V,MATCH($A20,Base!$A:$A,0)),0)))</f>
        <v>6.9634369999999999</v>
      </c>
      <c r="CE20" s="21">
        <f>IF(CE$1&lt;INDEX('Valo FX'!$Q:$Q,MATCH($A20,'Valo FX'!$A:$A,0)),0,IF(CE$1&lt;INDEX('Valo FX'!$R:$R,MATCH($A20,'Valo FX'!$A:$A,0)),INDEX(Base!$U:$U,MATCH($A20,Base!$A:$A,0)),IF(CE$1=INDEX('Valo FX'!$R:$R,MATCH($A20,'Valo FX'!$A:$A,0)),INDEX(Base!$V:$V,MATCH($A20,Base!$A:$A,0)),0)))</f>
        <v>6.9634369999999999</v>
      </c>
      <c r="CF20" s="21">
        <f>IF(CF$1&lt;INDEX('Valo FX'!$Q:$Q,MATCH($A20,'Valo FX'!$A:$A,0)),0,IF(CF$1&lt;INDEX('Valo FX'!$R:$R,MATCH($A20,'Valo FX'!$A:$A,0)),INDEX(Base!$U:$U,MATCH($A20,Base!$A:$A,0)),IF(CF$1=INDEX('Valo FX'!$R:$R,MATCH($A20,'Valo FX'!$A:$A,0)),INDEX(Base!$V:$V,MATCH($A20,Base!$A:$A,0)),0)))</f>
        <v>6.9634369999999999</v>
      </c>
      <c r="CG20" s="21">
        <f>IF(CG$1&lt;INDEX('Valo FX'!$Q:$Q,MATCH($A20,'Valo FX'!$A:$A,0)),0,IF(CG$1&lt;INDEX('Valo FX'!$R:$R,MATCH($A20,'Valo FX'!$A:$A,0)),INDEX(Base!$U:$U,MATCH($A20,Base!$A:$A,0)),IF(CG$1=INDEX('Valo FX'!$R:$R,MATCH($A20,'Valo FX'!$A:$A,0)),INDEX(Base!$V:$V,MATCH($A20,Base!$A:$A,0)),0)))</f>
        <v>6.9634369999999999</v>
      </c>
      <c r="CH20" s="21">
        <f>IF(CH$1&lt;INDEX('Valo FX'!$Q:$Q,MATCH($A20,'Valo FX'!$A:$A,0)),0,IF(CH$1&lt;INDEX('Valo FX'!$R:$R,MATCH($A20,'Valo FX'!$A:$A,0)),INDEX(Base!$U:$U,MATCH($A20,Base!$A:$A,0)),IF(CH$1=INDEX('Valo FX'!$R:$R,MATCH($A20,'Valo FX'!$A:$A,0)),INDEX(Base!$V:$V,MATCH($A20,Base!$A:$A,0)),0)))</f>
        <v>6.9634369999999999</v>
      </c>
      <c r="CI20" s="21">
        <f>IF(CI$1&lt;INDEX('Valo FX'!$Q:$Q,MATCH($A20,'Valo FX'!$A:$A,0)),0,IF(CI$1&lt;INDEX('Valo FX'!$R:$R,MATCH($A20,'Valo FX'!$A:$A,0)),INDEX(Base!$U:$U,MATCH($A20,Base!$A:$A,0)),IF(CI$1=INDEX('Valo FX'!$R:$R,MATCH($A20,'Valo FX'!$A:$A,0)),INDEX(Base!$V:$V,MATCH($A20,Base!$A:$A,0)),0)))</f>
        <v>6.9634369999999999</v>
      </c>
      <c r="CJ20" s="21">
        <f>IF(CJ$1&lt;INDEX('Valo FX'!$Q:$Q,MATCH($A20,'Valo FX'!$A:$A,0)),0,IF(CJ$1&lt;INDEX('Valo FX'!$R:$R,MATCH($A20,'Valo FX'!$A:$A,0)),INDEX(Base!$U:$U,MATCH($A20,Base!$A:$A,0)),IF(CJ$1=INDEX('Valo FX'!$R:$R,MATCH($A20,'Valo FX'!$A:$A,0)),INDEX(Base!$V:$V,MATCH($A20,Base!$A:$A,0)),0)))</f>
        <v>6.9634369999999999</v>
      </c>
      <c r="CK20" s="21">
        <f>IF(CK$1&lt;INDEX('Valo FX'!$Q:$Q,MATCH($A20,'Valo FX'!$A:$A,0)),0,IF(CK$1&lt;INDEX('Valo FX'!$R:$R,MATCH($A20,'Valo FX'!$A:$A,0)),INDEX(Base!$U:$U,MATCH($A20,Base!$A:$A,0)),IF(CK$1=INDEX('Valo FX'!$R:$R,MATCH($A20,'Valo FX'!$A:$A,0)),INDEX(Base!$V:$V,MATCH($A20,Base!$A:$A,0)),0)))</f>
        <v>6.9634369999999999</v>
      </c>
      <c r="CL20" s="21">
        <f>IF(CL$1&lt;INDEX('Valo FX'!$Q:$Q,MATCH($A20,'Valo FX'!$A:$A,0)),0,IF(CL$1&lt;INDEX('Valo FX'!$R:$R,MATCH($A20,'Valo FX'!$A:$A,0)),INDEX(Base!$U:$U,MATCH($A20,Base!$A:$A,0)),IF(CL$1=INDEX('Valo FX'!$R:$R,MATCH($A20,'Valo FX'!$A:$A,0)),INDEX(Base!$V:$V,MATCH($A20,Base!$A:$A,0)),0)))</f>
        <v>6.9634369999999999</v>
      </c>
      <c r="CM20" s="21">
        <f>IF(CM$1&lt;INDEX('Valo FX'!$Q:$Q,MATCH($A20,'Valo FX'!$A:$A,0)),0,IF(CM$1&lt;INDEX('Valo FX'!$R:$R,MATCH($A20,'Valo FX'!$A:$A,0)),INDEX(Base!$U:$U,MATCH($A20,Base!$A:$A,0)),IF(CM$1=INDEX('Valo FX'!$R:$R,MATCH($A20,'Valo FX'!$A:$A,0)),INDEX(Base!$V:$V,MATCH($A20,Base!$A:$A,0)),0)))</f>
        <v>6.9634369999999999</v>
      </c>
      <c r="CN20" s="21">
        <f>IF(CN$1&lt;INDEX('Valo FX'!$Q:$Q,MATCH($A20,'Valo FX'!$A:$A,0)),0,IF(CN$1&lt;INDEX('Valo FX'!$R:$R,MATCH($A20,'Valo FX'!$A:$A,0)),INDEX(Base!$U:$U,MATCH($A20,Base!$A:$A,0)),IF(CN$1=INDEX('Valo FX'!$R:$R,MATCH($A20,'Valo FX'!$A:$A,0)),INDEX(Base!$V:$V,MATCH($A20,Base!$A:$A,0)),0)))</f>
        <v>6.9634369999999999</v>
      </c>
      <c r="CO20" s="21">
        <f>IF(CO$1&lt;INDEX('Valo FX'!$Q:$Q,MATCH($A20,'Valo FX'!$A:$A,0)),0,IF(CO$1&lt;INDEX('Valo FX'!$R:$R,MATCH($A20,'Valo FX'!$A:$A,0)),INDEX(Base!$U:$U,MATCH($A20,Base!$A:$A,0)),IF(CO$1=INDEX('Valo FX'!$R:$R,MATCH($A20,'Valo FX'!$A:$A,0)),INDEX(Base!$V:$V,MATCH($A20,Base!$A:$A,0)),0)))</f>
        <v>6.9634369999999999</v>
      </c>
      <c r="CP20" s="21">
        <f>IF(CP$1&lt;INDEX('Valo FX'!$Q:$Q,MATCH($A20,'Valo FX'!$A:$A,0)),0,IF(CP$1&lt;INDEX('Valo FX'!$R:$R,MATCH($A20,'Valo FX'!$A:$A,0)),INDEX(Base!$U:$U,MATCH($A20,Base!$A:$A,0)),IF(CP$1=INDEX('Valo FX'!$R:$R,MATCH($A20,'Valo FX'!$A:$A,0)),INDEX(Base!$V:$V,MATCH($A20,Base!$A:$A,0)),0)))</f>
        <v>6.9634369999999999</v>
      </c>
      <c r="CQ20" s="21">
        <f>IF(CQ$1&lt;INDEX('Valo FX'!$Q:$Q,MATCH($A20,'Valo FX'!$A:$A,0)),0,IF(CQ$1&lt;INDEX('Valo FX'!$R:$R,MATCH($A20,'Valo FX'!$A:$A,0)),INDEX(Base!$U:$U,MATCH($A20,Base!$A:$A,0)),IF(CQ$1=INDEX('Valo FX'!$R:$R,MATCH($A20,'Valo FX'!$A:$A,0)),INDEX(Base!$V:$V,MATCH($A20,Base!$A:$A,0)),0)))</f>
        <v>6.9634369999999999</v>
      </c>
      <c r="CR20" s="21">
        <f>IF(CR$1&lt;INDEX('Valo FX'!$Q:$Q,MATCH($A20,'Valo FX'!$A:$A,0)),0,IF(CR$1&lt;INDEX('Valo FX'!$R:$R,MATCH($A20,'Valo FX'!$A:$A,0)),INDEX(Base!$U:$U,MATCH($A20,Base!$A:$A,0)),IF(CR$1=INDEX('Valo FX'!$R:$R,MATCH($A20,'Valo FX'!$A:$A,0)),INDEX(Base!$V:$V,MATCH($A20,Base!$A:$A,0)),0)))</f>
        <v>6.9634369999999999</v>
      </c>
      <c r="CS20" s="21">
        <f>IF(CS$1&lt;INDEX('Valo FX'!$Q:$Q,MATCH($A20,'Valo FX'!$A:$A,0)),0,IF(CS$1&lt;INDEX('Valo FX'!$R:$R,MATCH($A20,'Valo FX'!$A:$A,0)),INDEX(Base!$U:$U,MATCH($A20,Base!$A:$A,0)),IF(CS$1=INDEX('Valo FX'!$R:$R,MATCH($A20,'Valo FX'!$A:$A,0)),INDEX(Base!$V:$V,MATCH($A20,Base!$A:$A,0)),0)))</f>
        <v>6.9634369999999999</v>
      </c>
      <c r="CT20" s="21">
        <f>IF(CT$1&lt;INDEX('Valo FX'!$Q:$Q,MATCH($A20,'Valo FX'!$A:$A,0)),0,IF(CT$1&lt;INDEX('Valo FX'!$R:$R,MATCH($A20,'Valo FX'!$A:$A,0)),INDEX(Base!$U:$U,MATCH($A20,Base!$A:$A,0)),IF(CT$1=INDEX('Valo FX'!$R:$R,MATCH($A20,'Valo FX'!$A:$A,0)),INDEX(Base!$V:$V,MATCH($A20,Base!$A:$A,0)),0)))</f>
        <v>6.9634369999999999</v>
      </c>
      <c r="CU20" s="21">
        <f>IF(CU$1&lt;INDEX('Valo FX'!$Q:$Q,MATCH($A20,'Valo FX'!$A:$A,0)),0,IF(CU$1&lt;INDEX('Valo FX'!$R:$R,MATCH($A20,'Valo FX'!$A:$A,0)),INDEX(Base!$U:$U,MATCH($A20,Base!$A:$A,0)),IF(CU$1=INDEX('Valo FX'!$R:$R,MATCH($A20,'Valo FX'!$A:$A,0)),INDEX(Base!$V:$V,MATCH($A20,Base!$A:$A,0)),0)))</f>
        <v>6.9634369999999999</v>
      </c>
      <c r="CV20" s="21">
        <f>IF(CV$1&lt;INDEX('Valo FX'!$Q:$Q,MATCH($A20,'Valo FX'!$A:$A,0)),0,IF(CV$1&lt;INDEX('Valo FX'!$R:$R,MATCH($A20,'Valo FX'!$A:$A,0)),INDEX(Base!$U:$U,MATCH($A20,Base!$A:$A,0)),IF(CV$1=INDEX('Valo FX'!$R:$R,MATCH($A20,'Valo FX'!$A:$A,0)),INDEX(Base!$V:$V,MATCH($A20,Base!$A:$A,0)),0)))</f>
        <v>6.9634369999999999</v>
      </c>
      <c r="CW20" s="21">
        <f>IF(CW$1&lt;INDEX('Valo FX'!$Q:$Q,MATCH($A20,'Valo FX'!$A:$A,0)),0,IF(CW$1&lt;INDEX('Valo FX'!$R:$R,MATCH($A20,'Valo FX'!$A:$A,0)),INDEX(Base!$U:$U,MATCH($A20,Base!$A:$A,0)),IF(CW$1=INDEX('Valo FX'!$R:$R,MATCH($A20,'Valo FX'!$A:$A,0)),INDEX(Base!$V:$V,MATCH($A20,Base!$A:$A,0)),0)))</f>
        <v>6.9634369999999999</v>
      </c>
      <c r="CX20" s="21">
        <f>IF(CX$1&lt;INDEX('Valo FX'!$Q:$Q,MATCH($A20,'Valo FX'!$A:$A,0)),0,IF(CX$1&lt;INDEX('Valo FX'!$R:$R,MATCH($A20,'Valo FX'!$A:$A,0)),INDEX(Base!$U:$U,MATCH($A20,Base!$A:$A,0)),IF(CX$1=INDEX('Valo FX'!$R:$R,MATCH($A20,'Valo FX'!$A:$A,0)),INDEX(Base!$V:$V,MATCH($A20,Base!$A:$A,0)),0)))</f>
        <v>6.9634369999999999</v>
      </c>
      <c r="CY20" s="21">
        <f>IF(CY$1&lt;INDEX('Valo FX'!$Q:$Q,MATCH($A20,'Valo FX'!$A:$A,0)),0,IF(CY$1&lt;INDEX('Valo FX'!$R:$R,MATCH($A20,'Valo FX'!$A:$A,0)),INDEX(Base!$U:$U,MATCH($A20,Base!$A:$A,0)),IF(CY$1=INDEX('Valo FX'!$R:$R,MATCH($A20,'Valo FX'!$A:$A,0)),INDEX(Base!$V:$V,MATCH($A20,Base!$A:$A,0)),0)))</f>
        <v>6.9634369999999999</v>
      </c>
      <c r="CZ20" s="21">
        <f>IF(CZ$1&lt;INDEX('Valo FX'!$Q:$Q,MATCH($A20,'Valo FX'!$A:$A,0)),0,IF(CZ$1&lt;INDEX('Valo FX'!$R:$R,MATCH($A20,'Valo FX'!$A:$A,0)),INDEX(Base!$U:$U,MATCH($A20,Base!$A:$A,0)),IF(CZ$1=INDEX('Valo FX'!$R:$R,MATCH($A20,'Valo FX'!$A:$A,0)),INDEX(Base!$V:$V,MATCH($A20,Base!$A:$A,0)),0)))</f>
        <v>6.9634369999999999</v>
      </c>
      <c r="DA20" s="21">
        <f>IF(DA$1&lt;INDEX('Valo FX'!$Q:$Q,MATCH($A20,'Valo FX'!$A:$A,0)),0,IF(DA$1&lt;INDEX('Valo FX'!$R:$R,MATCH($A20,'Valo FX'!$A:$A,0)),INDEX(Base!$U:$U,MATCH($A20,Base!$A:$A,0)),IF(DA$1=INDEX('Valo FX'!$R:$R,MATCH($A20,'Valo FX'!$A:$A,0)),INDEX(Base!$V:$V,MATCH($A20,Base!$A:$A,0)),0)))</f>
        <v>6.9634369999999999</v>
      </c>
      <c r="DB20" s="21">
        <f>IF(DB$1&lt;INDEX('Valo FX'!$Q:$Q,MATCH($A20,'Valo FX'!$A:$A,0)),0,IF(DB$1&lt;INDEX('Valo FX'!$R:$R,MATCH($A20,'Valo FX'!$A:$A,0)),INDEX(Base!$U:$U,MATCH($A20,Base!$A:$A,0)),IF(DB$1=INDEX('Valo FX'!$R:$R,MATCH($A20,'Valo FX'!$A:$A,0)),INDEX(Base!$V:$V,MATCH($A20,Base!$A:$A,0)),0)))</f>
        <v>6.9634369999999999</v>
      </c>
      <c r="DC20" s="21">
        <f>IF(DC$1&lt;INDEX('Valo FX'!$Q:$Q,MATCH($A20,'Valo FX'!$A:$A,0)),0,IF(DC$1&lt;INDEX('Valo FX'!$R:$R,MATCH($A20,'Valo FX'!$A:$A,0)),INDEX(Base!$U:$U,MATCH($A20,Base!$A:$A,0)),IF(DC$1=INDEX('Valo FX'!$R:$R,MATCH($A20,'Valo FX'!$A:$A,0)),INDEX(Base!$V:$V,MATCH($A20,Base!$A:$A,0)),0)))</f>
        <v>6.9634369999999999</v>
      </c>
      <c r="DD20" s="21">
        <f>IF(DD$1&lt;INDEX('Valo FX'!$Q:$Q,MATCH($A20,'Valo FX'!$A:$A,0)),0,IF(DD$1&lt;INDEX('Valo FX'!$R:$R,MATCH($A20,'Valo FX'!$A:$A,0)),INDEX(Base!$U:$U,MATCH($A20,Base!$A:$A,0)),IF(DD$1=INDEX('Valo FX'!$R:$R,MATCH($A20,'Valo FX'!$A:$A,0)),INDEX(Base!$V:$V,MATCH($A20,Base!$A:$A,0)),0)))</f>
        <v>6.9634369999999999</v>
      </c>
      <c r="DE20" s="21">
        <f>IF(DE$1&lt;INDEX('Valo FX'!$Q:$Q,MATCH($A20,'Valo FX'!$A:$A,0)),0,IF(DE$1&lt;INDEX('Valo FX'!$R:$R,MATCH($A20,'Valo FX'!$A:$A,0)),INDEX(Base!$U:$U,MATCH($A20,Base!$A:$A,0)),IF(DE$1=INDEX('Valo FX'!$R:$R,MATCH($A20,'Valo FX'!$A:$A,0)),INDEX(Base!$V:$V,MATCH($A20,Base!$A:$A,0)),0)))</f>
        <v>6.9634369999999999</v>
      </c>
      <c r="DF20" s="21">
        <f>IF(DF$1&lt;INDEX('Valo FX'!$Q:$Q,MATCH($A20,'Valo FX'!$A:$A,0)),0,IF(DF$1&lt;INDEX('Valo FX'!$R:$R,MATCH($A20,'Valo FX'!$A:$A,0)),INDEX(Base!$U:$U,MATCH($A20,Base!$A:$A,0)),IF(DF$1=INDEX('Valo FX'!$R:$R,MATCH($A20,'Valo FX'!$A:$A,0)),INDEX(Base!$V:$V,MATCH($A20,Base!$A:$A,0)),0)))</f>
        <v>6.9634369999999999</v>
      </c>
      <c r="DG20" s="21">
        <f>IF(DG$1&lt;INDEX('Valo FX'!$Q:$Q,MATCH($A20,'Valo FX'!$A:$A,0)),0,IF(DG$1&lt;INDEX('Valo FX'!$R:$R,MATCH($A20,'Valo FX'!$A:$A,0)),INDEX(Base!$U:$U,MATCH($A20,Base!$A:$A,0)),IF(DG$1=INDEX('Valo FX'!$R:$R,MATCH($A20,'Valo FX'!$A:$A,0)),INDEX(Base!$V:$V,MATCH($A20,Base!$A:$A,0)),0)))</f>
        <v>6.9634369999999999</v>
      </c>
      <c r="DH20" s="21">
        <f>IF(DH$1&lt;INDEX('Valo FX'!$Q:$Q,MATCH($A20,'Valo FX'!$A:$A,0)),0,IF(DH$1&lt;INDEX('Valo FX'!$R:$R,MATCH($A20,'Valo FX'!$A:$A,0)),INDEX(Base!$U:$U,MATCH($A20,Base!$A:$A,0)),IF(DH$1=INDEX('Valo FX'!$R:$R,MATCH($A20,'Valo FX'!$A:$A,0)),INDEX(Base!$V:$V,MATCH($A20,Base!$A:$A,0)),0)))</f>
        <v>6.9634369999999999</v>
      </c>
      <c r="DI20" s="21">
        <f>IF(DI$1&lt;INDEX('Valo FX'!$Q:$Q,MATCH($A20,'Valo FX'!$A:$A,0)),0,IF(DI$1&lt;INDEX('Valo FX'!$R:$R,MATCH($A20,'Valo FX'!$A:$A,0)),INDEX(Base!$U:$U,MATCH($A20,Base!$A:$A,0)),IF(DI$1=INDEX('Valo FX'!$R:$R,MATCH($A20,'Valo FX'!$A:$A,0)),INDEX(Base!$V:$V,MATCH($A20,Base!$A:$A,0)),0)))</f>
        <v>6.9634369999999999</v>
      </c>
      <c r="DJ20" s="21">
        <f>IF(DJ$1&lt;INDEX('Valo FX'!$Q:$Q,MATCH($A20,'Valo FX'!$A:$A,0)),0,IF(DJ$1&lt;INDEX('Valo FX'!$R:$R,MATCH($A20,'Valo FX'!$A:$A,0)),INDEX(Base!$U:$U,MATCH($A20,Base!$A:$A,0)),IF(DJ$1=INDEX('Valo FX'!$R:$R,MATCH($A20,'Valo FX'!$A:$A,0)),INDEX(Base!$V:$V,MATCH($A20,Base!$A:$A,0)),0)))</f>
        <v>6.9634369999999999</v>
      </c>
      <c r="DK20" s="21">
        <f>IF(DK$1&lt;INDEX('Valo FX'!$Q:$Q,MATCH($A20,'Valo FX'!$A:$A,0)),0,IF(DK$1&lt;INDEX('Valo FX'!$R:$R,MATCH($A20,'Valo FX'!$A:$A,0)),INDEX(Base!$U:$U,MATCH($A20,Base!$A:$A,0)),IF(DK$1=INDEX('Valo FX'!$R:$R,MATCH($A20,'Valo FX'!$A:$A,0)),INDEX(Base!$V:$V,MATCH($A20,Base!$A:$A,0)),0)))</f>
        <v>6.9634369999999999</v>
      </c>
      <c r="DL20" s="21">
        <f>IF(DL$1&lt;INDEX('Valo FX'!$Q:$Q,MATCH($A20,'Valo FX'!$A:$A,0)),0,IF(DL$1&lt;INDEX('Valo FX'!$R:$R,MATCH($A20,'Valo FX'!$A:$A,0)),INDEX(Base!$U:$U,MATCH($A20,Base!$A:$A,0)),IF(DL$1=INDEX('Valo FX'!$R:$R,MATCH($A20,'Valo FX'!$A:$A,0)),INDEX(Base!$V:$V,MATCH($A20,Base!$A:$A,0)),0)))</f>
        <v>6.9634369999999999</v>
      </c>
      <c r="DM20" s="21">
        <f>IF(DM$1&lt;INDEX('Valo FX'!$Q:$Q,MATCH($A20,'Valo FX'!$A:$A,0)),0,IF(DM$1&lt;INDEX('Valo FX'!$R:$R,MATCH($A20,'Valo FX'!$A:$A,0)),INDEX(Base!$U:$U,MATCH($A20,Base!$A:$A,0)),IF(DM$1=INDEX('Valo FX'!$R:$R,MATCH($A20,'Valo FX'!$A:$A,0)),INDEX(Base!$V:$V,MATCH($A20,Base!$A:$A,0)),0)))</f>
        <v>6.9634369999999999</v>
      </c>
      <c r="DN20" s="21">
        <f>IF(DN$1&lt;INDEX('Valo FX'!$Q:$Q,MATCH($A20,'Valo FX'!$A:$A,0)),0,IF(DN$1&lt;INDEX('Valo FX'!$R:$R,MATCH($A20,'Valo FX'!$A:$A,0)),INDEX(Base!$U:$U,MATCH($A20,Base!$A:$A,0)),IF(DN$1=INDEX('Valo FX'!$R:$R,MATCH($A20,'Valo FX'!$A:$A,0)),INDEX(Base!$V:$V,MATCH($A20,Base!$A:$A,0)),0)))</f>
        <v>6.9634369999999999</v>
      </c>
      <c r="DO20" s="21">
        <f>IF(DO$1&lt;INDEX('Valo FX'!$Q:$Q,MATCH($A20,'Valo FX'!$A:$A,0)),0,IF(DO$1&lt;INDEX('Valo FX'!$R:$R,MATCH($A20,'Valo FX'!$A:$A,0)),INDEX(Base!$U:$U,MATCH($A20,Base!$A:$A,0)),IF(DO$1=INDEX('Valo FX'!$R:$R,MATCH($A20,'Valo FX'!$A:$A,0)),INDEX(Base!$V:$V,MATCH($A20,Base!$A:$A,0)),0)))</f>
        <v>6.9634369999999999</v>
      </c>
      <c r="DP20" s="21">
        <f>IF(DP$1&lt;INDEX('Valo FX'!$Q:$Q,MATCH($A20,'Valo FX'!$A:$A,0)),0,IF(DP$1&lt;INDEX('Valo FX'!$R:$R,MATCH($A20,'Valo FX'!$A:$A,0)),INDEX(Base!$U:$U,MATCH($A20,Base!$A:$A,0)),IF(DP$1=INDEX('Valo FX'!$R:$R,MATCH($A20,'Valo FX'!$A:$A,0)),INDEX(Base!$V:$V,MATCH($A20,Base!$A:$A,0)),0)))</f>
        <v>6.9634369999999999</v>
      </c>
      <c r="DQ20" s="21">
        <f>IF(DQ$1&lt;INDEX('Valo FX'!$Q:$Q,MATCH($A20,'Valo FX'!$A:$A,0)),0,IF(DQ$1&lt;INDEX('Valo FX'!$R:$R,MATCH($A20,'Valo FX'!$A:$A,0)),INDEX(Base!$U:$U,MATCH($A20,Base!$A:$A,0)),IF(DQ$1=INDEX('Valo FX'!$R:$R,MATCH($A20,'Valo FX'!$A:$A,0)),INDEX(Base!$V:$V,MATCH($A20,Base!$A:$A,0)),0)))</f>
        <v>6.9634369999999999</v>
      </c>
      <c r="DR20" s="21">
        <f>IF(DR$1&lt;INDEX('Valo FX'!$Q:$Q,MATCH($A20,'Valo FX'!$A:$A,0)),0,IF(DR$1&lt;INDEX('Valo FX'!$R:$R,MATCH($A20,'Valo FX'!$A:$A,0)),INDEX(Base!$U:$U,MATCH($A20,Base!$A:$A,0)),IF(DR$1=INDEX('Valo FX'!$R:$R,MATCH($A20,'Valo FX'!$A:$A,0)),INDEX(Base!$V:$V,MATCH($A20,Base!$A:$A,0)),0)))</f>
        <v>6.9634369999999999</v>
      </c>
      <c r="DS20" s="21">
        <f>IF(DS$1&lt;INDEX('Valo FX'!$Q:$Q,MATCH($A20,'Valo FX'!$A:$A,0)),0,IF(DS$1&lt;INDEX('Valo FX'!$R:$R,MATCH($A20,'Valo FX'!$A:$A,0)),INDEX(Base!$U:$U,MATCH($A20,Base!$A:$A,0)),IF(DS$1=INDEX('Valo FX'!$R:$R,MATCH($A20,'Valo FX'!$A:$A,0)),INDEX(Base!$V:$V,MATCH($A20,Base!$A:$A,0)),0)))</f>
        <v>6.9634369999999999</v>
      </c>
      <c r="DT20" s="21">
        <f>IF(DT$1&lt;INDEX('Valo FX'!$Q:$Q,MATCH($A20,'Valo FX'!$A:$A,0)),0,IF(DT$1&lt;INDEX('Valo FX'!$R:$R,MATCH($A20,'Valo FX'!$A:$A,0)),INDEX(Base!$U:$U,MATCH($A20,Base!$A:$A,0)),IF(DT$1=INDEX('Valo FX'!$R:$R,MATCH($A20,'Valo FX'!$A:$A,0)),INDEX(Base!$V:$V,MATCH($A20,Base!$A:$A,0)),0)))</f>
        <v>6.9634369999999999</v>
      </c>
      <c r="DU20" s="21">
        <f>IF(DU$1&lt;INDEX('Valo FX'!$Q:$Q,MATCH($A20,'Valo FX'!$A:$A,0)),0,IF(DU$1&lt;INDEX('Valo FX'!$R:$R,MATCH($A20,'Valo FX'!$A:$A,0)),INDEX(Base!$U:$U,MATCH($A20,Base!$A:$A,0)),IF(DU$1=INDEX('Valo FX'!$R:$R,MATCH($A20,'Valo FX'!$A:$A,0)),INDEX(Base!$V:$V,MATCH($A20,Base!$A:$A,0)),0)))</f>
        <v>6.9634369999999999</v>
      </c>
      <c r="DV20" s="21">
        <f>IF(DV$1&lt;INDEX('Valo FX'!$Q:$Q,MATCH($A20,'Valo FX'!$A:$A,0)),0,IF(DV$1&lt;INDEX('Valo FX'!$R:$R,MATCH($A20,'Valo FX'!$A:$A,0)),INDEX(Base!$U:$U,MATCH($A20,Base!$A:$A,0)),IF(DV$1=INDEX('Valo FX'!$R:$R,MATCH($A20,'Valo FX'!$A:$A,0)),INDEX(Base!$V:$V,MATCH($A20,Base!$A:$A,0)),0)))</f>
        <v>6.9634369999999999</v>
      </c>
      <c r="DW20" s="21">
        <f>IF(DW$1&lt;INDEX('Valo FX'!$Q:$Q,MATCH($A20,'Valo FX'!$A:$A,0)),0,IF(DW$1&lt;INDEX('Valo FX'!$R:$R,MATCH($A20,'Valo FX'!$A:$A,0)),INDEX(Base!$U:$U,MATCH($A20,Base!$A:$A,0)),IF(DW$1=INDEX('Valo FX'!$R:$R,MATCH($A20,'Valo FX'!$A:$A,0)),INDEX(Base!$V:$V,MATCH($A20,Base!$A:$A,0)),0)))</f>
        <v>6.9634369999999999</v>
      </c>
      <c r="DX20" s="21">
        <f>IF(DX$1&lt;INDEX('Valo FX'!$Q:$Q,MATCH($A20,'Valo FX'!$A:$A,0)),0,IF(DX$1&lt;INDEX('Valo FX'!$R:$R,MATCH($A20,'Valo FX'!$A:$A,0)),INDEX(Base!$U:$U,MATCH($A20,Base!$A:$A,0)),IF(DX$1=INDEX('Valo FX'!$R:$R,MATCH($A20,'Valo FX'!$A:$A,0)),INDEX(Base!$V:$V,MATCH($A20,Base!$A:$A,0)),0)))</f>
        <v>6.9634369999999999</v>
      </c>
      <c r="DY20" s="21">
        <f>IF(DY$1&lt;INDEX('Valo FX'!$Q:$Q,MATCH($A20,'Valo FX'!$A:$A,0)),0,IF(DY$1&lt;INDEX('Valo FX'!$R:$R,MATCH($A20,'Valo FX'!$A:$A,0)),INDEX(Base!$U:$U,MATCH($A20,Base!$A:$A,0)),IF(DY$1=INDEX('Valo FX'!$R:$R,MATCH($A20,'Valo FX'!$A:$A,0)),INDEX(Base!$V:$V,MATCH($A20,Base!$A:$A,0)),0)))</f>
        <v>6.9634369999999999</v>
      </c>
      <c r="DZ20" s="21">
        <f>IF(DZ$1&lt;INDEX('Valo FX'!$Q:$Q,MATCH($A20,'Valo FX'!$A:$A,0)),0,IF(DZ$1&lt;INDEX('Valo FX'!$R:$R,MATCH($A20,'Valo FX'!$A:$A,0)),INDEX(Base!$U:$U,MATCH($A20,Base!$A:$A,0)),IF(DZ$1=INDEX('Valo FX'!$R:$R,MATCH($A20,'Valo FX'!$A:$A,0)),INDEX(Base!$V:$V,MATCH($A20,Base!$A:$A,0)),0)))</f>
        <v>6.9634369999999999</v>
      </c>
      <c r="EA20" s="21">
        <f>IF(EA$1&lt;INDEX('Valo FX'!$Q:$Q,MATCH($A20,'Valo FX'!$A:$A,0)),0,IF(EA$1&lt;INDEX('Valo FX'!$R:$R,MATCH($A20,'Valo FX'!$A:$A,0)),INDEX(Base!$U:$U,MATCH($A20,Base!$A:$A,0)),IF(EA$1=INDEX('Valo FX'!$R:$R,MATCH($A20,'Valo FX'!$A:$A,0)),INDEX(Base!$V:$V,MATCH($A20,Base!$A:$A,0)),0)))</f>
        <v>6.9634369999999999</v>
      </c>
      <c r="EB20" s="21">
        <f>IF(EB$1&lt;INDEX('Valo FX'!$Q:$Q,MATCH($A20,'Valo FX'!$A:$A,0)),0,IF(EB$1&lt;INDEX('Valo FX'!$R:$R,MATCH($A20,'Valo FX'!$A:$A,0)),INDEX(Base!$U:$U,MATCH($A20,Base!$A:$A,0)),IF(EB$1=INDEX('Valo FX'!$R:$R,MATCH($A20,'Valo FX'!$A:$A,0)),INDEX(Base!$V:$V,MATCH($A20,Base!$A:$A,0)),0)))</f>
        <v>6.9634369999999999</v>
      </c>
      <c r="EC20" s="21">
        <f>IF(EC$1&lt;INDEX('Valo FX'!$Q:$Q,MATCH($A20,'Valo FX'!$A:$A,0)),0,IF(EC$1&lt;INDEX('Valo FX'!$R:$R,MATCH($A20,'Valo FX'!$A:$A,0)),INDEX(Base!$U:$U,MATCH($A20,Base!$A:$A,0)),IF(EC$1=INDEX('Valo FX'!$R:$R,MATCH($A20,'Valo FX'!$A:$A,0)),INDEX(Base!$V:$V,MATCH($A20,Base!$A:$A,0)),0)))</f>
        <v>6.9634369999999999</v>
      </c>
      <c r="ED20" s="21">
        <f>IF(ED$1&lt;INDEX('Valo FX'!$Q:$Q,MATCH($A20,'Valo FX'!$A:$A,0)),0,IF(ED$1&lt;INDEX('Valo FX'!$R:$R,MATCH($A20,'Valo FX'!$A:$A,0)),INDEX(Base!$U:$U,MATCH($A20,Base!$A:$A,0)),IF(ED$1=INDEX('Valo FX'!$R:$R,MATCH($A20,'Valo FX'!$A:$A,0)),INDEX(Base!$V:$V,MATCH($A20,Base!$A:$A,0)),0)))</f>
        <v>6.9634369999999999</v>
      </c>
      <c r="EE20" s="21">
        <f>IF(EE$1&lt;INDEX('Valo FX'!$Q:$Q,MATCH($A20,'Valo FX'!$A:$A,0)),0,IF(EE$1&lt;INDEX('Valo FX'!$R:$R,MATCH($A20,'Valo FX'!$A:$A,0)),INDEX(Base!$U:$U,MATCH($A20,Base!$A:$A,0)),IF(EE$1=INDEX('Valo FX'!$R:$R,MATCH($A20,'Valo FX'!$A:$A,0)),INDEX(Base!$V:$V,MATCH($A20,Base!$A:$A,0)),0)))</f>
        <v>6.9634369999999999</v>
      </c>
      <c r="EF20" s="21">
        <f>IF(EF$1&lt;INDEX('Valo FX'!$Q:$Q,MATCH($A20,'Valo FX'!$A:$A,0)),0,IF(EF$1&lt;INDEX('Valo FX'!$R:$R,MATCH($A20,'Valo FX'!$A:$A,0)),INDEX(Base!$U:$U,MATCH($A20,Base!$A:$A,0)),IF(EF$1=INDEX('Valo FX'!$R:$R,MATCH($A20,'Valo FX'!$A:$A,0)),INDEX(Base!$V:$V,MATCH($A20,Base!$A:$A,0)),0)))</f>
        <v>6.9634369999999999</v>
      </c>
      <c r="EG20" s="21">
        <f>IF(EG$1&lt;INDEX('Valo FX'!$Q:$Q,MATCH($A20,'Valo FX'!$A:$A,0)),0,IF(EG$1&lt;INDEX('Valo FX'!$R:$R,MATCH($A20,'Valo FX'!$A:$A,0)),INDEX(Base!$U:$U,MATCH($A20,Base!$A:$A,0)),IF(EG$1=INDEX('Valo FX'!$R:$R,MATCH($A20,'Valo FX'!$A:$A,0)),INDEX(Base!$V:$V,MATCH($A20,Base!$A:$A,0)),0)))</f>
        <v>6.9634369999999999</v>
      </c>
      <c r="EH20" s="21">
        <f>IF(EH$1&lt;INDEX('Valo FX'!$Q:$Q,MATCH($A20,'Valo FX'!$A:$A,0)),0,IF(EH$1&lt;INDEX('Valo FX'!$R:$R,MATCH($A20,'Valo FX'!$A:$A,0)),INDEX(Base!$U:$U,MATCH($A20,Base!$A:$A,0)),IF(EH$1=INDEX('Valo FX'!$R:$R,MATCH($A20,'Valo FX'!$A:$A,0)),INDEX(Base!$V:$V,MATCH($A20,Base!$A:$A,0)),0)))</f>
        <v>6.9634369999999999</v>
      </c>
      <c r="EI20" s="21">
        <f>IF(EI$1&lt;INDEX('Valo FX'!$Q:$Q,MATCH($A20,'Valo FX'!$A:$A,0)),0,IF(EI$1&lt;INDEX('Valo FX'!$R:$R,MATCH($A20,'Valo FX'!$A:$A,0)),INDEX(Base!$U:$U,MATCH($A20,Base!$A:$A,0)),IF(EI$1=INDEX('Valo FX'!$R:$R,MATCH($A20,'Valo FX'!$A:$A,0)),INDEX(Base!$V:$V,MATCH($A20,Base!$A:$A,0)),0)))</f>
        <v>6.9634369999999999</v>
      </c>
      <c r="EJ20" s="21">
        <f>IF(EJ$1&lt;INDEX('Valo FX'!$Q:$Q,MATCH($A20,'Valo FX'!$A:$A,0)),0,IF(EJ$1&lt;INDEX('Valo FX'!$R:$R,MATCH($A20,'Valo FX'!$A:$A,0)),INDEX(Base!$U:$U,MATCH($A20,Base!$A:$A,0)),IF(EJ$1=INDEX('Valo FX'!$R:$R,MATCH($A20,'Valo FX'!$A:$A,0)),INDEX(Base!$V:$V,MATCH($A20,Base!$A:$A,0)),0)))</f>
        <v>6.9634369999999999</v>
      </c>
      <c r="EK20" s="21">
        <f>IF(EK$1&lt;INDEX('Valo FX'!$Q:$Q,MATCH($A20,'Valo FX'!$A:$A,0)),0,IF(EK$1&lt;INDEX('Valo FX'!$R:$R,MATCH($A20,'Valo FX'!$A:$A,0)),INDEX(Base!$U:$U,MATCH($A20,Base!$A:$A,0)),IF(EK$1=INDEX('Valo FX'!$R:$R,MATCH($A20,'Valo FX'!$A:$A,0)),INDEX(Base!$V:$V,MATCH($A20,Base!$A:$A,0)),0)))</f>
        <v>6.9634369999999999</v>
      </c>
      <c r="EL20" s="21">
        <f>IF(EL$1&lt;INDEX('Valo FX'!$Q:$Q,MATCH($A20,'Valo FX'!$A:$A,0)),0,IF(EL$1&lt;INDEX('Valo FX'!$R:$R,MATCH($A20,'Valo FX'!$A:$A,0)),INDEX(Base!$U:$U,MATCH($A20,Base!$A:$A,0)),IF(EL$1=INDEX('Valo FX'!$R:$R,MATCH($A20,'Valo FX'!$A:$A,0)),INDEX(Base!$V:$V,MATCH($A20,Base!$A:$A,0)),0)))</f>
        <v>6.9634369999999999</v>
      </c>
      <c r="EM20" s="21">
        <f>IF(EM$1&lt;INDEX('Valo FX'!$Q:$Q,MATCH($A20,'Valo FX'!$A:$A,0)),0,IF(EM$1&lt;INDEX('Valo FX'!$R:$R,MATCH($A20,'Valo FX'!$A:$A,0)),INDEX(Base!$U:$U,MATCH($A20,Base!$A:$A,0)),IF(EM$1=INDEX('Valo FX'!$R:$R,MATCH($A20,'Valo FX'!$A:$A,0)),INDEX(Base!$V:$V,MATCH($A20,Base!$A:$A,0)),0)))</f>
        <v>6.9634369999999999</v>
      </c>
      <c r="EN20" s="21">
        <f>IF(EN$1&lt;INDEX('Valo FX'!$Q:$Q,MATCH($A20,'Valo FX'!$A:$A,0)),0,IF(EN$1&lt;INDEX('Valo FX'!$R:$R,MATCH($A20,'Valo FX'!$A:$A,0)),INDEX(Base!$U:$U,MATCH($A20,Base!$A:$A,0)),IF(EN$1=INDEX('Valo FX'!$R:$R,MATCH($A20,'Valo FX'!$A:$A,0)),INDEX(Base!$V:$V,MATCH($A20,Base!$A:$A,0)),0)))</f>
        <v>6.9634369999999999</v>
      </c>
      <c r="EO20" s="21">
        <f>IF(EO$1&lt;INDEX('Valo FX'!$Q:$Q,MATCH($A20,'Valo FX'!$A:$A,0)),0,IF(EO$1&lt;INDEX('Valo FX'!$R:$R,MATCH($A20,'Valo FX'!$A:$A,0)),INDEX(Base!$U:$U,MATCH($A20,Base!$A:$A,0)),IF(EO$1=INDEX('Valo FX'!$R:$R,MATCH($A20,'Valo FX'!$A:$A,0)),INDEX(Base!$V:$V,MATCH($A20,Base!$A:$A,0)),0)))</f>
        <v>6.9634369999999999</v>
      </c>
      <c r="EP20" s="21">
        <f>IF(EP$1&lt;INDEX('Valo FX'!$Q:$Q,MATCH($A20,'Valo FX'!$A:$A,0)),0,IF(EP$1&lt;INDEX('Valo FX'!$R:$R,MATCH($A20,'Valo FX'!$A:$A,0)),INDEX(Base!$U:$U,MATCH($A20,Base!$A:$A,0)),IF(EP$1=INDEX('Valo FX'!$R:$R,MATCH($A20,'Valo FX'!$A:$A,0)),INDEX(Base!$V:$V,MATCH($A20,Base!$A:$A,0)),0)))</f>
        <v>6.9634369999999999</v>
      </c>
      <c r="EQ20" s="21">
        <f>IF(EQ$1&lt;INDEX('Valo FX'!$Q:$Q,MATCH($A20,'Valo FX'!$A:$A,0)),0,IF(EQ$1&lt;INDEX('Valo FX'!$R:$R,MATCH($A20,'Valo FX'!$A:$A,0)),INDEX(Base!$U:$U,MATCH($A20,Base!$A:$A,0)),IF(EQ$1=INDEX('Valo FX'!$R:$R,MATCH($A20,'Valo FX'!$A:$A,0)),INDEX(Base!$V:$V,MATCH($A20,Base!$A:$A,0)),0)))</f>
        <v>6.9634369999999999</v>
      </c>
      <c r="ER20" s="21">
        <f>IF(ER$1&lt;INDEX('Valo FX'!$Q:$Q,MATCH($A20,'Valo FX'!$A:$A,0)),0,IF(ER$1&lt;INDEX('Valo FX'!$R:$R,MATCH($A20,'Valo FX'!$A:$A,0)),INDEX(Base!$U:$U,MATCH($A20,Base!$A:$A,0)),IF(ER$1=INDEX('Valo FX'!$R:$R,MATCH($A20,'Valo FX'!$A:$A,0)),INDEX(Base!$V:$V,MATCH($A20,Base!$A:$A,0)),0)))</f>
        <v>6.9634369999999999</v>
      </c>
      <c r="ES20" s="21">
        <f>IF(ES$1&lt;INDEX('Valo FX'!$Q:$Q,MATCH($A20,'Valo FX'!$A:$A,0)),0,IF(ES$1&lt;INDEX('Valo FX'!$R:$R,MATCH($A20,'Valo FX'!$A:$A,0)),INDEX(Base!$U:$U,MATCH($A20,Base!$A:$A,0)),IF(ES$1=INDEX('Valo FX'!$R:$R,MATCH($A20,'Valo FX'!$A:$A,0)),INDEX(Base!$V:$V,MATCH($A20,Base!$A:$A,0)),0)))</f>
        <v>6.9634369999999999</v>
      </c>
      <c r="ET20" s="21">
        <f>IF(ET$1&lt;INDEX('Valo FX'!$Q:$Q,MATCH($A20,'Valo FX'!$A:$A,0)),0,IF(ET$1&lt;INDEX('Valo FX'!$R:$R,MATCH($A20,'Valo FX'!$A:$A,0)),INDEX(Base!$U:$U,MATCH($A20,Base!$A:$A,0)),IF(ET$1=INDEX('Valo FX'!$R:$R,MATCH($A20,'Valo FX'!$A:$A,0)),INDEX(Base!$V:$V,MATCH($A20,Base!$A:$A,0)),0)))</f>
        <v>6.9634369999999999</v>
      </c>
      <c r="EU20" s="21">
        <f>IF(EU$1&lt;INDEX('Valo FX'!$Q:$Q,MATCH($A20,'Valo FX'!$A:$A,0)),0,IF(EU$1&lt;INDEX('Valo FX'!$R:$R,MATCH($A20,'Valo FX'!$A:$A,0)),INDEX(Base!$U:$U,MATCH($A20,Base!$A:$A,0)),IF(EU$1=INDEX('Valo FX'!$R:$R,MATCH($A20,'Valo FX'!$A:$A,0)),INDEX(Base!$V:$V,MATCH($A20,Base!$A:$A,0)),0)))</f>
        <v>6.9634369999999999</v>
      </c>
      <c r="EV20" s="21">
        <f>IF(EV$1&lt;INDEX('Valo FX'!$Q:$Q,MATCH($A20,'Valo FX'!$A:$A,0)),0,IF(EV$1&lt;INDEX('Valo FX'!$R:$R,MATCH($A20,'Valo FX'!$A:$A,0)),INDEX(Base!$U:$U,MATCH($A20,Base!$A:$A,0)),IF(EV$1=INDEX('Valo FX'!$R:$R,MATCH($A20,'Valo FX'!$A:$A,0)),INDEX(Base!$V:$V,MATCH($A20,Base!$A:$A,0)),0)))</f>
        <v>6.9634369999999999</v>
      </c>
      <c r="EW20" s="21">
        <f>IF(EW$1&lt;INDEX('Valo FX'!$Q:$Q,MATCH($A20,'Valo FX'!$A:$A,0)),0,IF(EW$1&lt;INDEX('Valo FX'!$R:$R,MATCH($A20,'Valo FX'!$A:$A,0)),INDEX(Base!$U:$U,MATCH($A20,Base!$A:$A,0)),IF(EW$1=INDEX('Valo FX'!$R:$R,MATCH($A20,'Valo FX'!$A:$A,0)),INDEX(Base!$V:$V,MATCH($A20,Base!$A:$A,0)),0)))</f>
        <v>6.9634369999999999</v>
      </c>
      <c r="EX20" s="21">
        <f>IF(EX$1&lt;INDEX('Valo FX'!$Q:$Q,MATCH($A20,'Valo FX'!$A:$A,0)),0,IF(EX$1&lt;INDEX('Valo FX'!$R:$R,MATCH($A20,'Valo FX'!$A:$A,0)),INDEX(Base!$U:$U,MATCH($A20,Base!$A:$A,0)),IF(EX$1=INDEX('Valo FX'!$R:$R,MATCH($A20,'Valo FX'!$A:$A,0)),INDEX(Base!$V:$V,MATCH($A20,Base!$A:$A,0)),0)))</f>
        <v>6.9634369999999999</v>
      </c>
      <c r="EY20" s="21">
        <f>IF(EY$1&lt;INDEX('Valo FX'!$Q:$Q,MATCH($A20,'Valo FX'!$A:$A,0)),0,IF(EY$1&lt;INDEX('Valo FX'!$R:$R,MATCH($A20,'Valo FX'!$A:$A,0)),INDEX(Base!$U:$U,MATCH($A20,Base!$A:$A,0)),IF(EY$1=INDEX('Valo FX'!$R:$R,MATCH($A20,'Valo FX'!$A:$A,0)),INDEX(Base!$V:$V,MATCH($A20,Base!$A:$A,0)),0)))</f>
        <v>6.9634369999999999</v>
      </c>
      <c r="EZ20" s="21">
        <f>IF(EZ$1&lt;INDEX('Valo FX'!$Q:$Q,MATCH($A20,'Valo FX'!$A:$A,0)),0,IF(EZ$1&lt;INDEX('Valo FX'!$R:$R,MATCH($A20,'Valo FX'!$A:$A,0)),INDEX(Base!$U:$U,MATCH($A20,Base!$A:$A,0)),IF(EZ$1=INDEX('Valo FX'!$R:$R,MATCH($A20,'Valo FX'!$A:$A,0)),INDEX(Base!$V:$V,MATCH($A20,Base!$A:$A,0)),0)))</f>
        <v>6.9634369999999999</v>
      </c>
      <c r="FA20" s="21">
        <f>IF(FA$1&lt;INDEX('Valo FX'!$Q:$Q,MATCH($A20,'Valo FX'!$A:$A,0)),0,IF(FA$1&lt;INDEX('Valo FX'!$R:$R,MATCH($A20,'Valo FX'!$A:$A,0)),INDEX(Base!$U:$U,MATCH($A20,Base!$A:$A,0)),IF(FA$1=INDEX('Valo FX'!$R:$R,MATCH($A20,'Valo FX'!$A:$A,0)),INDEX(Base!$V:$V,MATCH($A20,Base!$A:$A,0)),0)))</f>
        <v>6.9634369999999999</v>
      </c>
      <c r="FB20" s="21">
        <f>IF(FB$1&lt;INDEX('Valo FX'!$Q:$Q,MATCH($A20,'Valo FX'!$A:$A,0)),0,IF(FB$1&lt;INDEX('Valo FX'!$R:$R,MATCH($A20,'Valo FX'!$A:$A,0)),INDEX(Base!$U:$U,MATCH($A20,Base!$A:$A,0)),IF(FB$1=INDEX('Valo FX'!$R:$R,MATCH($A20,'Valo FX'!$A:$A,0)),INDEX(Base!$V:$V,MATCH($A20,Base!$A:$A,0)),0)))</f>
        <v>6.9634369999999999</v>
      </c>
      <c r="FC20" s="21">
        <f>IF(FC$1&lt;INDEX('Valo FX'!$Q:$Q,MATCH($A20,'Valo FX'!$A:$A,0)),0,IF(FC$1&lt;INDEX('Valo FX'!$R:$R,MATCH($A20,'Valo FX'!$A:$A,0)),INDEX(Base!$U:$U,MATCH($A20,Base!$A:$A,0)),IF(FC$1=INDEX('Valo FX'!$R:$R,MATCH($A20,'Valo FX'!$A:$A,0)),INDEX(Base!$V:$V,MATCH($A20,Base!$A:$A,0)),0)))</f>
        <v>6.9634369999999999</v>
      </c>
      <c r="FD20" s="21">
        <f>IF(FD$1&lt;INDEX('Valo FX'!$Q:$Q,MATCH($A20,'Valo FX'!$A:$A,0)),0,IF(FD$1&lt;INDEX('Valo FX'!$R:$R,MATCH($A20,'Valo FX'!$A:$A,0)),INDEX(Base!$U:$U,MATCH($A20,Base!$A:$A,0)),IF(FD$1=INDEX('Valo FX'!$R:$R,MATCH($A20,'Valo FX'!$A:$A,0)),INDEX(Base!$V:$V,MATCH($A20,Base!$A:$A,0)),0)))</f>
        <v>6.9634369999999999</v>
      </c>
      <c r="FE20" s="21">
        <f>IF(FE$1&lt;INDEX('Valo FX'!$Q:$Q,MATCH($A20,'Valo FX'!$A:$A,0)),0,IF(FE$1&lt;INDEX('Valo FX'!$R:$R,MATCH($A20,'Valo FX'!$A:$A,0)),INDEX(Base!$U:$U,MATCH($A20,Base!$A:$A,0)),IF(FE$1=INDEX('Valo FX'!$R:$R,MATCH($A20,'Valo FX'!$A:$A,0)),INDEX(Base!$V:$V,MATCH($A20,Base!$A:$A,0)),0)))</f>
        <v>6.9634369999999999</v>
      </c>
      <c r="FF20" s="21">
        <f>IF(FF$1&lt;INDEX('Valo FX'!$Q:$Q,MATCH($A20,'Valo FX'!$A:$A,0)),0,IF(FF$1&lt;INDEX('Valo FX'!$R:$R,MATCH($A20,'Valo FX'!$A:$A,0)),INDEX(Base!$U:$U,MATCH($A20,Base!$A:$A,0)),IF(FF$1=INDEX('Valo FX'!$R:$R,MATCH($A20,'Valo FX'!$A:$A,0)),INDEX(Base!$V:$V,MATCH($A20,Base!$A:$A,0)),0)))</f>
        <v>6.9634369999999999</v>
      </c>
      <c r="FG20" s="21">
        <f>IF(FG$1&lt;INDEX('Valo FX'!$Q:$Q,MATCH($A20,'Valo FX'!$A:$A,0)),0,IF(FG$1&lt;INDEX('Valo FX'!$R:$R,MATCH($A20,'Valo FX'!$A:$A,0)),INDEX(Base!$U:$U,MATCH($A20,Base!$A:$A,0)),IF(FG$1=INDEX('Valo FX'!$R:$R,MATCH($A20,'Valo FX'!$A:$A,0)),INDEX(Base!$V:$V,MATCH($A20,Base!$A:$A,0)),0)))</f>
        <v>6.9634369999999999</v>
      </c>
      <c r="FH20" s="21">
        <f>IF(FH$1&lt;INDEX('Valo FX'!$Q:$Q,MATCH($A20,'Valo FX'!$A:$A,0)),0,IF(FH$1&lt;INDEX('Valo FX'!$R:$R,MATCH($A20,'Valo FX'!$A:$A,0)),INDEX(Base!$U:$U,MATCH($A20,Base!$A:$A,0)),IF(FH$1=INDEX('Valo FX'!$R:$R,MATCH($A20,'Valo FX'!$A:$A,0)),INDEX(Base!$V:$V,MATCH($A20,Base!$A:$A,0)),0)))</f>
        <v>6.9634369999999999</v>
      </c>
      <c r="FI20" s="21">
        <f>IF(FI$1&lt;INDEX('Valo FX'!$Q:$Q,MATCH($A20,'Valo FX'!$A:$A,0)),0,IF(FI$1&lt;INDEX('Valo FX'!$R:$R,MATCH($A20,'Valo FX'!$A:$A,0)),INDEX(Base!$U:$U,MATCH($A20,Base!$A:$A,0)),IF(FI$1=INDEX('Valo FX'!$R:$R,MATCH($A20,'Valo FX'!$A:$A,0)),INDEX(Base!$V:$V,MATCH($A20,Base!$A:$A,0)),0)))</f>
        <v>6.9634369999999999</v>
      </c>
      <c r="FJ20" s="21">
        <f>IF(FJ$1&lt;INDEX('Valo FX'!$Q:$Q,MATCH($A20,'Valo FX'!$A:$A,0)),0,IF(FJ$1&lt;INDEX('Valo FX'!$R:$R,MATCH($A20,'Valo FX'!$A:$A,0)),INDEX(Base!$U:$U,MATCH($A20,Base!$A:$A,0)),IF(FJ$1=INDEX('Valo FX'!$R:$R,MATCH($A20,'Valo FX'!$A:$A,0)),INDEX(Base!$V:$V,MATCH($A20,Base!$A:$A,0)),0)))</f>
        <v>6.9634369999999999</v>
      </c>
      <c r="FK20" s="21">
        <f>IF(FK$1&lt;INDEX('Valo FX'!$Q:$Q,MATCH($A20,'Valo FX'!$A:$A,0)),0,IF(FK$1&lt;INDEX('Valo FX'!$R:$R,MATCH($A20,'Valo FX'!$A:$A,0)),INDEX(Base!$U:$U,MATCH($A20,Base!$A:$A,0)),IF(FK$1=INDEX('Valo FX'!$R:$R,MATCH($A20,'Valo FX'!$A:$A,0)),INDEX(Base!$V:$V,MATCH($A20,Base!$A:$A,0)),0)))</f>
        <v>6.9634369999999999</v>
      </c>
      <c r="FL20" s="21">
        <f>IF(FL$1&lt;INDEX('Valo FX'!$Q:$Q,MATCH($A20,'Valo FX'!$A:$A,0)),0,IF(FL$1&lt;INDEX('Valo FX'!$R:$R,MATCH($A20,'Valo FX'!$A:$A,0)),INDEX(Base!$U:$U,MATCH($A20,Base!$A:$A,0)),IF(FL$1=INDEX('Valo FX'!$R:$R,MATCH($A20,'Valo FX'!$A:$A,0)),INDEX(Base!$V:$V,MATCH($A20,Base!$A:$A,0)),0)))</f>
        <v>6.9634369999999999</v>
      </c>
      <c r="FM20" s="21">
        <f>IF(FM$1&lt;INDEX('Valo FX'!$Q:$Q,MATCH($A20,'Valo FX'!$A:$A,0)),0,IF(FM$1&lt;INDEX('Valo FX'!$R:$R,MATCH($A20,'Valo FX'!$A:$A,0)),INDEX(Base!$U:$U,MATCH($A20,Base!$A:$A,0)),IF(FM$1=INDEX('Valo FX'!$R:$R,MATCH($A20,'Valo FX'!$A:$A,0)),INDEX(Base!$V:$V,MATCH($A20,Base!$A:$A,0)),0)))</f>
        <v>6.9634369999999999</v>
      </c>
      <c r="FN20" s="21">
        <f>IF(FN$1&lt;INDEX('Valo FX'!$Q:$Q,MATCH($A20,'Valo FX'!$A:$A,0)),0,IF(FN$1&lt;INDEX('Valo FX'!$R:$R,MATCH($A20,'Valo FX'!$A:$A,0)),INDEX(Base!$U:$U,MATCH($A20,Base!$A:$A,0)),IF(FN$1=INDEX('Valo FX'!$R:$R,MATCH($A20,'Valo FX'!$A:$A,0)),INDEX(Base!$V:$V,MATCH($A20,Base!$A:$A,0)),0)))</f>
        <v>6.9634369999999999</v>
      </c>
      <c r="FO20" s="21">
        <f>IF(FO$1&lt;INDEX('Valo FX'!$Q:$Q,MATCH($A20,'Valo FX'!$A:$A,0)),0,IF(FO$1&lt;INDEX('Valo FX'!$R:$R,MATCH($A20,'Valo FX'!$A:$A,0)),INDEX(Base!$U:$U,MATCH($A20,Base!$A:$A,0)),IF(FO$1=INDEX('Valo FX'!$R:$R,MATCH($A20,'Valo FX'!$A:$A,0)),INDEX(Base!$V:$V,MATCH($A20,Base!$A:$A,0)),0)))</f>
        <v>6.9634369999999999</v>
      </c>
      <c r="FP20" s="21">
        <f>IF(FP$1&lt;INDEX('Valo FX'!$Q:$Q,MATCH($A20,'Valo FX'!$A:$A,0)),0,IF(FP$1&lt;INDEX('Valo FX'!$R:$R,MATCH($A20,'Valo FX'!$A:$A,0)),INDEX(Base!$U:$U,MATCH($A20,Base!$A:$A,0)),IF(FP$1=INDEX('Valo FX'!$R:$R,MATCH($A20,'Valo FX'!$A:$A,0)),INDEX(Base!$V:$V,MATCH($A20,Base!$A:$A,0)),0)))</f>
        <v>6.9634369999999999</v>
      </c>
      <c r="FQ20" s="21">
        <f>IF(FQ$1&lt;INDEX('Valo FX'!$Q:$Q,MATCH($A20,'Valo FX'!$A:$A,0)),0,IF(FQ$1&lt;INDEX('Valo FX'!$R:$R,MATCH($A20,'Valo FX'!$A:$A,0)),INDEX(Base!$U:$U,MATCH($A20,Base!$A:$A,0)),IF(FQ$1=INDEX('Valo FX'!$R:$R,MATCH($A20,'Valo FX'!$A:$A,0)),INDEX(Base!$V:$V,MATCH($A20,Base!$A:$A,0)),0)))</f>
        <v>6.9634369999999999</v>
      </c>
      <c r="FR20" s="21">
        <f>IF(FR$1&lt;INDEX('Valo FX'!$Q:$Q,MATCH($A20,'Valo FX'!$A:$A,0)),0,IF(FR$1&lt;INDEX('Valo FX'!$R:$R,MATCH($A20,'Valo FX'!$A:$A,0)),INDEX(Base!$U:$U,MATCH($A20,Base!$A:$A,0)),IF(FR$1=INDEX('Valo FX'!$R:$R,MATCH($A20,'Valo FX'!$A:$A,0)),INDEX(Base!$V:$V,MATCH($A20,Base!$A:$A,0)),0)))</f>
        <v>6.9634369999999999</v>
      </c>
      <c r="FS20" s="21">
        <f>IF(FS$1&lt;INDEX('Valo FX'!$Q:$Q,MATCH($A20,'Valo FX'!$A:$A,0)),0,IF(FS$1&lt;INDEX('Valo FX'!$R:$R,MATCH($A20,'Valo FX'!$A:$A,0)),INDEX(Base!$U:$U,MATCH($A20,Base!$A:$A,0)),IF(FS$1=INDEX('Valo FX'!$R:$R,MATCH($A20,'Valo FX'!$A:$A,0)),INDEX(Base!$V:$V,MATCH($A20,Base!$A:$A,0)),0)))</f>
        <v>6.9634369999999999</v>
      </c>
      <c r="FT20" s="21">
        <f>IF(FT$1&lt;INDEX('Valo FX'!$Q:$Q,MATCH($A20,'Valo FX'!$A:$A,0)),0,IF(FT$1&lt;INDEX('Valo FX'!$R:$R,MATCH($A20,'Valo FX'!$A:$A,0)),INDEX(Base!$U:$U,MATCH($A20,Base!$A:$A,0)),IF(FT$1=INDEX('Valo FX'!$R:$R,MATCH($A20,'Valo FX'!$A:$A,0)),INDEX(Base!$V:$V,MATCH($A20,Base!$A:$A,0)),0)))</f>
        <v>6.9634369999999999</v>
      </c>
      <c r="FU20" s="21">
        <f>IF(FU$1&lt;INDEX('Valo FX'!$Q:$Q,MATCH($A20,'Valo FX'!$A:$A,0)),0,IF(FU$1&lt;INDEX('Valo FX'!$R:$R,MATCH($A20,'Valo FX'!$A:$A,0)),INDEX(Base!$U:$U,MATCH($A20,Base!$A:$A,0)),IF(FU$1=INDEX('Valo FX'!$R:$R,MATCH($A20,'Valo FX'!$A:$A,0)),INDEX(Base!$V:$V,MATCH($A20,Base!$A:$A,0)),0)))</f>
        <v>6.9634369999999999</v>
      </c>
      <c r="FV20" s="21">
        <f>IF(FV$1&lt;INDEX('Valo FX'!$Q:$Q,MATCH($A20,'Valo FX'!$A:$A,0)),0,IF(FV$1&lt;INDEX('Valo FX'!$R:$R,MATCH($A20,'Valo FX'!$A:$A,0)),INDEX(Base!$U:$U,MATCH($A20,Base!$A:$A,0)),IF(FV$1=INDEX('Valo FX'!$R:$R,MATCH($A20,'Valo FX'!$A:$A,0)),INDEX(Base!$V:$V,MATCH($A20,Base!$A:$A,0)),0)))</f>
        <v>6.9634369999999999</v>
      </c>
      <c r="FW20" s="21">
        <f>IF(FW$1&lt;INDEX('Valo FX'!$Q:$Q,MATCH($A20,'Valo FX'!$A:$A,0)),0,IF(FW$1&lt;INDEX('Valo FX'!$R:$R,MATCH($A20,'Valo FX'!$A:$A,0)),INDEX(Base!$U:$U,MATCH($A20,Base!$A:$A,0)),IF(FW$1=INDEX('Valo FX'!$R:$R,MATCH($A20,'Valo FX'!$A:$A,0)),INDEX(Base!$V:$V,MATCH($A20,Base!$A:$A,0)),0)))</f>
        <v>6.9634369999999999</v>
      </c>
      <c r="FX20" s="21">
        <f>IF(FX$1&lt;INDEX('Valo FX'!$Q:$Q,MATCH($A20,'Valo FX'!$A:$A,0)),0,IF(FX$1&lt;INDEX('Valo FX'!$R:$R,MATCH($A20,'Valo FX'!$A:$A,0)),INDEX(Base!$U:$U,MATCH($A20,Base!$A:$A,0)),IF(FX$1=INDEX('Valo FX'!$R:$R,MATCH($A20,'Valo FX'!$A:$A,0)),INDEX(Base!$V:$V,MATCH($A20,Base!$A:$A,0)),0)))</f>
        <v>6.9634369999999999</v>
      </c>
      <c r="FY20" s="21">
        <f>IF(FY$1&lt;INDEX('Valo FX'!$Q:$Q,MATCH($A20,'Valo FX'!$A:$A,0)),0,IF(FY$1&lt;INDEX('Valo FX'!$R:$R,MATCH($A20,'Valo FX'!$A:$A,0)),INDEX(Base!$U:$U,MATCH($A20,Base!$A:$A,0)),IF(FY$1=INDEX('Valo FX'!$R:$R,MATCH($A20,'Valo FX'!$A:$A,0)),INDEX(Base!$V:$V,MATCH($A20,Base!$A:$A,0)),0)))</f>
        <v>6.9634369999999999</v>
      </c>
      <c r="FZ20" s="21">
        <f>IF(FZ$1&lt;INDEX('Valo FX'!$Q:$Q,MATCH($A20,'Valo FX'!$A:$A,0)),0,IF(FZ$1&lt;INDEX('Valo FX'!$R:$R,MATCH($A20,'Valo FX'!$A:$A,0)),INDEX(Base!$U:$U,MATCH($A20,Base!$A:$A,0)),IF(FZ$1=INDEX('Valo FX'!$R:$R,MATCH($A20,'Valo FX'!$A:$A,0)),INDEX(Base!$V:$V,MATCH($A20,Base!$A:$A,0)),0)))</f>
        <v>6.9634369999999999</v>
      </c>
      <c r="GA20" s="21">
        <f>IF(GA$1&lt;INDEX('Valo FX'!$Q:$Q,MATCH($A20,'Valo FX'!$A:$A,0)),0,IF(GA$1&lt;INDEX('Valo FX'!$R:$R,MATCH($A20,'Valo FX'!$A:$A,0)),INDEX(Base!$U:$U,MATCH($A20,Base!$A:$A,0)),IF(GA$1=INDEX('Valo FX'!$R:$R,MATCH($A20,'Valo FX'!$A:$A,0)),INDEX(Base!$V:$V,MATCH($A20,Base!$A:$A,0)),0)))</f>
        <v>6.9634369999999999</v>
      </c>
      <c r="GB20" s="21">
        <f>IF(GB$1&lt;INDEX('Valo FX'!$Q:$Q,MATCH($A20,'Valo FX'!$A:$A,0)),0,IF(GB$1&lt;INDEX('Valo FX'!$R:$R,MATCH($A20,'Valo FX'!$A:$A,0)),INDEX(Base!$U:$U,MATCH($A20,Base!$A:$A,0)),IF(GB$1=INDEX('Valo FX'!$R:$R,MATCH($A20,'Valo FX'!$A:$A,0)),INDEX(Base!$V:$V,MATCH($A20,Base!$A:$A,0)),0)))</f>
        <v>6.9634369999999999</v>
      </c>
      <c r="GC20" s="21">
        <f>IF(GC$1&lt;INDEX('Valo FX'!$Q:$Q,MATCH($A20,'Valo FX'!$A:$A,0)),0,IF(GC$1&lt;INDEX('Valo FX'!$R:$R,MATCH($A20,'Valo FX'!$A:$A,0)),INDEX(Base!$U:$U,MATCH($A20,Base!$A:$A,0)),IF(GC$1=INDEX('Valo FX'!$R:$R,MATCH($A20,'Valo FX'!$A:$A,0)),INDEX(Base!$V:$V,MATCH($A20,Base!$A:$A,0)),0)))</f>
        <v>6.9634369999999999</v>
      </c>
      <c r="GD20" s="21">
        <f>IF(GD$1&lt;INDEX('Valo FX'!$Q:$Q,MATCH($A20,'Valo FX'!$A:$A,0)),0,IF(GD$1&lt;INDEX('Valo FX'!$R:$R,MATCH($A20,'Valo FX'!$A:$A,0)),INDEX(Base!$U:$U,MATCH($A20,Base!$A:$A,0)),IF(GD$1=INDEX('Valo FX'!$R:$R,MATCH($A20,'Valo FX'!$A:$A,0)),INDEX(Base!$V:$V,MATCH($A20,Base!$A:$A,0)),0)))</f>
        <v>6.9634369999999999</v>
      </c>
      <c r="GE20" s="21">
        <f>IF(GE$1&lt;INDEX('Valo FX'!$Q:$Q,MATCH($A20,'Valo FX'!$A:$A,0)),0,IF(GE$1&lt;INDEX('Valo FX'!$R:$R,MATCH($A20,'Valo FX'!$A:$A,0)),INDEX(Base!$U:$U,MATCH($A20,Base!$A:$A,0)),IF(GE$1=INDEX('Valo FX'!$R:$R,MATCH($A20,'Valo FX'!$A:$A,0)),INDEX(Base!$V:$V,MATCH($A20,Base!$A:$A,0)),0)))</f>
        <v>6.9634369999999999</v>
      </c>
      <c r="GF20" s="21">
        <f>IF(GF$1&lt;INDEX('Valo FX'!$Q:$Q,MATCH($A20,'Valo FX'!$A:$A,0)),0,IF(GF$1&lt;INDEX('Valo FX'!$R:$R,MATCH($A20,'Valo FX'!$A:$A,0)),INDEX(Base!$U:$U,MATCH($A20,Base!$A:$A,0)),IF(GF$1=INDEX('Valo FX'!$R:$R,MATCH($A20,'Valo FX'!$A:$A,0)),INDEX(Base!$V:$V,MATCH($A20,Base!$A:$A,0)),0)))</f>
        <v>6.9634369999999999</v>
      </c>
      <c r="GG20" s="21">
        <f>IF(GG$1&lt;INDEX('Valo FX'!$Q:$Q,MATCH($A20,'Valo FX'!$A:$A,0)),0,IF(GG$1&lt;INDEX('Valo FX'!$R:$R,MATCH($A20,'Valo FX'!$A:$A,0)),INDEX(Base!$U:$U,MATCH($A20,Base!$A:$A,0)),IF(GG$1=INDEX('Valo FX'!$R:$R,MATCH($A20,'Valo FX'!$A:$A,0)),INDEX(Base!$V:$V,MATCH($A20,Base!$A:$A,0)),0)))</f>
        <v>6.9634369999999999</v>
      </c>
      <c r="GH20" s="21">
        <f>IF(GH$1&lt;INDEX('Valo FX'!$Q:$Q,MATCH($A20,'Valo FX'!$A:$A,0)),0,IF(GH$1&lt;INDEX('Valo FX'!$R:$R,MATCH($A20,'Valo FX'!$A:$A,0)),INDEX(Base!$U:$U,MATCH($A20,Base!$A:$A,0)),IF(GH$1=INDEX('Valo FX'!$R:$R,MATCH($A20,'Valo FX'!$A:$A,0)),INDEX(Base!$V:$V,MATCH($A20,Base!$A:$A,0)),0)))</f>
        <v>6.9634369999999999</v>
      </c>
      <c r="GI20" s="21">
        <f>IF(GI$1&lt;INDEX('Valo FX'!$Q:$Q,MATCH($A20,'Valo FX'!$A:$A,0)),0,IF(GI$1&lt;INDEX('Valo FX'!$R:$R,MATCH($A20,'Valo FX'!$A:$A,0)),INDEX(Base!$U:$U,MATCH($A20,Base!$A:$A,0)),IF(GI$1=INDEX('Valo FX'!$R:$R,MATCH($A20,'Valo FX'!$A:$A,0)),INDEX(Base!$V:$V,MATCH($A20,Base!$A:$A,0)),0)))</f>
        <v>6.9634369999999999</v>
      </c>
      <c r="GJ20" s="21">
        <f>IF(GJ$1&lt;INDEX('Valo FX'!$Q:$Q,MATCH($A20,'Valo FX'!$A:$A,0)),0,IF(GJ$1&lt;INDEX('Valo FX'!$R:$R,MATCH($A20,'Valo FX'!$A:$A,0)),INDEX(Base!$U:$U,MATCH($A20,Base!$A:$A,0)),IF(GJ$1=INDEX('Valo FX'!$R:$R,MATCH($A20,'Valo FX'!$A:$A,0)),INDEX(Base!$V:$V,MATCH($A20,Base!$A:$A,0)),0)))</f>
        <v>6.9634369999999999</v>
      </c>
      <c r="GK20" s="21">
        <f>IF(GK$1&lt;INDEX('Valo FX'!$Q:$Q,MATCH($A20,'Valo FX'!$A:$A,0)),0,IF(GK$1&lt;INDEX('Valo FX'!$R:$R,MATCH($A20,'Valo FX'!$A:$A,0)),INDEX(Base!$U:$U,MATCH($A20,Base!$A:$A,0)),IF(GK$1=INDEX('Valo FX'!$R:$R,MATCH($A20,'Valo FX'!$A:$A,0)),INDEX(Base!$V:$V,MATCH($A20,Base!$A:$A,0)),0)))</f>
        <v>6.9634369999999999</v>
      </c>
      <c r="GL20" s="21">
        <f>IF(GL$1&lt;INDEX('Valo FX'!$Q:$Q,MATCH($A20,'Valo FX'!$A:$A,0)),0,IF(GL$1&lt;INDEX('Valo FX'!$R:$R,MATCH($A20,'Valo FX'!$A:$A,0)),INDEX(Base!$U:$U,MATCH($A20,Base!$A:$A,0)),IF(GL$1=INDEX('Valo FX'!$R:$R,MATCH($A20,'Valo FX'!$A:$A,0)),INDEX(Base!$V:$V,MATCH($A20,Base!$A:$A,0)),0)))</f>
        <v>6.9634369999999999</v>
      </c>
      <c r="GM20" s="21">
        <f>IF(GM$1&lt;INDEX('Valo FX'!$Q:$Q,MATCH($A20,'Valo FX'!$A:$A,0)),0,IF(GM$1&lt;INDEX('Valo FX'!$R:$R,MATCH($A20,'Valo FX'!$A:$A,0)),INDEX(Base!$U:$U,MATCH($A20,Base!$A:$A,0)),IF(GM$1=INDEX('Valo FX'!$R:$R,MATCH($A20,'Valo FX'!$A:$A,0)),INDEX(Base!$V:$V,MATCH($A20,Base!$A:$A,0)),0)))</f>
        <v>6.9634369999999999</v>
      </c>
      <c r="GN20" s="21">
        <f>IF(GN$1&lt;INDEX('Valo FX'!$Q:$Q,MATCH($A20,'Valo FX'!$A:$A,0)),0,IF(GN$1&lt;INDEX('Valo FX'!$R:$R,MATCH($A20,'Valo FX'!$A:$A,0)),INDEX(Base!$U:$U,MATCH($A20,Base!$A:$A,0)),IF(GN$1=INDEX('Valo FX'!$R:$R,MATCH($A20,'Valo FX'!$A:$A,0)),INDEX(Base!$V:$V,MATCH($A20,Base!$A:$A,0)),0)))</f>
        <v>6.9634369999999999</v>
      </c>
      <c r="GO20" s="21">
        <f>IF(GO$1&lt;INDEX('Valo FX'!$Q:$Q,MATCH($A20,'Valo FX'!$A:$A,0)),0,IF(GO$1&lt;INDEX('Valo FX'!$R:$R,MATCH($A20,'Valo FX'!$A:$A,0)),INDEX(Base!$U:$U,MATCH($A20,Base!$A:$A,0)),IF(GO$1=INDEX('Valo FX'!$R:$R,MATCH($A20,'Valo FX'!$A:$A,0)),INDEX(Base!$V:$V,MATCH($A20,Base!$A:$A,0)),0)))</f>
        <v>6.9634369999999999</v>
      </c>
      <c r="GP20" s="21">
        <f>IF(GP$1&lt;INDEX('Valo FX'!$Q:$Q,MATCH($A20,'Valo FX'!$A:$A,0)),0,IF(GP$1&lt;INDEX('Valo FX'!$R:$R,MATCH($A20,'Valo FX'!$A:$A,0)),INDEX(Base!$U:$U,MATCH($A20,Base!$A:$A,0)),IF(GP$1=INDEX('Valo FX'!$R:$R,MATCH($A20,'Valo FX'!$A:$A,0)),INDEX(Base!$V:$V,MATCH($A20,Base!$A:$A,0)),0)))</f>
        <v>6.9634369999999999</v>
      </c>
      <c r="GQ20" s="21">
        <f>IF(GQ$1&lt;INDEX('Valo FX'!$Q:$Q,MATCH($A20,'Valo FX'!$A:$A,0)),0,IF(GQ$1&lt;INDEX('Valo FX'!$R:$R,MATCH($A20,'Valo FX'!$A:$A,0)),INDEX(Base!$U:$U,MATCH($A20,Base!$A:$A,0)),IF(GQ$1=INDEX('Valo FX'!$R:$R,MATCH($A20,'Valo FX'!$A:$A,0)),INDEX(Base!$V:$V,MATCH($A20,Base!$A:$A,0)),0)))</f>
        <v>6.9634369999999999</v>
      </c>
      <c r="GR20" s="21">
        <f>IF(GR$1&lt;INDEX('Valo FX'!$Q:$Q,MATCH($A20,'Valo FX'!$A:$A,0)),0,IF(GR$1&lt;INDEX('Valo FX'!$R:$R,MATCH($A20,'Valo FX'!$A:$A,0)),INDEX(Base!$U:$U,MATCH($A20,Base!$A:$A,0)),IF(GR$1=INDEX('Valo FX'!$R:$R,MATCH($A20,'Valo FX'!$A:$A,0)),INDEX(Base!$V:$V,MATCH($A20,Base!$A:$A,0)),0)))</f>
        <v>6.9634369999999999</v>
      </c>
      <c r="GS20" s="21">
        <f>IF(GS$1&lt;INDEX('Valo FX'!$Q:$Q,MATCH($A20,'Valo FX'!$A:$A,0)),0,IF(GS$1&lt;INDEX('Valo FX'!$R:$R,MATCH($A20,'Valo FX'!$A:$A,0)),INDEX(Base!$U:$U,MATCH($A20,Base!$A:$A,0)),IF(GS$1=INDEX('Valo FX'!$R:$R,MATCH($A20,'Valo FX'!$A:$A,0)),INDEX(Base!$V:$V,MATCH($A20,Base!$A:$A,0)),0)))</f>
        <v>6.9634369999999999</v>
      </c>
      <c r="GT20" s="21">
        <f>IF(GT$1&lt;INDEX('Valo FX'!$Q:$Q,MATCH($A20,'Valo FX'!$A:$A,0)),0,IF(GT$1&lt;INDEX('Valo FX'!$R:$R,MATCH($A20,'Valo FX'!$A:$A,0)),INDEX(Base!$U:$U,MATCH($A20,Base!$A:$A,0)),IF(GT$1=INDEX('Valo FX'!$R:$R,MATCH($A20,'Valo FX'!$A:$A,0)),INDEX(Base!$V:$V,MATCH($A20,Base!$A:$A,0)),0)))</f>
        <v>6.9634369999999999</v>
      </c>
      <c r="GU20" s="21">
        <f>IF(GU$1&lt;INDEX('Valo FX'!$Q:$Q,MATCH($A20,'Valo FX'!$A:$A,0)),0,IF(GU$1&lt;INDEX('Valo FX'!$R:$R,MATCH($A20,'Valo FX'!$A:$A,0)),INDEX(Base!$U:$U,MATCH($A20,Base!$A:$A,0)),IF(GU$1=INDEX('Valo FX'!$R:$R,MATCH($A20,'Valo FX'!$A:$A,0)),INDEX(Base!$V:$V,MATCH($A20,Base!$A:$A,0)),0)))</f>
        <v>6.9634369999999999</v>
      </c>
      <c r="GV20" s="21">
        <f>IF(GV$1&lt;INDEX('Valo FX'!$Q:$Q,MATCH($A20,'Valo FX'!$A:$A,0)),0,IF(GV$1&lt;INDEX('Valo FX'!$R:$R,MATCH($A20,'Valo FX'!$A:$A,0)),INDEX(Base!$U:$U,MATCH($A20,Base!$A:$A,0)),IF(GV$1=INDEX('Valo FX'!$R:$R,MATCH($A20,'Valo FX'!$A:$A,0)),INDEX(Base!$V:$V,MATCH($A20,Base!$A:$A,0)),0)))</f>
        <v>6.9634369999999999</v>
      </c>
      <c r="GW20" s="21">
        <f>IF(GW$1&lt;INDEX('Valo FX'!$Q:$Q,MATCH($A20,'Valo FX'!$A:$A,0)),0,IF(GW$1&lt;INDEX('Valo FX'!$R:$R,MATCH($A20,'Valo FX'!$A:$A,0)),INDEX(Base!$U:$U,MATCH($A20,Base!$A:$A,0)),IF(GW$1=INDEX('Valo FX'!$R:$R,MATCH($A20,'Valo FX'!$A:$A,0)),INDEX(Base!$V:$V,MATCH($A20,Base!$A:$A,0)),0)))</f>
        <v>6.9634369999999999</v>
      </c>
      <c r="GX20" s="21">
        <f>IF(GX$1&lt;INDEX('Valo FX'!$Q:$Q,MATCH($A20,'Valo FX'!$A:$A,0)),0,IF(GX$1&lt;INDEX('Valo FX'!$R:$R,MATCH($A20,'Valo FX'!$A:$A,0)),INDEX(Base!$U:$U,MATCH($A20,Base!$A:$A,0)),IF(GX$1=INDEX('Valo FX'!$R:$R,MATCH($A20,'Valo FX'!$A:$A,0)),INDEX(Base!$V:$V,MATCH($A20,Base!$A:$A,0)),0)))</f>
        <v>6.9634369999999999</v>
      </c>
      <c r="GY20" s="21">
        <f>IF(GY$1&lt;INDEX('Valo FX'!$Q:$Q,MATCH($A20,'Valo FX'!$A:$A,0)),0,IF(GY$1&lt;INDEX('Valo FX'!$R:$R,MATCH($A20,'Valo FX'!$A:$A,0)),INDEX(Base!$U:$U,MATCH($A20,Base!$A:$A,0)),IF(GY$1=INDEX('Valo FX'!$R:$R,MATCH($A20,'Valo FX'!$A:$A,0)),INDEX(Base!$V:$V,MATCH($A20,Base!$A:$A,0)),0)))</f>
        <v>6.9634369999999999</v>
      </c>
      <c r="GZ20" s="21">
        <f>IF(GZ$1&lt;INDEX('Valo FX'!$Q:$Q,MATCH($A20,'Valo FX'!$A:$A,0)),0,IF(GZ$1&lt;INDEX('Valo FX'!$R:$R,MATCH($A20,'Valo FX'!$A:$A,0)),INDEX(Base!$U:$U,MATCH($A20,Base!$A:$A,0)),IF(GZ$1=INDEX('Valo FX'!$R:$R,MATCH($A20,'Valo FX'!$A:$A,0)),INDEX(Base!$V:$V,MATCH($A20,Base!$A:$A,0)),0)))</f>
        <v>6.9634369999999999</v>
      </c>
      <c r="HA20" s="21">
        <f>IF(HA$1&lt;INDEX('Valo FX'!$Q:$Q,MATCH($A20,'Valo FX'!$A:$A,0)),0,IF(HA$1&lt;INDEX('Valo FX'!$R:$R,MATCH($A20,'Valo FX'!$A:$A,0)),INDEX(Base!$U:$U,MATCH($A20,Base!$A:$A,0)),IF(HA$1=INDEX('Valo FX'!$R:$R,MATCH($A20,'Valo FX'!$A:$A,0)),INDEX(Base!$V:$V,MATCH($A20,Base!$A:$A,0)),0)))</f>
        <v>6.9634369999999999</v>
      </c>
      <c r="HB20" s="21">
        <f>IF(HB$1&lt;INDEX('Valo FX'!$Q:$Q,MATCH($A20,'Valo FX'!$A:$A,0)),0,IF(HB$1&lt;INDEX('Valo FX'!$R:$R,MATCH($A20,'Valo FX'!$A:$A,0)),INDEX(Base!$U:$U,MATCH($A20,Base!$A:$A,0)),IF(HB$1=INDEX('Valo FX'!$R:$R,MATCH($A20,'Valo FX'!$A:$A,0)),INDEX(Base!$V:$V,MATCH($A20,Base!$A:$A,0)),0)))</f>
        <v>6.9634369999999999</v>
      </c>
      <c r="HC20" s="21">
        <f>IF(HC$1&lt;INDEX('Valo FX'!$Q:$Q,MATCH($A20,'Valo FX'!$A:$A,0)),0,IF(HC$1&lt;INDEX('Valo FX'!$R:$R,MATCH($A20,'Valo FX'!$A:$A,0)),INDEX(Base!$U:$U,MATCH($A20,Base!$A:$A,0)),IF(HC$1=INDEX('Valo FX'!$R:$R,MATCH($A20,'Valo FX'!$A:$A,0)),INDEX(Base!$V:$V,MATCH($A20,Base!$A:$A,0)),0)))</f>
        <v>6.9634369999999999</v>
      </c>
      <c r="HD20" s="21">
        <f>IF(HD$1&lt;INDEX('Valo FX'!$Q:$Q,MATCH($A20,'Valo FX'!$A:$A,0)),0,IF(HD$1&lt;INDEX('Valo FX'!$R:$R,MATCH($A20,'Valo FX'!$A:$A,0)),INDEX(Base!$U:$U,MATCH($A20,Base!$A:$A,0)),IF(HD$1=INDEX('Valo FX'!$R:$R,MATCH($A20,'Valo FX'!$A:$A,0)),INDEX(Base!$V:$V,MATCH($A20,Base!$A:$A,0)),0)))</f>
        <v>6.9634369999999999</v>
      </c>
      <c r="HE20" s="21">
        <f>IF(HE$1&lt;INDEX('Valo FX'!$Q:$Q,MATCH($A20,'Valo FX'!$A:$A,0)),0,IF(HE$1&lt;INDEX('Valo FX'!$R:$R,MATCH($A20,'Valo FX'!$A:$A,0)),INDEX(Base!$U:$U,MATCH($A20,Base!$A:$A,0)),IF(HE$1=INDEX('Valo FX'!$R:$R,MATCH($A20,'Valo FX'!$A:$A,0)),INDEX(Base!$V:$V,MATCH($A20,Base!$A:$A,0)),0)))</f>
        <v>6.9634369999999999</v>
      </c>
      <c r="HF20" s="21">
        <f>IF(HF$1&lt;INDEX('Valo FX'!$Q:$Q,MATCH($A20,'Valo FX'!$A:$A,0)),0,IF(HF$1&lt;INDEX('Valo FX'!$R:$R,MATCH($A20,'Valo FX'!$A:$A,0)),INDEX(Base!$U:$U,MATCH($A20,Base!$A:$A,0)),IF(HF$1=INDEX('Valo FX'!$R:$R,MATCH($A20,'Valo FX'!$A:$A,0)),INDEX(Base!$V:$V,MATCH($A20,Base!$A:$A,0)),0)))</f>
        <v>6.9634369999999999</v>
      </c>
      <c r="HG20" s="21">
        <f>IF(HG$1&lt;INDEX('Valo FX'!$Q:$Q,MATCH($A20,'Valo FX'!$A:$A,0)),0,IF(HG$1&lt;INDEX('Valo FX'!$R:$R,MATCH($A20,'Valo FX'!$A:$A,0)),INDEX(Base!$U:$U,MATCH($A20,Base!$A:$A,0)),IF(HG$1=INDEX('Valo FX'!$R:$R,MATCH($A20,'Valo FX'!$A:$A,0)),INDEX(Base!$V:$V,MATCH($A20,Base!$A:$A,0)),0)))</f>
        <v>6.9634369999999999</v>
      </c>
      <c r="HH20" s="21">
        <f>IF(HH$1&lt;INDEX('Valo FX'!$Q:$Q,MATCH($A20,'Valo FX'!$A:$A,0)),0,IF(HH$1&lt;INDEX('Valo FX'!$R:$R,MATCH($A20,'Valo FX'!$A:$A,0)),INDEX(Base!$U:$U,MATCH($A20,Base!$A:$A,0)),IF(HH$1=INDEX('Valo FX'!$R:$R,MATCH($A20,'Valo FX'!$A:$A,0)),INDEX(Base!$V:$V,MATCH($A20,Base!$A:$A,0)),0)))</f>
        <v>6.9634369999999999</v>
      </c>
      <c r="HI20" s="21">
        <f>IF(HI$1&lt;INDEX('Valo FX'!$Q:$Q,MATCH($A20,'Valo FX'!$A:$A,0)),0,IF(HI$1&lt;INDEX('Valo FX'!$R:$R,MATCH($A20,'Valo FX'!$A:$A,0)),INDEX(Base!$U:$U,MATCH($A20,Base!$A:$A,0)),IF(HI$1=INDEX('Valo FX'!$R:$R,MATCH($A20,'Valo FX'!$A:$A,0)),INDEX(Base!$V:$V,MATCH($A20,Base!$A:$A,0)),0)))</f>
        <v>6.9634369999999999</v>
      </c>
      <c r="HJ20" s="21">
        <f>IF(HJ$1&lt;INDEX('Valo FX'!$Q:$Q,MATCH($A20,'Valo FX'!$A:$A,0)),0,IF(HJ$1&lt;INDEX('Valo FX'!$R:$R,MATCH($A20,'Valo FX'!$A:$A,0)),INDEX(Base!$U:$U,MATCH($A20,Base!$A:$A,0)),IF(HJ$1=INDEX('Valo FX'!$R:$R,MATCH($A20,'Valo FX'!$A:$A,0)),INDEX(Base!$V:$V,MATCH($A20,Base!$A:$A,0)),0)))</f>
        <v>6.9634369999999999</v>
      </c>
      <c r="HK20" s="21">
        <f>IF(HK$1&lt;INDEX('Valo FX'!$Q:$Q,MATCH($A20,'Valo FX'!$A:$A,0)),0,IF(HK$1&lt;INDEX('Valo FX'!$R:$R,MATCH($A20,'Valo FX'!$A:$A,0)),INDEX(Base!$U:$U,MATCH($A20,Base!$A:$A,0)),IF(HK$1=INDEX('Valo FX'!$R:$R,MATCH($A20,'Valo FX'!$A:$A,0)),INDEX(Base!$V:$V,MATCH($A20,Base!$A:$A,0)),0)))</f>
        <v>6.9634369999999999</v>
      </c>
      <c r="HL20" s="21">
        <f>IF(HL$1&lt;INDEX('Valo FX'!$Q:$Q,MATCH($A20,'Valo FX'!$A:$A,0)),0,IF(HL$1&lt;INDEX('Valo FX'!$R:$R,MATCH($A20,'Valo FX'!$A:$A,0)),INDEX(Base!$U:$U,MATCH($A20,Base!$A:$A,0)),IF(HL$1=INDEX('Valo FX'!$R:$R,MATCH($A20,'Valo FX'!$A:$A,0)),INDEX(Base!$V:$V,MATCH($A20,Base!$A:$A,0)),0)))</f>
        <v>6.9634369999999999</v>
      </c>
      <c r="HM20" s="21">
        <f>IF(HM$1&lt;INDEX('Valo FX'!$Q:$Q,MATCH($A20,'Valo FX'!$A:$A,0)),0,IF(HM$1&lt;INDEX('Valo FX'!$R:$R,MATCH($A20,'Valo FX'!$A:$A,0)),INDEX(Base!$U:$U,MATCH($A20,Base!$A:$A,0)),IF(HM$1=INDEX('Valo FX'!$R:$R,MATCH($A20,'Valo FX'!$A:$A,0)),INDEX(Base!$V:$V,MATCH($A20,Base!$A:$A,0)),0)))</f>
        <v>6.9634369999999999</v>
      </c>
      <c r="HN20" s="21">
        <f>IF(HN$1&lt;INDEX('Valo FX'!$Q:$Q,MATCH($A20,'Valo FX'!$A:$A,0)),0,IF(HN$1&lt;INDEX('Valo FX'!$R:$R,MATCH($A20,'Valo FX'!$A:$A,0)),INDEX(Base!$U:$U,MATCH($A20,Base!$A:$A,0)),IF(HN$1=INDEX('Valo FX'!$R:$R,MATCH($A20,'Valo FX'!$A:$A,0)),INDEX(Base!$V:$V,MATCH($A20,Base!$A:$A,0)),0)))</f>
        <v>6.9634369999999999</v>
      </c>
      <c r="HO20" s="21">
        <f>IF(HO$1&lt;INDEX('Valo FX'!$Q:$Q,MATCH($A20,'Valo FX'!$A:$A,0)),0,IF(HO$1&lt;INDEX('Valo FX'!$R:$R,MATCH($A20,'Valo FX'!$A:$A,0)),INDEX(Base!$U:$U,MATCH($A20,Base!$A:$A,0)),IF(HO$1=INDEX('Valo FX'!$R:$R,MATCH($A20,'Valo FX'!$A:$A,0)),INDEX(Base!$V:$V,MATCH($A20,Base!$A:$A,0)),0)))</f>
        <v>6.9634369999999999</v>
      </c>
      <c r="HP20" s="21">
        <f>IF(HP$1&lt;INDEX('Valo FX'!$Q:$Q,MATCH($A20,'Valo FX'!$A:$A,0)),0,IF(HP$1&lt;INDEX('Valo FX'!$R:$R,MATCH($A20,'Valo FX'!$A:$A,0)),INDEX(Base!$U:$U,MATCH($A20,Base!$A:$A,0)),IF(HP$1=INDEX('Valo FX'!$R:$R,MATCH($A20,'Valo FX'!$A:$A,0)),INDEX(Base!$V:$V,MATCH($A20,Base!$A:$A,0)),0)))</f>
        <v>6.9634369999999999</v>
      </c>
      <c r="HQ20" s="21">
        <f>IF(HQ$1&lt;INDEX('Valo FX'!$Q:$Q,MATCH($A20,'Valo FX'!$A:$A,0)),0,IF(HQ$1&lt;INDEX('Valo FX'!$R:$R,MATCH($A20,'Valo FX'!$A:$A,0)),INDEX(Base!$U:$U,MATCH($A20,Base!$A:$A,0)),IF(HQ$1=INDEX('Valo FX'!$R:$R,MATCH($A20,'Valo FX'!$A:$A,0)),INDEX(Base!$V:$V,MATCH($A20,Base!$A:$A,0)),0)))</f>
        <v>6.9634369999999999</v>
      </c>
      <c r="HR20" s="21">
        <f>IF(HR$1&lt;INDEX('Valo FX'!$Q:$Q,MATCH($A20,'Valo FX'!$A:$A,0)),0,IF(HR$1&lt;INDEX('Valo FX'!$R:$R,MATCH($A20,'Valo FX'!$A:$A,0)),INDEX(Base!$U:$U,MATCH($A20,Base!$A:$A,0)),IF(HR$1=INDEX('Valo FX'!$R:$R,MATCH($A20,'Valo FX'!$A:$A,0)),INDEX(Base!$V:$V,MATCH($A20,Base!$A:$A,0)),0)))</f>
        <v>6.9634369999999999</v>
      </c>
      <c r="HS20" s="21">
        <f>IF(HS$1&lt;INDEX('Valo FX'!$Q:$Q,MATCH($A20,'Valo FX'!$A:$A,0)),0,IF(HS$1&lt;INDEX('Valo FX'!$R:$R,MATCH($A20,'Valo FX'!$A:$A,0)),INDEX(Base!$U:$U,MATCH($A20,Base!$A:$A,0)),IF(HS$1=INDEX('Valo FX'!$R:$R,MATCH($A20,'Valo FX'!$A:$A,0)),INDEX(Base!$V:$V,MATCH($A20,Base!$A:$A,0)),0)))</f>
        <v>6.9634369999999999</v>
      </c>
      <c r="HT20" s="21">
        <f>IF(HT$1&lt;INDEX('Valo FX'!$Q:$Q,MATCH($A20,'Valo FX'!$A:$A,0)),0,IF(HT$1&lt;INDEX('Valo FX'!$R:$R,MATCH($A20,'Valo FX'!$A:$A,0)),INDEX(Base!$U:$U,MATCH($A20,Base!$A:$A,0)),IF(HT$1=INDEX('Valo FX'!$R:$R,MATCH($A20,'Valo FX'!$A:$A,0)),INDEX(Base!$V:$V,MATCH($A20,Base!$A:$A,0)),0)))</f>
        <v>6.9634369999999999</v>
      </c>
      <c r="HU20" s="21">
        <f>IF(HU$1&lt;INDEX('Valo FX'!$Q:$Q,MATCH($A20,'Valo FX'!$A:$A,0)),0,IF(HU$1&lt;INDEX('Valo FX'!$R:$R,MATCH($A20,'Valo FX'!$A:$A,0)),INDEX(Base!$U:$U,MATCH($A20,Base!$A:$A,0)),IF(HU$1=INDEX('Valo FX'!$R:$R,MATCH($A20,'Valo FX'!$A:$A,0)),INDEX(Base!$V:$V,MATCH($A20,Base!$A:$A,0)),0)))</f>
        <v>6.9634369999999999</v>
      </c>
      <c r="HV20" s="21">
        <f>IF(HV$1&lt;INDEX('Valo FX'!$Q:$Q,MATCH($A20,'Valo FX'!$A:$A,0)),0,IF(HV$1&lt;INDEX('Valo FX'!$R:$R,MATCH($A20,'Valo FX'!$A:$A,0)),INDEX(Base!$U:$U,MATCH($A20,Base!$A:$A,0)),IF(HV$1=INDEX('Valo FX'!$R:$R,MATCH($A20,'Valo FX'!$A:$A,0)),INDEX(Base!$V:$V,MATCH($A20,Base!$A:$A,0)),0)))</f>
        <v>6.9634369999999999</v>
      </c>
      <c r="HW20" s="21">
        <f>IF(HW$1&lt;INDEX('Valo FX'!$Q:$Q,MATCH($A20,'Valo FX'!$A:$A,0)),0,IF(HW$1&lt;INDEX('Valo FX'!$R:$R,MATCH($A20,'Valo FX'!$A:$A,0)),INDEX(Base!$U:$U,MATCH($A20,Base!$A:$A,0)),IF(HW$1=INDEX('Valo FX'!$R:$R,MATCH($A20,'Valo FX'!$A:$A,0)),INDEX(Base!$V:$V,MATCH($A20,Base!$A:$A,0)),0)))</f>
        <v>6.9634369999999999</v>
      </c>
      <c r="HX20" s="21">
        <f>IF(HX$1&lt;INDEX('Valo FX'!$Q:$Q,MATCH($A20,'Valo FX'!$A:$A,0)),0,IF(HX$1&lt;INDEX('Valo FX'!$R:$R,MATCH($A20,'Valo FX'!$A:$A,0)),INDEX(Base!$U:$U,MATCH($A20,Base!$A:$A,0)),IF(HX$1=INDEX('Valo FX'!$R:$R,MATCH($A20,'Valo FX'!$A:$A,0)),INDEX(Base!$V:$V,MATCH($A20,Base!$A:$A,0)),0)))</f>
        <v>6.9634369999999999</v>
      </c>
      <c r="HY20" s="21">
        <f>IF(HY$1&lt;INDEX('Valo FX'!$Q:$Q,MATCH($A20,'Valo FX'!$A:$A,0)),0,IF(HY$1&lt;INDEX('Valo FX'!$R:$R,MATCH($A20,'Valo FX'!$A:$A,0)),INDEX(Base!$U:$U,MATCH($A20,Base!$A:$A,0)),IF(HY$1=INDEX('Valo FX'!$R:$R,MATCH($A20,'Valo FX'!$A:$A,0)),INDEX(Base!$V:$V,MATCH($A20,Base!$A:$A,0)),0)))</f>
        <v>6.9634369999999999</v>
      </c>
      <c r="HZ20" s="21">
        <f>IF(HZ$1&lt;INDEX('Valo FX'!$Q:$Q,MATCH($A20,'Valo FX'!$A:$A,0)),0,IF(HZ$1&lt;INDEX('Valo FX'!$R:$R,MATCH($A20,'Valo FX'!$A:$A,0)),INDEX(Base!$U:$U,MATCH($A20,Base!$A:$A,0)),IF(HZ$1=INDEX('Valo FX'!$R:$R,MATCH($A20,'Valo FX'!$A:$A,0)),INDEX(Base!$V:$V,MATCH($A20,Base!$A:$A,0)),0)))</f>
        <v>6.9634369999999999</v>
      </c>
      <c r="IA20" s="21">
        <f>IF(IA$1&lt;INDEX('Valo FX'!$Q:$Q,MATCH($A20,'Valo FX'!$A:$A,0)),0,IF(IA$1&lt;INDEX('Valo FX'!$R:$R,MATCH($A20,'Valo FX'!$A:$A,0)),INDEX(Base!$U:$U,MATCH($A20,Base!$A:$A,0)),IF(IA$1=INDEX('Valo FX'!$R:$R,MATCH($A20,'Valo FX'!$A:$A,0)),INDEX(Base!$V:$V,MATCH($A20,Base!$A:$A,0)),0)))</f>
        <v>6.9634369999999999</v>
      </c>
      <c r="IB20" s="21">
        <f>IF(IB$1&lt;INDEX('Valo FX'!$Q:$Q,MATCH($A20,'Valo FX'!$A:$A,0)),0,IF(IB$1&lt;INDEX('Valo FX'!$R:$R,MATCH($A20,'Valo FX'!$A:$A,0)),INDEX(Base!$U:$U,MATCH($A20,Base!$A:$A,0)),IF(IB$1=INDEX('Valo FX'!$R:$R,MATCH($A20,'Valo FX'!$A:$A,0)),INDEX(Base!$V:$V,MATCH($A20,Base!$A:$A,0)),0)))</f>
        <v>6.9634369999999999</v>
      </c>
      <c r="IC20" s="21">
        <f>IF(IC$1&lt;INDEX('Valo FX'!$Q:$Q,MATCH($A20,'Valo FX'!$A:$A,0)),0,IF(IC$1&lt;INDEX('Valo FX'!$R:$R,MATCH($A20,'Valo FX'!$A:$A,0)),INDEX(Base!$U:$U,MATCH($A20,Base!$A:$A,0)),IF(IC$1=INDEX('Valo FX'!$R:$R,MATCH($A20,'Valo FX'!$A:$A,0)),INDEX(Base!$V:$V,MATCH($A20,Base!$A:$A,0)),0)))</f>
        <v>6.9634369999999999</v>
      </c>
      <c r="ID20" s="21">
        <f>IF(ID$1&lt;INDEX('Valo FX'!$Q:$Q,MATCH($A20,'Valo FX'!$A:$A,0)),0,IF(ID$1&lt;INDEX('Valo FX'!$R:$R,MATCH($A20,'Valo FX'!$A:$A,0)),INDEX(Base!$U:$U,MATCH($A20,Base!$A:$A,0)),IF(ID$1=INDEX('Valo FX'!$R:$R,MATCH($A20,'Valo FX'!$A:$A,0)),INDEX(Base!$V:$V,MATCH($A20,Base!$A:$A,0)),0)))</f>
        <v>6.9634369999999999</v>
      </c>
      <c r="IE20" s="21">
        <f>IF(IE$1&lt;INDEX('Valo FX'!$Q:$Q,MATCH($A20,'Valo FX'!$A:$A,0)),0,IF(IE$1&lt;INDEX('Valo FX'!$R:$R,MATCH($A20,'Valo FX'!$A:$A,0)),INDEX(Base!$U:$U,MATCH($A20,Base!$A:$A,0)),IF(IE$1=INDEX('Valo FX'!$R:$R,MATCH($A20,'Valo FX'!$A:$A,0)),INDEX(Base!$V:$V,MATCH($A20,Base!$A:$A,0)),0)))</f>
        <v>6.9634369999999999</v>
      </c>
      <c r="IF20" s="21">
        <f>IF(IF$1&lt;INDEX('Valo FX'!$Q:$Q,MATCH($A20,'Valo FX'!$A:$A,0)),0,IF(IF$1&lt;INDEX('Valo FX'!$R:$R,MATCH($A20,'Valo FX'!$A:$A,0)),INDEX(Base!$U:$U,MATCH($A20,Base!$A:$A,0)),IF(IF$1=INDEX('Valo FX'!$R:$R,MATCH($A20,'Valo FX'!$A:$A,0)),INDEX(Base!$V:$V,MATCH($A20,Base!$A:$A,0)),0)))</f>
        <v>6.9634369999999999</v>
      </c>
      <c r="IG20" s="21">
        <f>IF(IG$1&lt;INDEX('Valo FX'!$Q:$Q,MATCH($A20,'Valo FX'!$A:$A,0)),0,IF(IG$1&lt;INDEX('Valo FX'!$R:$R,MATCH($A20,'Valo FX'!$A:$A,0)),INDEX(Base!$U:$U,MATCH($A20,Base!$A:$A,0)),IF(IG$1=INDEX('Valo FX'!$R:$R,MATCH($A20,'Valo FX'!$A:$A,0)),INDEX(Base!$V:$V,MATCH($A20,Base!$A:$A,0)),0)))</f>
        <v>6.9634369999999999</v>
      </c>
      <c r="IH20" s="21">
        <f>IF(IH$1&lt;INDEX('Valo FX'!$Q:$Q,MATCH($A20,'Valo FX'!$A:$A,0)),0,IF(IH$1&lt;INDEX('Valo FX'!$R:$R,MATCH($A20,'Valo FX'!$A:$A,0)),INDEX(Base!$U:$U,MATCH($A20,Base!$A:$A,0)),IF(IH$1=INDEX('Valo FX'!$R:$R,MATCH($A20,'Valo FX'!$A:$A,0)),INDEX(Base!$V:$V,MATCH($A20,Base!$A:$A,0)),0)))</f>
        <v>6.9634369999999999</v>
      </c>
      <c r="II20" s="21">
        <f>IF(II$1&lt;INDEX('Valo FX'!$Q:$Q,MATCH($A20,'Valo FX'!$A:$A,0)),0,IF(II$1&lt;INDEX('Valo FX'!$R:$R,MATCH($A20,'Valo FX'!$A:$A,0)),INDEX(Base!$U:$U,MATCH($A20,Base!$A:$A,0)),IF(II$1=INDEX('Valo FX'!$R:$R,MATCH($A20,'Valo FX'!$A:$A,0)),INDEX(Base!$V:$V,MATCH($A20,Base!$A:$A,0)),0)))</f>
        <v>6.9634369999999999</v>
      </c>
      <c r="IJ20" s="21">
        <f>IF(IJ$1&lt;INDEX('Valo FX'!$Q:$Q,MATCH($A20,'Valo FX'!$A:$A,0)),0,IF(IJ$1&lt;INDEX('Valo FX'!$R:$R,MATCH($A20,'Valo FX'!$A:$A,0)),INDEX(Base!$U:$U,MATCH($A20,Base!$A:$A,0)),IF(IJ$1=INDEX('Valo FX'!$R:$R,MATCH($A20,'Valo FX'!$A:$A,0)),INDEX(Base!$V:$V,MATCH($A20,Base!$A:$A,0)),0)))</f>
        <v>6.9634369999999999</v>
      </c>
      <c r="IK20" s="21">
        <f>IF(IK$1&lt;INDEX('Valo FX'!$Q:$Q,MATCH($A20,'Valo FX'!$A:$A,0)),0,IF(IK$1&lt;INDEX('Valo FX'!$R:$R,MATCH($A20,'Valo FX'!$A:$A,0)),INDEX(Base!$U:$U,MATCH($A20,Base!$A:$A,0)),IF(IK$1=INDEX('Valo FX'!$R:$R,MATCH($A20,'Valo FX'!$A:$A,0)),INDEX(Base!$V:$V,MATCH($A20,Base!$A:$A,0)),0)))</f>
        <v>6.9634369999999999</v>
      </c>
      <c r="IL20" s="21">
        <f>IF(IL$1&lt;INDEX('Valo FX'!$Q:$Q,MATCH($A20,'Valo FX'!$A:$A,0)),0,IF(IL$1&lt;INDEX('Valo FX'!$R:$R,MATCH($A20,'Valo FX'!$A:$A,0)),INDEX(Base!$U:$U,MATCH($A20,Base!$A:$A,0)),IF(IL$1=INDEX('Valo FX'!$R:$R,MATCH($A20,'Valo FX'!$A:$A,0)),INDEX(Base!$V:$V,MATCH($A20,Base!$A:$A,0)),0)))</f>
        <v>6.9634369999999999</v>
      </c>
      <c r="IM20" s="21">
        <f>IF(IM$1&lt;INDEX('Valo FX'!$Q:$Q,MATCH($A20,'Valo FX'!$A:$A,0)),0,IF(IM$1&lt;INDEX('Valo FX'!$R:$R,MATCH($A20,'Valo FX'!$A:$A,0)),INDEX(Base!$U:$U,MATCH($A20,Base!$A:$A,0)),IF(IM$1=INDEX('Valo FX'!$R:$R,MATCH($A20,'Valo FX'!$A:$A,0)),INDEX(Base!$V:$V,MATCH($A20,Base!$A:$A,0)),0)))</f>
        <v>6.9634369999999999</v>
      </c>
      <c r="IN20" s="21">
        <f>IF(IN$1&lt;INDEX('Valo FX'!$Q:$Q,MATCH($A20,'Valo FX'!$A:$A,0)),0,IF(IN$1&lt;INDEX('Valo FX'!$R:$R,MATCH($A20,'Valo FX'!$A:$A,0)),INDEX(Base!$U:$U,MATCH($A20,Base!$A:$A,0)),IF(IN$1=INDEX('Valo FX'!$R:$R,MATCH($A20,'Valo FX'!$A:$A,0)),INDEX(Base!$V:$V,MATCH($A20,Base!$A:$A,0)),0)))</f>
        <v>6.9634369999999999</v>
      </c>
      <c r="IO20" s="21">
        <f>IF(IO$1&lt;INDEX('Valo FX'!$Q:$Q,MATCH($A20,'Valo FX'!$A:$A,0)),0,IF(IO$1&lt;INDEX('Valo FX'!$R:$R,MATCH($A20,'Valo FX'!$A:$A,0)),INDEX(Base!$U:$U,MATCH($A20,Base!$A:$A,0)),IF(IO$1=INDEX('Valo FX'!$R:$R,MATCH($A20,'Valo FX'!$A:$A,0)),INDEX(Base!$V:$V,MATCH($A20,Base!$A:$A,0)),0)))</f>
        <v>6.9634369999999999</v>
      </c>
      <c r="IP20" s="21">
        <f>IF(IP$1&lt;INDEX('Valo FX'!$Q:$Q,MATCH($A20,'Valo FX'!$A:$A,0)),0,IF(IP$1&lt;INDEX('Valo FX'!$R:$R,MATCH($A20,'Valo FX'!$A:$A,0)),INDEX(Base!$U:$U,MATCH($A20,Base!$A:$A,0)),IF(IP$1=INDEX('Valo FX'!$R:$R,MATCH($A20,'Valo FX'!$A:$A,0)),INDEX(Base!$V:$V,MATCH($A20,Base!$A:$A,0)),0)))</f>
        <v>6.9634369999999999</v>
      </c>
      <c r="IQ20" s="21">
        <f>IF(IQ$1&lt;INDEX('Valo FX'!$Q:$Q,MATCH($A20,'Valo FX'!$A:$A,0)),0,IF(IQ$1&lt;INDEX('Valo FX'!$R:$R,MATCH($A20,'Valo FX'!$A:$A,0)),INDEX(Base!$U:$U,MATCH($A20,Base!$A:$A,0)),IF(IQ$1=INDEX('Valo FX'!$R:$R,MATCH($A20,'Valo FX'!$A:$A,0)),INDEX(Base!$V:$V,MATCH($A20,Base!$A:$A,0)),0)))</f>
        <v>6.9634369999999999</v>
      </c>
      <c r="IR20" s="21">
        <f>IF(IR$1&lt;INDEX('Valo FX'!$Q:$Q,MATCH($A20,'Valo FX'!$A:$A,0)),0,IF(IR$1&lt;INDEX('Valo FX'!$R:$R,MATCH($A20,'Valo FX'!$A:$A,0)),INDEX(Base!$U:$U,MATCH($A20,Base!$A:$A,0)),IF(IR$1=INDEX('Valo FX'!$R:$R,MATCH($A20,'Valo FX'!$A:$A,0)),INDEX(Base!$V:$V,MATCH($A20,Base!$A:$A,0)),0)))</f>
        <v>6.9634369999999999</v>
      </c>
      <c r="IS20" s="21">
        <f>IF(IS$1&lt;INDEX('Valo FX'!$Q:$Q,MATCH($A20,'Valo FX'!$A:$A,0)),0,IF(IS$1&lt;INDEX('Valo FX'!$R:$R,MATCH($A20,'Valo FX'!$A:$A,0)),INDEX(Base!$U:$U,MATCH($A20,Base!$A:$A,0)),IF(IS$1=INDEX('Valo FX'!$R:$R,MATCH($A20,'Valo FX'!$A:$A,0)),INDEX(Base!$V:$V,MATCH($A20,Base!$A:$A,0)),0)))</f>
        <v>6.9634369999999999</v>
      </c>
      <c r="IT20" s="21">
        <f>IF(IT$1&lt;INDEX('Valo FX'!$Q:$Q,MATCH($A20,'Valo FX'!$A:$A,0)),0,IF(IT$1&lt;INDEX('Valo FX'!$R:$R,MATCH($A20,'Valo FX'!$A:$A,0)),INDEX(Base!$U:$U,MATCH($A20,Base!$A:$A,0)),IF(IT$1=INDEX('Valo FX'!$R:$R,MATCH($A20,'Valo FX'!$A:$A,0)),INDEX(Base!$V:$V,MATCH($A20,Base!$A:$A,0)),0)))</f>
        <v>6.9634369999999999</v>
      </c>
      <c r="IU20" s="21">
        <f>IF(IU$1&lt;INDEX('Valo FX'!$Q:$Q,MATCH($A20,'Valo FX'!$A:$A,0)),0,IF(IU$1&lt;INDEX('Valo FX'!$R:$R,MATCH($A20,'Valo FX'!$A:$A,0)),INDEX(Base!$U:$U,MATCH($A20,Base!$A:$A,0)),IF(IU$1=INDEX('Valo FX'!$R:$R,MATCH($A20,'Valo FX'!$A:$A,0)),INDEX(Base!$V:$V,MATCH($A20,Base!$A:$A,0)),0)))</f>
        <v>6.9634369999999999</v>
      </c>
      <c r="IV20" s="21">
        <f>IF(IV$1&lt;INDEX('Valo FX'!$Q:$Q,MATCH($A20,'Valo FX'!$A:$A,0)),0,IF(IV$1&lt;INDEX('Valo FX'!$R:$R,MATCH($A20,'Valo FX'!$A:$A,0)),INDEX(Base!$U:$U,MATCH($A20,Base!$A:$A,0)),IF(IV$1=INDEX('Valo FX'!$R:$R,MATCH($A20,'Valo FX'!$A:$A,0)),INDEX(Base!$V:$V,MATCH($A20,Base!$A:$A,0)),0)))</f>
        <v>6.9634369999999999</v>
      </c>
      <c r="IW20" s="21">
        <f>IF(IW$1&lt;INDEX('Valo FX'!$Q:$Q,MATCH($A20,'Valo FX'!$A:$A,0)),0,IF(IW$1&lt;INDEX('Valo FX'!$R:$R,MATCH($A20,'Valo FX'!$A:$A,0)),INDEX(Base!$U:$U,MATCH($A20,Base!$A:$A,0)),IF(IW$1=INDEX('Valo FX'!$R:$R,MATCH($A20,'Valo FX'!$A:$A,0)),INDEX(Base!$V:$V,MATCH($A20,Base!$A:$A,0)),0)))</f>
        <v>6.9634369999999999</v>
      </c>
      <c r="IX20" s="21">
        <f>IF(IX$1&lt;INDEX('Valo FX'!$Q:$Q,MATCH($A20,'Valo FX'!$A:$A,0)),0,IF(IX$1&lt;INDEX('Valo FX'!$R:$R,MATCH($A20,'Valo FX'!$A:$A,0)),INDEX(Base!$U:$U,MATCH($A20,Base!$A:$A,0)),IF(IX$1=INDEX('Valo FX'!$R:$R,MATCH($A20,'Valo FX'!$A:$A,0)),INDEX(Base!$V:$V,MATCH($A20,Base!$A:$A,0)),0)))</f>
        <v>6.9634369999999999</v>
      </c>
      <c r="IY20" s="21">
        <f>IF(IY$1&lt;INDEX('Valo FX'!$Q:$Q,MATCH($A20,'Valo FX'!$A:$A,0)),0,IF(IY$1&lt;INDEX('Valo FX'!$R:$R,MATCH($A20,'Valo FX'!$A:$A,0)),INDEX(Base!$U:$U,MATCH($A20,Base!$A:$A,0)),IF(IY$1=INDEX('Valo FX'!$R:$R,MATCH($A20,'Valo FX'!$A:$A,0)),INDEX(Base!$V:$V,MATCH($A20,Base!$A:$A,0)),0)))</f>
        <v>6.9634369999999999</v>
      </c>
      <c r="IZ20" s="21">
        <f>IF(IZ$1&lt;INDEX('Valo FX'!$Q:$Q,MATCH($A20,'Valo FX'!$A:$A,0)),0,IF(IZ$1&lt;INDEX('Valo FX'!$R:$R,MATCH($A20,'Valo FX'!$A:$A,0)),INDEX(Base!$U:$U,MATCH($A20,Base!$A:$A,0)),IF(IZ$1=INDEX('Valo FX'!$R:$R,MATCH($A20,'Valo FX'!$A:$A,0)),INDEX(Base!$V:$V,MATCH($A20,Base!$A:$A,0)),0)))</f>
        <v>6.9634369999999999</v>
      </c>
      <c r="JA20" s="21">
        <f>IF(JA$1&lt;INDEX('Valo FX'!$Q:$Q,MATCH($A20,'Valo FX'!$A:$A,0)),0,IF(JA$1&lt;INDEX('Valo FX'!$R:$R,MATCH($A20,'Valo FX'!$A:$A,0)),INDEX(Base!$U:$U,MATCH($A20,Base!$A:$A,0)),IF(JA$1=INDEX('Valo FX'!$R:$R,MATCH($A20,'Valo FX'!$A:$A,0)),INDEX(Base!$V:$V,MATCH($A20,Base!$A:$A,0)),0)))</f>
        <v>6.9634369999999999</v>
      </c>
      <c r="JB20" s="21">
        <f>IF(JB$1&lt;INDEX('Valo FX'!$Q:$Q,MATCH($A20,'Valo FX'!$A:$A,0)),0,IF(JB$1&lt;INDEX('Valo FX'!$R:$R,MATCH($A20,'Valo FX'!$A:$A,0)),INDEX(Base!$U:$U,MATCH($A20,Base!$A:$A,0)),IF(JB$1=INDEX('Valo FX'!$R:$R,MATCH($A20,'Valo FX'!$A:$A,0)),INDEX(Base!$V:$V,MATCH($A20,Base!$A:$A,0)),0)))</f>
        <v>6.9634369999999999</v>
      </c>
      <c r="JC20" s="21">
        <f>IF(JC$1&lt;INDEX('Valo FX'!$Q:$Q,MATCH($A20,'Valo FX'!$A:$A,0)),0,IF(JC$1&lt;INDEX('Valo FX'!$R:$R,MATCH($A20,'Valo FX'!$A:$A,0)),INDEX(Base!$U:$U,MATCH($A20,Base!$A:$A,0)),IF(JC$1=INDEX('Valo FX'!$R:$R,MATCH($A20,'Valo FX'!$A:$A,0)),INDEX(Base!$V:$V,MATCH($A20,Base!$A:$A,0)),0)))</f>
        <v>6.9634369999999999</v>
      </c>
      <c r="JD20" s="21">
        <f>IF(JD$1&lt;INDEX('Valo FX'!$Q:$Q,MATCH($A20,'Valo FX'!$A:$A,0)),0,IF(JD$1&lt;INDEX('Valo FX'!$R:$R,MATCH($A20,'Valo FX'!$A:$A,0)),INDEX(Base!$U:$U,MATCH($A20,Base!$A:$A,0)),IF(JD$1=INDEX('Valo FX'!$R:$R,MATCH($A20,'Valo FX'!$A:$A,0)),INDEX(Base!$V:$V,MATCH($A20,Base!$A:$A,0)),0)))</f>
        <v>6.9634369999999999</v>
      </c>
      <c r="JE20" s="21">
        <f>IF(JE$1&lt;INDEX('Valo FX'!$Q:$Q,MATCH($A20,'Valo FX'!$A:$A,0)),0,IF(JE$1&lt;INDEX('Valo FX'!$R:$R,MATCH($A20,'Valo FX'!$A:$A,0)),INDEX(Base!$U:$U,MATCH($A20,Base!$A:$A,0)),IF(JE$1=INDEX('Valo FX'!$R:$R,MATCH($A20,'Valo FX'!$A:$A,0)),INDEX(Base!$V:$V,MATCH($A20,Base!$A:$A,0)),0)))</f>
        <v>6.9634369999999999</v>
      </c>
      <c r="JF20" s="21">
        <f>IF(JF$1&lt;INDEX('Valo FX'!$Q:$Q,MATCH($A20,'Valo FX'!$A:$A,0)),0,IF(JF$1&lt;INDEX('Valo FX'!$R:$R,MATCH($A20,'Valo FX'!$A:$A,0)),INDEX(Base!$U:$U,MATCH($A20,Base!$A:$A,0)),IF(JF$1=INDEX('Valo FX'!$R:$R,MATCH($A20,'Valo FX'!$A:$A,0)),INDEX(Base!$V:$V,MATCH($A20,Base!$A:$A,0)),0)))</f>
        <v>6.9634369999999999</v>
      </c>
      <c r="JG20" s="21">
        <f>IF(JG$1&lt;INDEX('Valo FX'!$Q:$Q,MATCH($A20,'Valo FX'!$A:$A,0)),0,IF(JG$1&lt;INDEX('Valo FX'!$R:$R,MATCH($A20,'Valo FX'!$A:$A,0)),INDEX(Base!$U:$U,MATCH($A20,Base!$A:$A,0)),IF(JG$1=INDEX('Valo FX'!$R:$R,MATCH($A20,'Valo FX'!$A:$A,0)),INDEX(Base!$V:$V,MATCH($A20,Base!$A:$A,0)),0)))</f>
        <v>6.9634369999999999</v>
      </c>
      <c r="JH20" s="21">
        <f>IF(JH$1&lt;INDEX('Valo FX'!$Q:$Q,MATCH($A20,'Valo FX'!$A:$A,0)),0,IF(JH$1&lt;INDEX('Valo FX'!$R:$R,MATCH($A20,'Valo FX'!$A:$A,0)),INDEX(Base!$U:$U,MATCH($A20,Base!$A:$A,0)),IF(JH$1=INDEX('Valo FX'!$R:$R,MATCH($A20,'Valo FX'!$A:$A,0)),INDEX(Base!$V:$V,MATCH($A20,Base!$A:$A,0)),0)))</f>
        <v>6.9634369999999999</v>
      </c>
      <c r="JI20" s="21">
        <f>IF(JI$1&lt;INDEX('Valo FX'!$Q:$Q,MATCH($A20,'Valo FX'!$A:$A,0)),0,IF(JI$1&lt;INDEX('Valo FX'!$R:$R,MATCH($A20,'Valo FX'!$A:$A,0)),INDEX(Base!$U:$U,MATCH($A20,Base!$A:$A,0)),IF(JI$1=INDEX('Valo FX'!$R:$R,MATCH($A20,'Valo FX'!$A:$A,0)),INDEX(Base!$V:$V,MATCH($A20,Base!$A:$A,0)),0)))</f>
        <v>6.9634369999999999</v>
      </c>
      <c r="JJ20" s="21">
        <f>IF(JJ$1&lt;INDEX('Valo FX'!$Q:$Q,MATCH($A20,'Valo FX'!$A:$A,0)),0,IF(JJ$1&lt;INDEX('Valo FX'!$R:$R,MATCH($A20,'Valo FX'!$A:$A,0)),INDEX(Base!$U:$U,MATCH($A20,Base!$A:$A,0)),IF(JJ$1=INDEX('Valo FX'!$R:$R,MATCH($A20,'Valo FX'!$A:$A,0)),INDEX(Base!$V:$V,MATCH($A20,Base!$A:$A,0)),0)))</f>
        <v>6.9634369999999999</v>
      </c>
      <c r="JK20" s="21">
        <f>IF(JK$1&lt;INDEX('Valo FX'!$Q:$Q,MATCH($A20,'Valo FX'!$A:$A,0)),0,IF(JK$1&lt;INDEX('Valo FX'!$R:$R,MATCH($A20,'Valo FX'!$A:$A,0)),INDEX(Base!$U:$U,MATCH($A20,Base!$A:$A,0)),IF(JK$1=INDEX('Valo FX'!$R:$R,MATCH($A20,'Valo FX'!$A:$A,0)),INDEX(Base!$V:$V,MATCH($A20,Base!$A:$A,0)),0)))</f>
        <v>6.9634369999999999</v>
      </c>
      <c r="JL20" s="21">
        <f>IF(JL$1&lt;INDEX('Valo FX'!$Q:$Q,MATCH($A20,'Valo FX'!$A:$A,0)),0,IF(JL$1&lt;INDEX('Valo FX'!$R:$R,MATCH($A20,'Valo FX'!$A:$A,0)),INDEX(Base!$U:$U,MATCH($A20,Base!$A:$A,0)),IF(JL$1=INDEX('Valo FX'!$R:$R,MATCH($A20,'Valo FX'!$A:$A,0)),INDEX(Base!$V:$V,MATCH($A20,Base!$A:$A,0)),0)))</f>
        <v>6.9634369999999999</v>
      </c>
      <c r="JM20" s="21">
        <f>IF(JM$1&lt;INDEX('Valo FX'!$Q:$Q,MATCH($A20,'Valo FX'!$A:$A,0)),0,IF(JM$1&lt;INDEX('Valo FX'!$R:$R,MATCH($A20,'Valo FX'!$A:$A,0)),INDEX(Base!$U:$U,MATCH($A20,Base!$A:$A,0)),IF(JM$1=INDEX('Valo FX'!$R:$R,MATCH($A20,'Valo FX'!$A:$A,0)),INDEX(Base!$V:$V,MATCH($A20,Base!$A:$A,0)),0)))</f>
        <v>6.9634369999999999</v>
      </c>
      <c r="JN20" s="21">
        <f>IF(JN$1&lt;INDEX('Valo FX'!$Q:$Q,MATCH($A20,'Valo FX'!$A:$A,0)),0,IF(JN$1&lt;INDEX('Valo FX'!$R:$R,MATCH($A20,'Valo FX'!$A:$A,0)),INDEX(Base!$U:$U,MATCH($A20,Base!$A:$A,0)),IF(JN$1=INDEX('Valo FX'!$R:$R,MATCH($A20,'Valo FX'!$A:$A,0)),INDEX(Base!$V:$V,MATCH($A20,Base!$A:$A,0)),0)))</f>
        <v>6.9634369999999999</v>
      </c>
      <c r="JO20" s="21">
        <f>IF(JO$1&lt;INDEX('Valo FX'!$Q:$Q,MATCH($A20,'Valo FX'!$A:$A,0)),0,IF(JO$1&lt;INDEX('Valo FX'!$R:$R,MATCH($A20,'Valo FX'!$A:$A,0)),INDEX(Base!$U:$U,MATCH($A20,Base!$A:$A,0)),IF(JO$1=INDEX('Valo FX'!$R:$R,MATCH($A20,'Valo FX'!$A:$A,0)),INDEX(Base!$V:$V,MATCH($A20,Base!$A:$A,0)),0)))</f>
        <v>6.9634369999999999</v>
      </c>
      <c r="JP20" s="21">
        <f>IF(JP$1&lt;INDEX('Valo FX'!$Q:$Q,MATCH($A20,'Valo FX'!$A:$A,0)),0,IF(JP$1&lt;INDEX('Valo FX'!$R:$R,MATCH($A20,'Valo FX'!$A:$A,0)),INDEX(Base!$U:$U,MATCH($A20,Base!$A:$A,0)),IF(JP$1=INDEX('Valo FX'!$R:$R,MATCH($A20,'Valo FX'!$A:$A,0)),INDEX(Base!$V:$V,MATCH($A20,Base!$A:$A,0)),0)))</f>
        <v>6.9634369999999999</v>
      </c>
      <c r="JQ20" s="21">
        <f>IF(JQ$1&lt;INDEX('Valo FX'!$Q:$Q,MATCH($A20,'Valo FX'!$A:$A,0)),0,IF(JQ$1&lt;INDEX('Valo FX'!$R:$R,MATCH($A20,'Valo FX'!$A:$A,0)),INDEX(Base!$U:$U,MATCH($A20,Base!$A:$A,0)),IF(JQ$1=INDEX('Valo FX'!$R:$R,MATCH($A20,'Valo FX'!$A:$A,0)),INDEX(Base!$V:$V,MATCH($A20,Base!$A:$A,0)),0)))</f>
        <v>6.9634369999999999</v>
      </c>
      <c r="JR20" s="21">
        <f>IF(JR$1&lt;INDEX('Valo FX'!$Q:$Q,MATCH($A20,'Valo FX'!$A:$A,0)),0,IF(JR$1&lt;INDEX('Valo FX'!$R:$R,MATCH($A20,'Valo FX'!$A:$A,0)),INDEX(Base!$U:$U,MATCH($A20,Base!$A:$A,0)),IF(JR$1=INDEX('Valo FX'!$R:$R,MATCH($A20,'Valo FX'!$A:$A,0)),INDEX(Base!$V:$V,MATCH($A20,Base!$A:$A,0)),0)))</f>
        <v>6.9634369999999999</v>
      </c>
      <c r="JS20" s="21">
        <f>IF(JS$1&lt;INDEX('Valo FX'!$Q:$Q,MATCH($A20,'Valo FX'!$A:$A,0)),0,IF(JS$1&lt;INDEX('Valo FX'!$R:$R,MATCH($A20,'Valo FX'!$A:$A,0)),INDEX(Base!$U:$U,MATCH($A20,Base!$A:$A,0)),IF(JS$1=INDEX('Valo FX'!$R:$R,MATCH($A20,'Valo FX'!$A:$A,0)),INDEX(Base!$V:$V,MATCH($A20,Base!$A:$A,0)),0)))</f>
        <v>6.9634369999999999</v>
      </c>
      <c r="JT20" s="21">
        <f>IF(JT$1&lt;INDEX('Valo FX'!$Q:$Q,MATCH($A20,'Valo FX'!$A:$A,0)),0,IF(JT$1&lt;INDEX('Valo FX'!$R:$R,MATCH($A20,'Valo FX'!$A:$A,0)),INDEX(Base!$U:$U,MATCH($A20,Base!$A:$A,0)),IF(JT$1=INDEX('Valo FX'!$R:$R,MATCH($A20,'Valo FX'!$A:$A,0)),INDEX(Base!$V:$V,MATCH($A20,Base!$A:$A,0)),0)))</f>
        <v>6.9634369999999999</v>
      </c>
      <c r="JU20" s="21">
        <f>IF(JU$1&lt;INDEX('Valo FX'!$Q:$Q,MATCH($A20,'Valo FX'!$A:$A,0)),0,IF(JU$1&lt;INDEX('Valo FX'!$R:$R,MATCH($A20,'Valo FX'!$A:$A,0)),INDEX(Base!$U:$U,MATCH($A20,Base!$A:$A,0)),IF(JU$1=INDEX('Valo FX'!$R:$R,MATCH($A20,'Valo FX'!$A:$A,0)),INDEX(Base!$V:$V,MATCH($A20,Base!$A:$A,0)),0)))</f>
        <v>6.9634369999999999</v>
      </c>
      <c r="JV20" s="21">
        <f>IF(JV$1&lt;INDEX('Valo FX'!$Q:$Q,MATCH($A20,'Valo FX'!$A:$A,0)),0,IF(JV$1&lt;INDEX('Valo FX'!$R:$R,MATCH($A20,'Valo FX'!$A:$A,0)),INDEX(Base!$U:$U,MATCH($A20,Base!$A:$A,0)),IF(JV$1=INDEX('Valo FX'!$R:$R,MATCH($A20,'Valo FX'!$A:$A,0)),INDEX(Base!$V:$V,MATCH($A20,Base!$A:$A,0)),0)))</f>
        <v>6.9634369999999999</v>
      </c>
      <c r="JW20" s="21">
        <f>IF(JW$1&lt;INDEX('Valo FX'!$Q:$Q,MATCH($A20,'Valo FX'!$A:$A,0)),0,IF(JW$1&lt;INDEX('Valo FX'!$R:$R,MATCH($A20,'Valo FX'!$A:$A,0)),INDEX(Base!$U:$U,MATCH($A20,Base!$A:$A,0)),IF(JW$1=INDEX('Valo FX'!$R:$R,MATCH($A20,'Valo FX'!$A:$A,0)),INDEX(Base!$V:$V,MATCH($A20,Base!$A:$A,0)),0)))</f>
        <v>6.9634369999999999</v>
      </c>
      <c r="JX20" s="21">
        <f>IF(JX$1&lt;INDEX('Valo FX'!$Q:$Q,MATCH($A20,'Valo FX'!$A:$A,0)),0,IF(JX$1&lt;INDEX('Valo FX'!$R:$R,MATCH($A20,'Valo FX'!$A:$A,0)),INDEX(Base!$U:$U,MATCH($A20,Base!$A:$A,0)),IF(JX$1=INDEX('Valo FX'!$R:$R,MATCH($A20,'Valo FX'!$A:$A,0)),INDEX(Base!$V:$V,MATCH($A20,Base!$A:$A,0)),0)))</f>
        <v>6.9634369999999999</v>
      </c>
      <c r="JY20" s="21">
        <f>IF(JY$1&lt;INDEX('Valo FX'!$Q:$Q,MATCH($A20,'Valo FX'!$A:$A,0)),0,IF(JY$1&lt;INDEX('Valo FX'!$R:$R,MATCH($A20,'Valo FX'!$A:$A,0)),INDEX(Base!$U:$U,MATCH($A20,Base!$A:$A,0)),IF(JY$1=INDEX('Valo FX'!$R:$R,MATCH($A20,'Valo FX'!$A:$A,0)),INDEX(Base!$V:$V,MATCH($A20,Base!$A:$A,0)),0)))</f>
        <v>6.9634369999999999</v>
      </c>
      <c r="JZ20" s="21">
        <f>IF(JZ$1&lt;INDEX('Valo FX'!$Q:$Q,MATCH($A20,'Valo FX'!$A:$A,0)),0,IF(JZ$1&lt;INDEX('Valo FX'!$R:$R,MATCH($A20,'Valo FX'!$A:$A,0)),INDEX(Base!$U:$U,MATCH($A20,Base!$A:$A,0)),IF(JZ$1=INDEX('Valo FX'!$R:$R,MATCH($A20,'Valo FX'!$A:$A,0)),INDEX(Base!$V:$V,MATCH($A20,Base!$A:$A,0)),0)))</f>
        <v>6.9634369999999999</v>
      </c>
      <c r="KA20" s="21">
        <f>IF(KA$1&lt;INDEX('Valo FX'!$Q:$Q,MATCH($A20,'Valo FX'!$A:$A,0)),0,IF(KA$1&lt;INDEX('Valo FX'!$R:$R,MATCH($A20,'Valo FX'!$A:$A,0)),INDEX(Base!$U:$U,MATCH($A20,Base!$A:$A,0)),IF(KA$1=INDEX('Valo FX'!$R:$R,MATCH($A20,'Valo FX'!$A:$A,0)),INDEX(Base!$V:$V,MATCH($A20,Base!$A:$A,0)),0)))</f>
        <v>6.9634369999999999</v>
      </c>
      <c r="KB20" s="21">
        <f>IF(KB$1&lt;INDEX('Valo FX'!$Q:$Q,MATCH($A20,'Valo FX'!$A:$A,0)),0,IF(KB$1&lt;INDEX('Valo FX'!$R:$R,MATCH($A20,'Valo FX'!$A:$A,0)),INDEX(Base!$U:$U,MATCH($A20,Base!$A:$A,0)),IF(KB$1=INDEX('Valo FX'!$R:$R,MATCH($A20,'Valo FX'!$A:$A,0)),INDEX(Base!$V:$V,MATCH($A20,Base!$A:$A,0)),0)))</f>
        <v>6.9634369999999999</v>
      </c>
      <c r="KC20" s="21">
        <f>IF(KC$1&lt;INDEX('Valo FX'!$Q:$Q,MATCH($A20,'Valo FX'!$A:$A,0)),0,IF(KC$1&lt;INDEX('Valo FX'!$R:$R,MATCH($A20,'Valo FX'!$A:$A,0)),INDEX(Base!$U:$U,MATCH($A20,Base!$A:$A,0)),IF(KC$1=INDEX('Valo FX'!$R:$R,MATCH($A20,'Valo FX'!$A:$A,0)),INDEX(Base!$V:$V,MATCH($A20,Base!$A:$A,0)),0)))</f>
        <v>6.9634369999999999</v>
      </c>
      <c r="KD20" s="21">
        <f>IF(KD$1&lt;INDEX('Valo FX'!$Q:$Q,MATCH($A20,'Valo FX'!$A:$A,0)),0,IF(KD$1&lt;INDEX('Valo FX'!$R:$R,MATCH($A20,'Valo FX'!$A:$A,0)),INDEX(Base!$U:$U,MATCH($A20,Base!$A:$A,0)),IF(KD$1=INDEX('Valo FX'!$R:$R,MATCH($A20,'Valo FX'!$A:$A,0)),INDEX(Base!$V:$V,MATCH($A20,Base!$A:$A,0)),0)))</f>
        <v>6.9634369999999999</v>
      </c>
      <c r="KE20" s="21">
        <f>IF(KE$1&lt;INDEX('Valo FX'!$Q:$Q,MATCH($A20,'Valo FX'!$A:$A,0)),0,IF(KE$1&lt;INDEX('Valo FX'!$R:$R,MATCH($A20,'Valo FX'!$A:$A,0)),INDEX(Base!$U:$U,MATCH($A20,Base!$A:$A,0)),IF(KE$1=INDEX('Valo FX'!$R:$R,MATCH($A20,'Valo FX'!$A:$A,0)),INDEX(Base!$V:$V,MATCH($A20,Base!$A:$A,0)),0)))</f>
        <v>6.8575980000000003</v>
      </c>
      <c r="KF20" s="21">
        <f>IF(KF$1&lt;INDEX('Valo FX'!$Q:$Q,MATCH($A20,'Valo FX'!$A:$A,0)),0,IF(KF$1&lt;INDEX('Valo FX'!$R:$R,MATCH($A20,'Valo FX'!$A:$A,0)),INDEX(Base!$U:$U,MATCH($A20,Base!$A:$A,0)),IF(KF$1=INDEX('Valo FX'!$R:$R,MATCH($A20,'Valo FX'!$A:$A,0)),INDEX(Base!$V:$V,MATCH($A20,Base!$A:$A,0)),0)))</f>
        <v>0</v>
      </c>
      <c r="KG20" s="21">
        <f>IF(KG$1&lt;INDEX('Valo FX'!$Q:$Q,MATCH($A20,'Valo FX'!$A:$A,0)),0,IF(KG$1&lt;INDEX('Valo FX'!$R:$R,MATCH($A20,'Valo FX'!$A:$A,0)),INDEX(Base!$U:$U,MATCH($A20,Base!$A:$A,0)),IF(KG$1=INDEX('Valo FX'!$R:$R,MATCH($A20,'Valo FX'!$A:$A,0)),INDEX(Base!$V:$V,MATCH($A20,Base!$A:$A,0)),0)))</f>
        <v>0</v>
      </c>
      <c r="KH20" s="21">
        <f>IF(KH$1&lt;INDEX('Valo FX'!$Q:$Q,MATCH($A20,'Valo FX'!$A:$A,0)),0,IF(KH$1&lt;INDEX('Valo FX'!$R:$R,MATCH($A20,'Valo FX'!$A:$A,0)),INDEX(Base!$U:$U,MATCH($A20,Base!$A:$A,0)),IF(KH$1=INDEX('Valo FX'!$R:$R,MATCH($A20,'Valo FX'!$A:$A,0)),INDEX(Base!$V:$V,MATCH($A20,Base!$A:$A,0)),0)))</f>
        <v>0</v>
      </c>
      <c r="KI20" s="21">
        <f>IF(KI$1&lt;INDEX('Valo FX'!$Q:$Q,MATCH($A20,'Valo FX'!$A:$A,0)),0,IF(KI$1&lt;INDEX('Valo FX'!$R:$R,MATCH($A20,'Valo FX'!$A:$A,0)),INDEX(Base!$U:$U,MATCH($A20,Base!$A:$A,0)),IF(KI$1=INDEX('Valo FX'!$R:$R,MATCH($A20,'Valo FX'!$A:$A,0)),INDEX(Base!$V:$V,MATCH($A20,Base!$A:$A,0)),0)))</f>
        <v>0</v>
      </c>
      <c r="KJ20" s="21">
        <f>IF(KJ$1&lt;INDEX('Valo FX'!$Q:$Q,MATCH($A20,'Valo FX'!$A:$A,0)),0,IF(KJ$1&lt;INDEX('Valo FX'!$R:$R,MATCH($A20,'Valo FX'!$A:$A,0)),INDEX(Base!$U:$U,MATCH($A20,Base!$A:$A,0)),IF(KJ$1=INDEX('Valo FX'!$R:$R,MATCH($A20,'Valo FX'!$A:$A,0)),INDEX(Base!$V:$V,MATCH($A20,Base!$A:$A,0)),0)))</f>
        <v>0</v>
      </c>
      <c r="KK20" s="21">
        <f>IF(KK$1&lt;INDEX('Valo FX'!$Q:$Q,MATCH($A20,'Valo FX'!$A:$A,0)),0,IF(KK$1&lt;INDEX('Valo FX'!$R:$R,MATCH($A20,'Valo FX'!$A:$A,0)),INDEX(Base!$U:$U,MATCH($A20,Base!$A:$A,0)),IF(KK$1=INDEX('Valo FX'!$R:$R,MATCH($A20,'Valo FX'!$A:$A,0)),INDEX(Base!$V:$V,MATCH($A20,Base!$A:$A,0)),0)))</f>
        <v>0</v>
      </c>
      <c r="KL20" s="21">
        <f>IF(KL$1&lt;INDEX('Valo FX'!$Q:$Q,MATCH($A20,'Valo FX'!$A:$A,0)),0,IF(KL$1&lt;INDEX('Valo FX'!$R:$R,MATCH($A20,'Valo FX'!$A:$A,0)),INDEX(Base!$U:$U,MATCH($A20,Base!$A:$A,0)),IF(KL$1=INDEX('Valo FX'!$R:$R,MATCH($A20,'Valo FX'!$A:$A,0)),INDEX(Base!$V:$V,MATCH($A20,Base!$A:$A,0)),0)))</f>
        <v>0</v>
      </c>
      <c r="KM20" s="21">
        <f>IF(KM$1&lt;INDEX('Valo FX'!$Q:$Q,MATCH($A20,'Valo FX'!$A:$A,0)),0,IF(KM$1&lt;INDEX('Valo FX'!$R:$R,MATCH($A20,'Valo FX'!$A:$A,0)),INDEX(Base!$U:$U,MATCH($A20,Base!$A:$A,0)),IF(KM$1=INDEX('Valo FX'!$R:$R,MATCH($A20,'Valo FX'!$A:$A,0)),INDEX(Base!$V:$V,MATCH($A20,Base!$A:$A,0)),0)))</f>
        <v>0</v>
      </c>
      <c r="KN20" s="21">
        <f>IF(KN$1&lt;INDEX('Valo FX'!$Q:$Q,MATCH($A20,'Valo FX'!$A:$A,0)),0,IF(KN$1&lt;INDEX('Valo FX'!$R:$R,MATCH($A20,'Valo FX'!$A:$A,0)),INDEX(Base!$U:$U,MATCH($A20,Base!$A:$A,0)),IF(KN$1=INDEX('Valo FX'!$R:$R,MATCH($A20,'Valo FX'!$A:$A,0)),INDEX(Base!$V:$V,MATCH($A20,Base!$A:$A,0)),0)))</f>
        <v>0</v>
      </c>
      <c r="KO20" s="21">
        <f>IF(KO$1&lt;INDEX('Valo FX'!$Q:$Q,MATCH($A20,'Valo FX'!$A:$A,0)),0,IF(KO$1&lt;INDEX('Valo FX'!$R:$R,MATCH($A20,'Valo FX'!$A:$A,0)),INDEX(Base!$U:$U,MATCH($A20,Base!$A:$A,0)),IF(KO$1=INDEX('Valo FX'!$R:$R,MATCH($A20,'Valo FX'!$A:$A,0)),INDEX(Base!$V:$V,MATCH($A20,Base!$A:$A,0)),0)))</f>
        <v>0</v>
      </c>
      <c r="KP20" s="21">
        <f>IF(KP$1&lt;INDEX('Valo FX'!$Q:$Q,MATCH($A20,'Valo FX'!$A:$A,0)),0,IF(KP$1&lt;INDEX('Valo FX'!$R:$R,MATCH($A20,'Valo FX'!$A:$A,0)),INDEX(Base!$U:$U,MATCH($A20,Base!$A:$A,0)),IF(KP$1=INDEX('Valo FX'!$R:$R,MATCH($A20,'Valo FX'!$A:$A,0)),INDEX(Base!$V:$V,MATCH($A20,Base!$A:$A,0)),0)))</f>
        <v>0</v>
      </c>
      <c r="KQ20" s="21">
        <f>IF(KQ$1&lt;INDEX('Valo FX'!$Q:$Q,MATCH($A20,'Valo FX'!$A:$A,0)),0,IF(KQ$1&lt;INDEX('Valo FX'!$R:$R,MATCH($A20,'Valo FX'!$A:$A,0)),INDEX(Base!$U:$U,MATCH($A20,Base!$A:$A,0)),IF(KQ$1=INDEX('Valo FX'!$R:$R,MATCH($A20,'Valo FX'!$A:$A,0)),INDEX(Base!$V:$V,MATCH($A20,Base!$A:$A,0)),0)))</f>
        <v>0</v>
      </c>
      <c r="KR20" s="21">
        <f>IF(KR$1&lt;INDEX('Valo FX'!$Q:$Q,MATCH($A20,'Valo FX'!$A:$A,0)),0,IF(KR$1&lt;INDEX('Valo FX'!$R:$R,MATCH($A20,'Valo FX'!$A:$A,0)),INDEX(Base!$U:$U,MATCH($A20,Base!$A:$A,0)),IF(KR$1=INDEX('Valo FX'!$R:$R,MATCH($A20,'Valo FX'!$A:$A,0)),INDEX(Base!$V:$V,MATCH($A20,Base!$A:$A,0)),0)))</f>
        <v>0</v>
      </c>
      <c r="KS20" s="21">
        <f>IF(KS$1&lt;INDEX('Valo FX'!$Q:$Q,MATCH($A20,'Valo FX'!$A:$A,0)),0,IF(KS$1&lt;INDEX('Valo FX'!$R:$R,MATCH($A20,'Valo FX'!$A:$A,0)),INDEX(Base!$U:$U,MATCH($A20,Base!$A:$A,0)),IF(KS$1=INDEX('Valo FX'!$R:$R,MATCH($A20,'Valo FX'!$A:$A,0)),INDEX(Base!$V:$V,MATCH($A20,Base!$A:$A,0)),0)))</f>
        <v>0</v>
      </c>
      <c r="KT20" s="21">
        <f>IF(KT$1&lt;INDEX('Valo FX'!$Q:$Q,MATCH($A20,'Valo FX'!$A:$A,0)),0,IF(KT$1&lt;INDEX('Valo FX'!$R:$R,MATCH($A20,'Valo FX'!$A:$A,0)),INDEX(Base!$U:$U,MATCH($A20,Base!$A:$A,0)),IF(KT$1=INDEX('Valo FX'!$R:$R,MATCH($A20,'Valo FX'!$A:$A,0)),INDEX(Base!$V:$V,MATCH($A20,Base!$A:$A,0)),0)))</f>
        <v>0</v>
      </c>
      <c r="KU20" s="21">
        <f>IF(KU$1&lt;INDEX('Valo FX'!$Q:$Q,MATCH($A20,'Valo FX'!$A:$A,0)),0,IF(KU$1&lt;INDEX('Valo FX'!$R:$R,MATCH($A20,'Valo FX'!$A:$A,0)),INDEX(Base!$U:$U,MATCH($A20,Base!$A:$A,0)),IF(KU$1=INDEX('Valo FX'!$R:$R,MATCH($A20,'Valo FX'!$A:$A,0)),INDEX(Base!$V:$V,MATCH($A20,Base!$A:$A,0)),0)))</f>
        <v>0</v>
      </c>
      <c r="KV20" s="21">
        <f>IF(KV$1&lt;INDEX('Valo FX'!$Q:$Q,MATCH($A20,'Valo FX'!$A:$A,0)),0,IF(KV$1&lt;INDEX('Valo FX'!$R:$R,MATCH($A20,'Valo FX'!$A:$A,0)),INDEX(Base!$U:$U,MATCH($A20,Base!$A:$A,0)),IF(KV$1=INDEX('Valo FX'!$R:$R,MATCH($A20,'Valo FX'!$A:$A,0)),INDEX(Base!$V:$V,MATCH($A20,Base!$A:$A,0)),0)))</f>
        <v>0</v>
      </c>
      <c r="KW20" s="21">
        <f>IF(KW$1&lt;INDEX('Valo FX'!$Q:$Q,MATCH($A20,'Valo FX'!$A:$A,0)),0,IF(KW$1&lt;INDEX('Valo FX'!$R:$R,MATCH($A20,'Valo FX'!$A:$A,0)),INDEX(Base!$U:$U,MATCH($A20,Base!$A:$A,0)),IF(KW$1=INDEX('Valo FX'!$R:$R,MATCH($A20,'Valo FX'!$A:$A,0)),INDEX(Base!$V:$V,MATCH($A20,Base!$A:$A,0)),0)))</f>
        <v>0</v>
      </c>
      <c r="KX20" s="21">
        <f>IF(KX$1&lt;INDEX('Valo FX'!$Q:$Q,MATCH($A20,'Valo FX'!$A:$A,0)),0,IF(KX$1&lt;INDEX('Valo FX'!$R:$R,MATCH($A20,'Valo FX'!$A:$A,0)),INDEX(Base!$U:$U,MATCH($A20,Base!$A:$A,0)),IF(KX$1=INDEX('Valo FX'!$R:$R,MATCH($A20,'Valo FX'!$A:$A,0)),INDEX(Base!$V:$V,MATCH($A20,Base!$A:$A,0)),0)))</f>
        <v>0</v>
      </c>
      <c r="KY20" s="21">
        <f>IF(KY$1&lt;INDEX('Valo FX'!$Q:$Q,MATCH($A20,'Valo FX'!$A:$A,0)),0,IF(KY$1&lt;INDEX('Valo FX'!$R:$R,MATCH($A20,'Valo FX'!$A:$A,0)),INDEX(Base!$U:$U,MATCH($A20,Base!$A:$A,0)),IF(KY$1=INDEX('Valo FX'!$R:$R,MATCH($A20,'Valo FX'!$A:$A,0)),INDEX(Base!$V:$V,MATCH($A20,Base!$A:$A,0)),0)))</f>
        <v>0</v>
      </c>
      <c r="KZ20" s="21">
        <f>IF(KZ$1&lt;INDEX('Valo FX'!$Q:$Q,MATCH($A20,'Valo FX'!$A:$A,0)),0,IF(KZ$1&lt;INDEX('Valo FX'!$R:$R,MATCH($A20,'Valo FX'!$A:$A,0)),INDEX(Base!$U:$U,MATCH($A20,Base!$A:$A,0)),IF(KZ$1=INDEX('Valo FX'!$R:$R,MATCH($A20,'Valo FX'!$A:$A,0)),INDEX(Base!$V:$V,MATCH($A20,Base!$A:$A,0)),0)))</f>
        <v>0</v>
      </c>
      <c r="LA20" s="21">
        <f>IF(LA$1&lt;INDEX('Valo FX'!$Q:$Q,MATCH($A20,'Valo FX'!$A:$A,0)),0,IF(LA$1&lt;INDEX('Valo FX'!$R:$R,MATCH($A20,'Valo FX'!$A:$A,0)),INDEX(Base!$U:$U,MATCH($A20,Base!$A:$A,0)),IF(LA$1=INDEX('Valo FX'!$R:$R,MATCH($A20,'Valo FX'!$A:$A,0)),INDEX(Base!$V:$V,MATCH($A20,Base!$A:$A,0)),0)))</f>
        <v>0</v>
      </c>
      <c r="LB20" s="21">
        <f>IF(LB$1&lt;INDEX('Valo FX'!$Q:$Q,MATCH($A20,'Valo FX'!$A:$A,0)),0,IF(LB$1&lt;INDEX('Valo FX'!$R:$R,MATCH($A20,'Valo FX'!$A:$A,0)),INDEX(Base!$U:$U,MATCH($A20,Base!$A:$A,0)),IF(LB$1=INDEX('Valo FX'!$R:$R,MATCH($A20,'Valo FX'!$A:$A,0)),INDEX(Base!$V:$V,MATCH($A20,Base!$A:$A,0)),0)))</f>
        <v>0</v>
      </c>
      <c r="LC20" s="21">
        <f>IF(LC$1&lt;INDEX('Valo FX'!$Q:$Q,MATCH($A20,'Valo FX'!$A:$A,0)),0,IF(LC$1&lt;INDEX('Valo FX'!$R:$R,MATCH($A20,'Valo FX'!$A:$A,0)),INDEX(Base!$U:$U,MATCH($A20,Base!$A:$A,0)),IF(LC$1=INDEX('Valo FX'!$R:$R,MATCH($A20,'Valo FX'!$A:$A,0)),INDEX(Base!$V:$V,MATCH($A20,Base!$A:$A,0)),0)))</f>
        <v>0</v>
      </c>
      <c r="LD20" s="21">
        <f>IF(LD$1&lt;INDEX('Valo FX'!$Q:$Q,MATCH($A20,'Valo FX'!$A:$A,0)),0,IF(LD$1&lt;INDEX('Valo FX'!$R:$R,MATCH($A20,'Valo FX'!$A:$A,0)),INDEX(Base!$U:$U,MATCH($A20,Base!$A:$A,0)),IF(LD$1=INDEX('Valo FX'!$R:$R,MATCH($A20,'Valo FX'!$A:$A,0)),INDEX(Base!$V:$V,MATCH($A20,Base!$A:$A,0)),0)))</f>
        <v>0</v>
      </c>
      <c r="LE20" s="21">
        <f>IF(LE$1&lt;INDEX('Valo FX'!$Q:$Q,MATCH($A20,'Valo FX'!$A:$A,0)),0,IF(LE$1&lt;INDEX('Valo FX'!$R:$R,MATCH($A20,'Valo FX'!$A:$A,0)),INDEX(Base!$U:$U,MATCH($A20,Base!$A:$A,0)),IF(LE$1=INDEX('Valo FX'!$R:$R,MATCH($A20,'Valo FX'!$A:$A,0)),INDEX(Base!$V:$V,MATCH($A20,Base!$A:$A,0)),0)))</f>
        <v>0</v>
      </c>
      <c r="LF20" s="21">
        <f>IF(LF$1&lt;INDEX('Valo FX'!$Q:$Q,MATCH($A20,'Valo FX'!$A:$A,0)),0,IF(LF$1&lt;INDEX('Valo FX'!$R:$R,MATCH($A20,'Valo FX'!$A:$A,0)),INDEX(Base!$U:$U,MATCH($A20,Base!$A:$A,0)),IF(LF$1=INDEX('Valo FX'!$R:$R,MATCH($A20,'Valo FX'!$A:$A,0)),INDEX(Base!$V:$V,MATCH($A20,Base!$A:$A,0)),0)))</f>
        <v>0</v>
      </c>
      <c r="LG20" s="21">
        <f>IF(LG$1&lt;INDEX('Valo FX'!$Q:$Q,MATCH($A20,'Valo FX'!$A:$A,0)),0,IF(LG$1&lt;INDEX('Valo FX'!$R:$R,MATCH($A20,'Valo FX'!$A:$A,0)),INDEX(Base!$U:$U,MATCH($A20,Base!$A:$A,0)),IF(LG$1=INDEX('Valo FX'!$R:$R,MATCH($A20,'Valo FX'!$A:$A,0)),INDEX(Base!$V:$V,MATCH($A20,Base!$A:$A,0)),0)))</f>
        <v>0</v>
      </c>
      <c r="LH20" s="21">
        <f>IF(LH$1&lt;INDEX('Valo FX'!$Q:$Q,MATCH($A20,'Valo FX'!$A:$A,0)),0,IF(LH$1&lt;INDEX('Valo FX'!$R:$R,MATCH($A20,'Valo FX'!$A:$A,0)),INDEX(Base!$U:$U,MATCH($A20,Base!$A:$A,0)),IF(LH$1=INDEX('Valo FX'!$R:$R,MATCH($A20,'Valo FX'!$A:$A,0)),INDEX(Base!$V:$V,MATCH($A20,Base!$A:$A,0)),0)))</f>
        <v>0</v>
      </c>
      <c r="LI20" s="21">
        <f>IF(LI$1&lt;INDEX('Valo FX'!$Q:$Q,MATCH($A20,'Valo FX'!$A:$A,0)),0,IF(LI$1&lt;INDEX('Valo FX'!$R:$R,MATCH($A20,'Valo FX'!$A:$A,0)),INDEX(Base!$U:$U,MATCH($A20,Base!$A:$A,0)),IF(LI$1=INDEX('Valo FX'!$R:$R,MATCH($A20,'Valo FX'!$A:$A,0)),INDEX(Base!$V:$V,MATCH($A20,Base!$A:$A,0)),0)))</f>
        <v>0</v>
      </c>
      <c r="LJ20" s="21">
        <f>IF(LJ$1&lt;INDEX('Valo FX'!$Q:$Q,MATCH($A20,'Valo FX'!$A:$A,0)),0,IF(LJ$1&lt;INDEX('Valo FX'!$R:$R,MATCH($A20,'Valo FX'!$A:$A,0)),INDEX(Base!$U:$U,MATCH($A20,Base!$A:$A,0)),IF(LJ$1=INDEX('Valo FX'!$R:$R,MATCH($A20,'Valo FX'!$A:$A,0)),INDEX(Base!$V:$V,MATCH($A20,Base!$A:$A,0)),0)))</f>
        <v>0</v>
      </c>
      <c r="LK20" s="21">
        <f>IF(LK$1&lt;INDEX('Valo FX'!$Q:$Q,MATCH($A20,'Valo FX'!$A:$A,0)),0,IF(LK$1&lt;INDEX('Valo FX'!$R:$R,MATCH($A20,'Valo FX'!$A:$A,0)),INDEX(Base!$U:$U,MATCH($A20,Base!$A:$A,0)),IF(LK$1=INDEX('Valo FX'!$R:$R,MATCH($A20,'Valo FX'!$A:$A,0)),INDEX(Base!$V:$V,MATCH($A20,Base!$A:$A,0)),0)))</f>
        <v>0</v>
      </c>
      <c r="LL20" s="21">
        <f>IF(LL$1&lt;INDEX('Valo FX'!$Q:$Q,MATCH($A20,'Valo FX'!$A:$A,0)),0,IF(LL$1&lt;INDEX('Valo FX'!$R:$R,MATCH($A20,'Valo FX'!$A:$A,0)),INDEX(Base!$U:$U,MATCH($A20,Base!$A:$A,0)),IF(LL$1=INDEX('Valo FX'!$R:$R,MATCH($A20,'Valo FX'!$A:$A,0)),INDEX(Base!$V:$V,MATCH($A20,Base!$A:$A,0)),0)))</f>
        <v>0</v>
      </c>
      <c r="LM20" s="21">
        <f>IF(LM$1&lt;INDEX('Valo FX'!$Q:$Q,MATCH($A20,'Valo FX'!$A:$A,0)),0,IF(LM$1&lt;INDEX('Valo FX'!$R:$R,MATCH($A20,'Valo FX'!$A:$A,0)),INDEX(Base!$U:$U,MATCH($A20,Base!$A:$A,0)),IF(LM$1=INDEX('Valo FX'!$R:$R,MATCH($A20,'Valo FX'!$A:$A,0)),INDEX(Base!$V:$V,MATCH($A20,Base!$A:$A,0)),0)))</f>
        <v>0</v>
      </c>
      <c r="LN20" s="21">
        <f>IF(LN$1&lt;INDEX('Valo FX'!$Q:$Q,MATCH($A20,'Valo FX'!$A:$A,0)),0,IF(LN$1&lt;INDEX('Valo FX'!$R:$R,MATCH($A20,'Valo FX'!$A:$A,0)),INDEX(Base!$U:$U,MATCH($A20,Base!$A:$A,0)),IF(LN$1=INDEX('Valo FX'!$R:$R,MATCH($A20,'Valo FX'!$A:$A,0)),INDEX(Base!$V:$V,MATCH($A20,Base!$A:$A,0)),0)))</f>
        <v>0</v>
      </c>
      <c r="LO20" s="21">
        <f>IF(LO$1&lt;INDEX('Valo FX'!$Q:$Q,MATCH($A20,'Valo FX'!$A:$A,0)),0,IF(LO$1&lt;INDEX('Valo FX'!$R:$R,MATCH($A20,'Valo FX'!$A:$A,0)),INDEX(Base!$U:$U,MATCH($A20,Base!$A:$A,0)),IF(LO$1=INDEX('Valo FX'!$R:$R,MATCH($A20,'Valo FX'!$A:$A,0)),INDEX(Base!$V:$V,MATCH($A20,Base!$A:$A,0)),0)))</f>
        <v>0</v>
      </c>
      <c r="LP20" s="21">
        <f>IF(LP$1&lt;INDEX('Valo FX'!$Q:$Q,MATCH($A20,'Valo FX'!$A:$A,0)),0,IF(LP$1&lt;INDEX('Valo FX'!$R:$R,MATCH($A20,'Valo FX'!$A:$A,0)),INDEX(Base!$U:$U,MATCH($A20,Base!$A:$A,0)),IF(LP$1=INDEX('Valo FX'!$R:$R,MATCH($A20,'Valo FX'!$A:$A,0)),INDEX(Base!$V:$V,MATCH($A20,Base!$A:$A,0)),0)))</f>
        <v>0</v>
      </c>
      <c r="LQ20" s="21">
        <f>IF(LQ$1&lt;INDEX('Valo FX'!$Q:$Q,MATCH($A20,'Valo FX'!$A:$A,0)),0,IF(LQ$1&lt;INDEX('Valo FX'!$R:$R,MATCH($A20,'Valo FX'!$A:$A,0)),INDEX(Base!$U:$U,MATCH($A20,Base!$A:$A,0)),IF(LQ$1=INDEX('Valo FX'!$R:$R,MATCH($A20,'Valo FX'!$A:$A,0)),INDEX(Base!$V:$V,MATCH($A20,Base!$A:$A,0)),0)))</f>
        <v>0</v>
      </c>
      <c r="LR20" s="21">
        <f>IF(LR$1&lt;INDEX('Valo FX'!$Q:$Q,MATCH($A20,'Valo FX'!$A:$A,0)),0,IF(LR$1&lt;INDEX('Valo FX'!$R:$R,MATCH($A20,'Valo FX'!$A:$A,0)),INDEX(Base!$U:$U,MATCH($A20,Base!$A:$A,0)),IF(LR$1=INDEX('Valo FX'!$R:$R,MATCH($A20,'Valo FX'!$A:$A,0)),INDEX(Base!$V:$V,MATCH($A20,Base!$A:$A,0)),0)))</f>
        <v>0</v>
      </c>
      <c r="LS20" s="21">
        <f>IF(LS$1&lt;INDEX('Valo FX'!$Q:$Q,MATCH($A20,'Valo FX'!$A:$A,0)),0,IF(LS$1&lt;INDEX('Valo FX'!$R:$R,MATCH($A20,'Valo FX'!$A:$A,0)),INDEX(Base!$U:$U,MATCH($A20,Base!$A:$A,0)),IF(LS$1=INDEX('Valo FX'!$R:$R,MATCH($A20,'Valo FX'!$A:$A,0)),INDEX(Base!$V:$V,MATCH($A20,Base!$A:$A,0)),0)))</f>
        <v>0</v>
      </c>
      <c r="LT20" s="21">
        <f>IF(LT$1&lt;INDEX('Valo FX'!$Q:$Q,MATCH($A20,'Valo FX'!$A:$A,0)),0,IF(LT$1&lt;INDEX('Valo FX'!$R:$R,MATCH($A20,'Valo FX'!$A:$A,0)),INDEX(Base!$U:$U,MATCH($A20,Base!$A:$A,0)),IF(LT$1=INDEX('Valo FX'!$R:$R,MATCH($A20,'Valo FX'!$A:$A,0)),INDEX(Base!$V:$V,MATCH($A20,Base!$A:$A,0)),0)))</f>
        <v>0</v>
      </c>
      <c r="LU20" s="21">
        <f>IF(LU$1&lt;INDEX('Valo FX'!$Q:$Q,MATCH($A20,'Valo FX'!$A:$A,0)),0,IF(LU$1&lt;INDEX('Valo FX'!$R:$R,MATCH($A20,'Valo FX'!$A:$A,0)),INDEX(Base!$U:$U,MATCH($A20,Base!$A:$A,0)),IF(LU$1=INDEX('Valo FX'!$R:$R,MATCH($A20,'Valo FX'!$A:$A,0)),INDEX(Base!$V:$V,MATCH($A20,Base!$A:$A,0)),0)))</f>
        <v>0</v>
      </c>
      <c r="LV20" s="21">
        <f>IF(LV$1&lt;INDEX('Valo FX'!$Q:$Q,MATCH($A20,'Valo FX'!$A:$A,0)),0,IF(LV$1&lt;INDEX('Valo FX'!$R:$R,MATCH($A20,'Valo FX'!$A:$A,0)),INDEX(Base!$U:$U,MATCH($A20,Base!$A:$A,0)),IF(LV$1=INDEX('Valo FX'!$R:$R,MATCH($A20,'Valo FX'!$A:$A,0)),INDEX(Base!$V:$V,MATCH($A20,Base!$A:$A,0)),0)))</f>
        <v>0</v>
      </c>
      <c r="LW20" s="21">
        <f>IF(LW$1&lt;INDEX('Valo FX'!$Q:$Q,MATCH($A20,'Valo FX'!$A:$A,0)),0,IF(LW$1&lt;INDEX('Valo FX'!$R:$R,MATCH($A20,'Valo FX'!$A:$A,0)),INDEX(Base!$U:$U,MATCH($A20,Base!$A:$A,0)),IF(LW$1=INDEX('Valo FX'!$R:$R,MATCH($A20,'Valo FX'!$A:$A,0)),INDEX(Base!$V:$V,MATCH($A20,Base!$A:$A,0)),0)))</f>
        <v>0</v>
      </c>
      <c r="LX20" s="21">
        <f>IF(LX$1&lt;INDEX('Valo FX'!$Q:$Q,MATCH($A20,'Valo FX'!$A:$A,0)),0,IF(LX$1&lt;INDEX('Valo FX'!$R:$R,MATCH($A20,'Valo FX'!$A:$A,0)),INDEX(Base!$U:$U,MATCH($A20,Base!$A:$A,0)),IF(LX$1=INDEX('Valo FX'!$R:$R,MATCH($A20,'Valo FX'!$A:$A,0)),INDEX(Base!$V:$V,MATCH($A20,Base!$A:$A,0)),0)))</f>
        <v>0</v>
      </c>
      <c r="LY20" s="21">
        <f>IF(LY$1&lt;INDEX('Valo FX'!$Q:$Q,MATCH($A20,'Valo FX'!$A:$A,0)),0,IF(LY$1&lt;INDEX('Valo FX'!$R:$R,MATCH($A20,'Valo FX'!$A:$A,0)),INDEX(Base!$U:$U,MATCH($A20,Base!$A:$A,0)),IF(LY$1=INDEX('Valo FX'!$R:$R,MATCH($A20,'Valo FX'!$A:$A,0)),INDEX(Base!$V:$V,MATCH($A20,Base!$A:$A,0)),0)))</f>
        <v>0</v>
      </c>
      <c r="LZ20" s="21">
        <f>IF(LZ$1&lt;INDEX('Valo FX'!$Q:$Q,MATCH($A20,'Valo FX'!$A:$A,0)),0,IF(LZ$1&lt;INDEX('Valo FX'!$R:$R,MATCH($A20,'Valo FX'!$A:$A,0)),INDEX(Base!$U:$U,MATCH($A20,Base!$A:$A,0)),IF(LZ$1=INDEX('Valo FX'!$R:$R,MATCH($A20,'Valo FX'!$A:$A,0)),INDEX(Base!$V:$V,MATCH($A20,Base!$A:$A,0)),0)))</f>
        <v>0</v>
      </c>
      <c r="MA20" s="21">
        <f>IF(MA$1&lt;INDEX('Valo FX'!$Q:$Q,MATCH($A20,'Valo FX'!$A:$A,0)),0,IF(MA$1&lt;INDEX('Valo FX'!$R:$R,MATCH($A20,'Valo FX'!$A:$A,0)),INDEX(Base!$U:$U,MATCH($A20,Base!$A:$A,0)),IF(MA$1=INDEX('Valo FX'!$R:$R,MATCH($A20,'Valo FX'!$A:$A,0)),INDEX(Base!$V:$V,MATCH($A20,Base!$A:$A,0)),0)))</f>
        <v>0</v>
      </c>
      <c r="MB20" s="21">
        <f>IF(MB$1&lt;INDEX('Valo FX'!$Q:$Q,MATCH($A20,'Valo FX'!$A:$A,0)),0,IF(MB$1&lt;INDEX('Valo FX'!$R:$R,MATCH($A20,'Valo FX'!$A:$A,0)),INDEX(Base!$U:$U,MATCH($A20,Base!$A:$A,0)),IF(MB$1=INDEX('Valo FX'!$R:$R,MATCH($A20,'Valo FX'!$A:$A,0)),INDEX(Base!$V:$V,MATCH($A20,Base!$A:$A,0)),0)))</f>
        <v>0</v>
      </c>
      <c r="MC20" s="21">
        <f>IF(MC$1&lt;INDEX('Valo FX'!$Q:$Q,MATCH($A20,'Valo FX'!$A:$A,0)),0,IF(MC$1&lt;INDEX('Valo FX'!$R:$R,MATCH($A20,'Valo FX'!$A:$A,0)),INDEX(Base!$U:$U,MATCH($A20,Base!$A:$A,0)),IF(MC$1=INDEX('Valo FX'!$R:$R,MATCH($A20,'Valo FX'!$A:$A,0)),INDEX(Base!$V:$V,MATCH($A20,Base!$A:$A,0)),0)))</f>
        <v>0</v>
      </c>
      <c r="MD20" s="21">
        <f>IF(MD$1&lt;INDEX('Valo FX'!$Q:$Q,MATCH($A20,'Valo FX'!$A:$A,0)),0,IF(MD$1&lt;INDEX('Valo FX'!$R:$R,MATCH($A20,'Valo FX'!$A:$A,0)),INDEX(Base!$U:$U,MATCH($A20,Base!$A:$A,0)),IF(MD$1=INDEX('Valo FX'!$R:$R,MATCH($A20,'Valo FX'!$A:$A,0)),INDEX(Base!$V:$V,MATCH($A20,Base!$A:$A,0)),0)))</f>
        <v>0</v>
      </c>
      <c r="ME20" s="21">
        <f>IF(ME$1&lt;INDEX('Valo FX'!$Q:$Q,MATCH($A20,'Valo FX'!$A:$A,0)),0,IF(ME$1&lt;INDEX('Valo FX'!$R:$R,MATCH($A20,'Valo FX'!$A:$A,0)),INDEX(Base!$U:$U,MATCH($A20,Base!$A:$A,0)),IF(ME$1=INDEX('Valo FX'!$R:$R,MATCH($A20,'Valo FX'!$A:$A,0)),INDEX(Base!$V:$V,MATCH($A20,Base!$A:$A,0)),0)))</f>
        <v>0</v>
      </c>
      <c r="MF20" s="21">
        <f>IF(MF$1&lt;INDEX('Valo FX'!$Q:$Q,MATCH($A20,'Valo FX'!$A:$A,0)),0,IF(MF$1&lt;INDEX('Valo FX'!$R:$R,MATCH($A20,'Valo FX'!$A:$A,0)),INDEX(Base!$U:$U,MATCH($A20,Base!$A:$A,0)),IF(MF$1=INDEX('Valo FX'!$R:$R,MATCH($A20,'Valo FX'!$A:$A,0)),INDEX(Base!$V:$V,MATCH($A20,Base!$A:$A,0)),0)))</f>
        <v>0</v>
      </c>
      <c r="MG20" s="21">
        <f>IF(MG$1&lt;INDEX('Valo FX'!$Q:$Q,MATCH($A20,'Valo FX'!$A:$A,0)),0,IF(MG$1&lt;INDEX('Valo FX'!$R:$R,MATCH($A20,'Valo FX'!$A:$A,0)),INDEX(Base!$U:$U,MATCH($A20,Base!$A:$A,0)),IF(MG$1=INDEX('Valo FX'!$R:$R,MATCH($A20,'Valo FX'!$A:$A,0)),INDEX(Base!$V:$V,MATCH($A20,Base!$A:$A,0)),0)))</f>
        <v>0</v>
      </c>
      <c r="MH20" s="21">
        <f>IF(MH$1&lt;INDEX('Valo FX'!$Q:$Q,MATCH($A20,'Valo FX'!$A:$A,0)),0,IF(MH$1&lt;INDEX('Valo FX'!$R:$R,MATCH($A20,'Valo FX'!$A:$A,0)),INDEX(Base!$U:$U,MATCH($A20,Base!$A:$A,0)),IF(MH$1=INDEX('Valo FX'!$R:$R,MATCH($A20,'Valo FX'!$A:$A,0)),INDEX(Base!$V:$V,MATCH($A20,Base!$A:$A,0)),0)))</f>
        <v>0</v>
      </c>
      <c r="MI20" s="21">
        <f>IF(MI$1&lt;INDEX('Valo FX'!$Q:$Q,MATCH($A20,'Valo FX'!$A:$A,0)),0,IF(MI$1&lt;INDEX('Valo FX'!$R:$R,MATCH($A20,'Valo FX'!$A:$A,0)),INDEX(Base!$U:$U,MATCH($A20,Base!$A:$A,0)),IF(MI$1=INDEX('Valo FX'!$R:$R,MATCH($A20,'Valo FX'!$A:$A,0)),INDEX(Base!$V:$V,MATCH($A20,Base!$A:$A,0)),0)))</f>
        <v>0</v>
      </c>
      <c r="MJ20" s="21">
        <f>IF(MJ$1&lt;INDEX('Valo FX'!$Q:$Q,MATCH($A20,'Valo FX'!$A:$A,0)),0,IF(MJ$1&lt;INDEX('Valo FX'!$R:$R,MATCH($A20,'Valo FX'!$A:$A,0)),INDEX(Base!$U:$U,MATCH($A20,Base!$A:$A,0)),IF(MJ$1=INDEX('Valo FX'!$R:$R,MATCH($A20,'Valo FX'!$A:$A,0)),INDEX(Base!$V:$V,MATCH($A20,Base!$A:$A,0)),0)))</f>
        <v>0</v>
      </c>
      <c r="MK20" s="21">
        <f>IF(MK$1&lt;INDEX('Valo FX'!$Q:$Q,MATCH($A20,'Valo FX'!$A:$A,0)),0,IF(MK$1&lt;INDEX('Valo FX'!$R:$R,MATCH($A20,'Valo FX'!$A:$A,0)),INDEX(Base!$U:$U,MATCH($A20,Base!$A:$A,0)),IF(MK$1=INDEX('Valo FX'!$R:$R,MATCH($A20,'Valo FX'!$A:$A,0)),INDEX(Base!$V:$V,MATCH($A20,Base!$A:$A,0)),0)))</f>
        <v>0</v>
      </c>
      <c r="ML20" s="21">
        <f>IF(ML$1&lt;INDEX('Valo FX'!$Q:$Q,MATCH($A20,'Valo FX'!$A:$A,0)),0,IF(ML$1&lt;INDEX('Valo FX'!$R:$R,MATCH($A20,'Valo FX'!$A:$A,0)),INDEX(Base!$U:$U,MATCH($A20,Base!$A:$A,0)),IF(ML$1=INDEX('Valo FX'!$R:$R,MATCH($A20,'Valo FX'!$A:$A,0)),INDEX(Base!$V:$V,MATCH($A20,Base!$A:$A,0)),0)))</f>
        <v>0</v>
      </c>
      <c r="MM20" s="21">
        <f>IF(MM$1&lt;INDEX('Valo FX'!$Q:$Q,MATCH($A20,'Valo FX'!$A:$A,0)),0,IF(MM$1&lt;INDEX('Valo FX'!$R:$R,MATCH($A20,'Valo FX'!$A:$A,0)),INDEX(Base!$U:$U,MATCH($A20,Base!$A:$A,0)),IF(MM$1=INDEX('Valo FX'!$R:$R,MATCH($A20,'Valo FX'!$A:$A,0)),INDEX(Base!$V:$V,MATCH($A20,Base!$A:$A,0)),0)))</f>
        <v>0</v>
      </c>
      <c r="MN20" s="21">
        <f>IF(MN$1&lt;INDEX('Valo FX'!$Q:$Q,MATCH($A20,'Valo FX'!$A:$A,0)),0,IF(MN$1&lt;INDEX('Valo FX'!$R:$R,MATCH($A20,'Valo FX'!$A:$A,0)),INDEX(Base!$U:$U,MATCH($A20,Base!$A:$A,0)),IF(MN$1=INDEX('Valo FX'!$R:$R,MATCH($A20,'Valo FX'!$A:$A,0)),INDEX(Base!$V:$V,MATCH($A20,Base!$A:$A,0)),0)))</f>
        <v>0</v>
      </c>
      <c r="MO20" s="21">
        <f>IF(MO$1&lt;INDEX('Valo FX'!$Q:$Q,MATCH($A20,'Valo FX'!$A:$A,0)),0,IF(MO$1&lt;INDEX('Valo FX'!$R:$R,MATCH($A20,'Valo FX'!$A:$A,0)),INDEX(Base!$U:$U,MATCH($A20,Base!$A:$A,0)),IF(MO$1=INDEX('Valo FX'!$R:$R,MATCH($A20,'Valo FX'!$A:$A,0)),INDEX(Base!$V:$V,MATCH($A20,Base!$A:$A,0)),0)))</f>
        <v>0</v>
      </c>
      <c r="MP20" s="21">
        <f>IF(MP$1&lt;INDEX('Valo FX'!$Q:$Q,MATCH($A20,'Valo FX'!$A:$A,0)),0,IF(MP$1&lt;INDEX('Valo FX'!$R:$R,MATCH($A20,'Valo FX'!$A:$A,0)),INDEX(Base!$U:$U,MATCH($A20,Base!$A:$A,0)),IF(MP$1=INDEX('Valo FX'!$R:$R,MATCH($A20,'Valo FX'!$A:$A,0)),INDEX(Base!$V:$V,MATCH($A20,Base!$A:$A,0)),0)))</f>
        <v>0</v>
      </c>
      <c r="MQ20" s="21">
        <f>IF(MQ$1&lt;INDEX('Valo FX'!$Q:$Q,MATCH($A20,'Valo FX'!$A:$A,0)),0,IF(MQ$1&lt;INDEX('Valo FX'!$R:$R,MATCH($A20,'Valo FX'!$A:$A,0)),INDEX(Base!$U:$U,MATCH($A20,Base!$A:$A,0)),IF(MQ$1=INDEX('Valo FX'!$R:$R,MATCH($A20,'Valo FX'!$A:$A,0)),INDEX(Base!$V:$V,MATCH($A20,Base!$A:$A,0)),0)))</f>
        <v>0</v>
      </c>
      <c r="MR20" s="21">
        <f>IF(MR$1&lt;INDEX('Valo FX'!$Q:$Q,MATCH($A20,'Valo FX'!$A:$A,0)),0,IF(MR$1&lt;INDEX('Valo FX'!$R:$R,MATCH($A20,'Valo FX'!$A:$A,0)),INDEX(Base!$U:$U,MATCH($A20,Base!$A:$A,0)),IF(MR$1=INDEX('Valo FX'!$R:$R,MATCH($A20,'Valo FX'!$A:$A,0)),INDEX(Base!$V:$V,MATCH($A20,Base!$A:$A,0)),0)))</f>
        <v>0</v>
      </c>
      <c r="MS20" s="21">
        <f>IF(MS$1&lt;INDEX('Valo FX'!$Q:$Q,MATCH($A20,'Valo FX'!$A:$A,0)),0,IF(MS$1&lt;INDEX('Valo FX'!$R:$R,MATCH($A20,'Valo FX'!$A:$A,0)),INDEX(Base!$U:$U,MATCH($A20,Base!$A:$A,0)),IF(MS$1=INDEX('Valo FX'!$R:$R,MATCH($A20,'Valo FX'!$A:$A,0)),INDEX(Base!$V:$V,MATCH($A20,Base!$A:$A,0)),0)))</f>
        <v>0</v>
      </c>
      <c r="MT20" s="21">
        <f>IF(MT$1&lt;INDEX('Valo FX'!$Q:$Q,MATCH($A20,'Valo FX'!$A:$A,0)),0,IF(MT$1&lt;INDEX('Valo FX'!$R:$R,MATCH($A20,'Valo FX'!$A:$A,0)),INDEX(Base!$U:$U,MATCH($A20,Base!$A:$A,0)),IF(MT$1=INDEX('Valo FX'!$R:$R,MATCH($A20,'Valo FX'!$A:$A,0)),INDEX(Base!$V:$V,MATCH($A20,Base!$A:$A,0)),0)))</f>
        <v>0</v>
      </c>
      <c r="MU20" s="21">
        <f>IF(MU$1&lt;INDEX('Valo FX'!$Q:$Q,MATCH($A20,'Valo FX'!$A:$A,0)),0,IF(MU$1&lt;INDEX('Valo FX'!$R:$R,MATCH($A20,'Valo FX'!$A:$A,0)),INDEX(Base!$U:$U,MATCH($A20,Base!$A:$A,0)),IF(MU$1=INDEX('Valo FX'!$R:$R,MATCH($A20,'Valo FX'!$A:$A,0)),INDEX(Base!$V:$V,MATCH($A20,Base!$A:$A,0)),0)))</f>
        <v>0</v>
      </c>
      <c r="MV20" s="21">
        <f>IF(MV$1&lt;INDEX('Valo FX'!$Q:$Q,MATCH($A20,'Valo FX'!$A:$A,0)),0,IF(MV$1&lt;INDEX('Valo FX'!$R:$R,MATCH($A20,'Valo FX'!$A:$A,0)),INDEX(Base!$U:$U,MATCH($A20,Base!$A:$A,0)),IF(MV$1=INDEX('Valo FX'!$R:$R,MATCH($A20,'Valo FX'!$A:$A,0)),INDEX(Base!$V:$V,MATCH($A20,Base!$A:$A,0)),0)))</f>
        <v>0</v>
      </c>
      <c r="MW20" s="21">
        <f>IF(MW$1&lt;INDEX('Valo FX'!$Q:$Q,MATCH($A20,'Valo FX'!$A:$A,0)),0,IF(MW$1&lt;INDEX('Valo FX'!$R:$R,MATCH($A20,'Valo FX'!$A:$A,0)),INDEX(Base!$U:$U,MATCH($A20,Base!$A:$A,0)),IF(MW$1=INDEX('Valo FX'!$R:$R,MATCH($A20,'Valo FX'!$A:$A,0)),INDEX(Base!$V:$V,MATCH($A20,Base!$A:$A,0)),0)))</f>
        <v>0</v>
      </c>
      <c r="MX20" s="21">
        <f>IF(MX$1&lt;INDEX('Valo FX'!$Q:$Q,MATCH($A20,'Valo FX'!$A:$A,0)),0,IF(MX$1&lt;INDEX('Valo FX'!$R:$R,MATCH($A20,'Valo FX'!$A:$A,0)),INDEX(Base!$U:$U,MATCH($A20,Base!$A:$A,0)),IF(MX$1=INDEX('Valo FX'!$R:$R,MATCH($A20,'Valo FX'!$A:$A,0)),INDEX(Base!$V:$V,MATCH($A20,Base!$A:$A,0)),0)))</f>
        <v>0</v>
      </c>
      <c r="MY20" s="21">
        <f>IF(MY$1&lt;INDEX('Valo FX'!$Q:$Q,MATCH($A20,'Valo FX'!$A:$A,0)),0,IF(MY$1&lt;INDEX('Valo FX'!$R:$R,MATCH($A20,'Valo FX'!$A:$A,0)),INDEX(Base!$U:$U,MATCH($A20,Base!$A:$A,0)),IF(MY$1=INDEX('Valo FX'!$R:$R,MATCH($A20,'Valo FX'!$A:$A,0)),INDEX(Base!$V:$V,MATCH($A20,Base!$A:$A,0)),0)))</f>
        <v>0</v>
      </c>
    </row>
    <row r="21" spans="1:363" x14ac:dyDescent="0.2">
      <c r="A21" s="7">
        <f>+'Valo FX'!A22</f>
        <v>19</v>
      </c>
      <c r="B21" s="58">
        <f>-'Valo FX'!T22</f>
        <v>-1721.5903136321158</v>
      </c>
      <c r="C21" s="21">
        <f>IF(C$1&lt;INDEX('Valo FX'!$Q:$Q,MATCH($A21,'Valo FX'!$A:$A,0)),0,IF(C$1&lt;INDEX('Valo FX'!$R:$R,MATCH($A21,'Valo FX'!$A:$A,0)),INDEX(Base!$U:$U,MATCH($A21,Base!$A:$A,0)),IF(C$1=INDEX('Valo FX'!$R:$R,MATCH($A21,'Valo FX'!$A:$A,0)),INDEX(Base!$V:$V,MATCH($A21,Base!$A:$A,0)),0)))</f>
        <v>0</v>
      </c>
      <c r="D21" s="21">
        <f>IF(D$1&lt;INDEX('Valo FX'!$Q:$Q,MATCH($A21,'Valo FX'!$A:$A,0)),0,IF(D$1&lt;INDEX('Valo FX'!$R:$R,MATCH($A21,'Valo FX'!$A:$A,0)),INDEX(Base!$U:$U,MATCH($A21,Base!$A:$A,0)),IF(D$1=INDEX('Valo FX'!$R:$R,MATCH($A21,'Valo FX'!$A:$A,0)),INDEX(Base!$V:$V,MATCH($A21,Base!$A:$A,0)),0)))</f>
        <v>0</v>
      </c>
      <c r="E21" s="21">
        <f>IF(E$1&lt;INDEX('Valo FX'!$Q:$Q,MATCH($A21,'Valo FX'!$A:$A,0)),0,IF(E$1&lt;INDEX('Valo FX'!$R:$R,MATCH($A21,'Valo FX'!$A:$A,0)),INDEX(Base!$U:$U,MATCH($A21,Base!$A:$A,0)),IF(E$1=INDEX('Valo FX'!$R:$R,MATCH($A21,'Valo FX'!$A:$A,0)),INDEX(Base!$V:$V,MATCH($A21,Base!$A:$A,0)),0)))</f>
        <v>0</v>
      </c>
      <c r="F21" s="21">
        <f>IF(F$1&lt;INDEX('Valo FX'!$Q:$Q,MATCH($A21,'Valo FX'!$A:$A,0)),0,IF(F$1&lt;INDEX('Valo FX'!$R:$R,MATCH($A21,'Valo FX'!$A:$A,0)),INDEX(Base!$U:$U,MATCH($A21,Base!$A:$A,0)),IF(F$1=INDEX('Valo FX'!$R:$R,MATCH($A21,'Valo FX'!$A:$A,0)),INDEX(Base!$V:$V,MATCH($A21,Base!$A:$A,0)),0)))</f>
        <v>0</v>
      </c>
      <c r="G21" s="21">
        <f>IF(G$1&lt;INDEX('Valo FX'!$Q:$Q,MATCH($A21,'Valo FX'!$A:$A,0)),0,IF(G$1&lt;INDEX('Valo FX'!$R:$R,MATCH($A21,'Valo FX'!$A:$A,0)),INDEX(Base!$U:$U,MATCH($A21,Base!$A:$A,0)),IF(G$1=INDEX('Valo FX'!$R:$R,MATCH($A21,'Valo FX'!$A:$A,0)),INDEX(Base!$V:$V,MATCH($A21,Base!$A:$A,0)),0)))</f>
        <v>0</v>
      </c>
      <c r="H21" s="21">
        <f>IF(H$1&lt;INDEX('Valo FX'!$Q:$Q,MATCH($A21,'Valo FX'!$A:$A,0)),0,IF(H$1&lt;INDEX('Valo FX'!$R:$R,MATCH($A21,'Valo FX'!$A:$A,0)),INDEX(Base!$U:$U,MATCH($A21,Base!$A:$A,0)),IF(H$1=INDEX('Valo FX'!$R:$R,MATCH($A21,'Valo FX'!$A:$A,0)),INDEX(Base!$V:$V,MATCH($A21,Base!$A:$A,0)),0)))</f>
        <v>0</v>
      </c>
      <c r="I21" s="21">
        <f>IF(I$1&lt;INDEX('Valo FX'!$Q:$Q,MATCH($A21,'Valo FX'!$A:$A,0)),0,IF(I$1&lt;INDEX('Valo FX'!$R:$R,MATCH($A21,'Valo FX'!$A:$A,0)),INDEX(Base!$U:$U,MATCH($A21,Base!$A:$A,0)),IF(I$1=INDEX('Valo FX'!$R:$R,MATCH($A21,'Valo FX'!$A:$A,0)),INDEX(Base!$V:$V,MATCH($A21,Base!$A:$A,0)),0)))</f>
        <v>11.726136</v>
      </c>
      <c r="J21" s="21">
        <f>IF(J$1&lt;INDEX('Valo FX'!$Q:$Q,MATCH($A21,'Valo FX'!$A:$A,0)),0,IF(J$1&lt;INDEX('Valo FX'!$R:$R,MATCH($A21,'Valo FX'!$A:$A,0)),INDEX(Base!$U:$U,MATCH($A21,Base!$A:$A,0)),IF(J$1=INDEX('Valo FX'!$R:$R,MATCH($A21,'Valo FX'!$A:$A,0)),INDEX(Base!$V:$V,MATCH($A21,Base!$A:$A,0)),0)))</f>
        <v>11.726136</v>
      </c>
      <c r="K21" s="21">
        <f>IF(K$1&lt;INDEX('Valo FX'!$Q:$Q,MATCH($A21,'Valo FX'!$A:$A,0)),0,IF(K$1&lt;INDEX('Valo FX'!$R:$R,MATCH($A21,'Valo FX'!$A:$A,0)),INDEX(Base!$U:$U,MATCH($A21,Base!$A:$A,0)),IF(K$1=INDEX('Valo FX'!$R:$R,MATCH($A21,'Valo FX'!$A:$A,0)),INDEX(Base!$V:$V,MATCH($A21,Base!$A:$A,0)),0)))</f>
        <v>11.726136</v>
      </c>
      <c r="L21" s="21">
        <f>IF(L$1&lt;INDEX('Valo FX'!$Q:$Q,MATCH($A21,'Valo FX'!$A:$A,0)),0,IF(L$1&lt;INDEX('Valo FX'!$R:$R,MATCH($A21,'Valo FX'!$A:$A,0)),INDEX(Base!$U:$U,MATCH($A21,Base!$A:$A,0)),IF(L$1=INDEX('Valo FX'!$R:$R,MATCH($A21,'Valo FX'!$A:$A,0)),INDEX(Base!$V:$V,MATCH($A21,Base!$A:$A,0)),0)))</f>
        <v>11.726136</v>
      </c>
      <c r="M21" s="21">
        <f>IF(M$1&lt;INDEX('Valo FX'!$Q:$Q,MATCH($A21,'Valo FX'!$A:$A,0)),0,IF(M$1&lt;INDEX('Valo FX'!$R:$R,MATCH($A21,'Valo FX'!$A:$A,0)),INDEX(Base!$U:$U,MATCH($A21,Base!$A:$A,0)),IF(M$1=INDEX('Valo FX'!$R:$R,MATCH($A21,'Valo FX'!$A:$A,0)),INDEX(Base!$V:$V,MATCH($A21,Base!$A:$A,0)),0)))</f>
        <v>11.726136</v>
      </c>
      <c r="N21" s="21">
        <f>IF(N$1&lt;INDEX('Valo FX'!$Q:$Q,MATCH($A21,'Valo FX'!$A:$A,0)),0,IF(N$1&lt;INDEX('Valo FX'!$R:$R,MATCH($A21,'Valo FX'!$A:$A,0)),INDEX(Base!$U:$U,MATCH($A21,Base!$A:$A,0)),IF(N$1=INDEX('Valo FX'!$R:$R,MATCH($A21,'Valo FX'!$A:$A,0)),INDEX(Base!$V:$V,MATCH($A21,Base!$A:$A,0)),0)))</f>
        <v>11.726136</v>
      </c>
      <c r="O21" s="21">
        <f>IF(O$1&lt;INDEX('Valo FX'!$Q:$Q,MATCH($A21,'Valo FX'!$A:$A,0)),0,IF(O$1&lt;INDEX('Valo FX'!$R:$R,MATCH($A21,'Valo FX'!$A:$A,0)),INDEX(Base!$U:$U,MATCH($A21,Base!$A:$A,0)),IF(O$1=INDEX('Valo FX'!$R:$R,MATCH($A21,'Valo FX'!$A:$A,0)),INDEX(Base!$V:$V,MATCH($A21,Base!$A:$A,0)),0)))</f>
        <v>11.726136</v>
      </c>
      <c r="P21" s="21">
        <f>IF(P$1&lt;INDEX('Valo FX'!$Q:$Q,MATCH($A21,'Valo FX'!$A:$A,0)),0,IF(P$1&lt;INDEX('Valo FX'!$R:$R,MATCH($A21,'Valo FX'!$A:$A,0)),INDEX(Base!$U:$U,MATCH($A21,Base!$A:$A,0)),IF(P$1=INDEX('Valo FX'!$R:$R,MATCH($A21,'Valo FX'!$A:$A,0)),INDEX(Base!$V:$V,MATCH($A21,Base!$A:$A,0)),0)))</f>
        <v>11.726136</v>
      </c>
      <c r="Q21" s="21">
        <f>IF(Q$1&lt;INDEX('Valo FX'!$Q:$Q,MATCH($A21,'Valo FX'!$A:$A,0)),0,IF(Q$1&lt;INDEX('Valo FX'!$R:$R,MATCH($A21,'Valo FX'!$A:$A,0)),INDEX(Base!$U:$U,MATCH($A21,Base!$A:$A,0)),IF(Q$1=INDEX('Valo FX'!$R:$R,MATCH($A21,'Valo FX'!$A:$A,0)),INDEX(Base!$V:$V,MATCH($A21,Base!$A:$A,0)),0)))</f>
        <v>11.726136</v>
      </c>
      <c r="R21" s="21">
        <f>IF(R$1&lt;INDEX('Valo FX'!$Q:$Q,MATCH($A21,'Valo FX'!$A:$A,0)),0,IF(R$1&lt;INDEX('Valo FX'!$R:$R,MATCH($A21,'Valo FX'!$A:$A,0)),INDEX(Base!$U:$U,MATCH($A21,Base!$A:$A,0)),IF(R$1=INDEX('Valo FX'!$R:$R,MATCH($A21,'Valo FX'!$A:$A,0)),INDEX(Base!$V:$V,MATCH($A21,Base!$A:$A,0)),0)))</f>
        <v>11.726136</v>
      </c>
      <c r="S21" s="21">
        <f>IF(S$1&lt;INDEX('Valo FX'!$Q:$Q,MATCH($A21,'Valo FX'!$A:$A,0)),0,IF(S$1&lt;INDEX('Valo FX'!$R:$R,MATCH($A21,'Valo FX'!$A:$A,0)),INDEX(Base!$U:$U,MATCH($A21,Base!$A:$A,0)),IF(S$1=INDEX('Valo FX'!$R:$R,MATCH($A21,'Valo FX'!$A:$A,0)),INDEX(Base!$V:$V,MATCH($A21,Base!$A:$A,0)),0)))</f>
        <v>11.726136</v>
      </c>
      <c r="T21" s="21">
        <f>IF(T$1&lt;INDEX('Valo FX'!$Q:$Q,MATCH($A21,'Valo FX'!$A:$A,0)),0,IF(T$1&lt;INDEX('Valo FX'!$R:$R,MATCH($A21,'Valo FX'!$A:$A,0)),INDEX(Base!$U:$U,MATCH($A21,Base!$A:$A,0)),IF(T$1=INDEX('Valo FX'!$R:$R,MATCH($A21,'Valo FX'!$A:$A,0)),INDEX(Base!$V:$V,MATCH($A21,Base!$A:$A,0)),0)))</f>
        <v>11.726136</v>
      </c>
      <c r="U21" s="21">
        <f>IF(U$1&lt;INDEX('Valo FX'!$Q:$Q,MATCH($A21,'Valo FX'!$A:$A,0)),0,IF(U$1&lt;INDEX('Valo FX'!$R:$R,MATCH($A21,'Valo FX'!$A:$A,0)),INDEX(Base!$U:$U,MATCH($A21,Base!$A:$A,0)),IF(U$1=INDEX('Valo FX'!$R:$R,MATCH($A21,'Valo FX'!$A:$A,0)),INDEX(Base!$V:$V,MATCH($A21,Base!$A:$A,0)),0)))</f>
        <v>11.726136</v>
      </c>
      <c r="V21" s="21">
        <f>IF(V$1&lt;INDEX('Valo FX'!$Q:$Q,MATCH($A21,'Valo FX'!$A:$A,0)),0,IF(V$1&lt;INDEX('Valo FX'!$R:$R,MATCH($A21,'Valo FX'!$A:$A,0)),INDEX(Base!$U:$U,MATCH($A21,Base!$A:$A,0)),IF(V$1=INDEX('Valo FX'!$R:$R,MATCH($A21,'Valo FX'!$A:$A,0)),INDEX(Base!$V:$V,MATCH($A21,Base!$A:$A,0)),0)))</f>
        <v>11.726136</v>
      </c>
      <c r="W21" s="21">
        <f>IF(W$1&lt;INDEX('Valo FX'!$Q:$Q,MATCH($A21,'Valo FX'!$A:$A,0)),0,IF(W$1&lt;INDEX('Valo FX'!$R:$R,MATCH($A21,'Valo FX'!$A:$A,0)),INDEX(Base!$U:$U,MATCH($A21,Base!$A:$A,0)),IF(W$1=INDEX('Valo FX'!$R:$R,MATCH($A21,'Valo FX'!$A:$A,0)),INDEX(Base!$V:$V,MATCH($A21,Base!$A:$A,0)),0)))</f>
        <v>11.726136</v>
      </c>
      <c r="X21" s="21">
        <f>IF(X$1&lt;INDEX('Valo FX'!$Q:$Q,MATCH($A21,'Valo FX'!$A:$A,0)),0,IF(X$1&lt;INDEX('Valo FX'!$R:$R,MATCH($A21,'Valo FX'!$A:$A,0)),INDEX(Base!$U:$U,MATCH($A21,Base!$A:$A,0)),IF(X$1=INDEX('Valo FX'!$R:$R,MATCH($A21,'Valo FX'!$A:$A,0)),INDEX(Base!$V:$V,MATCH($A21,Base!$A:$A,0)),0)))</f>
        <v>11.726136</v>
      </c>
      <c r="Y21" s="21">
        <f>IF(Y$1&lt;INDEX('Valo FX'!$Q:$Q,MATCH($A21,'Valo FX'!$A:$A,0)),0,IF(Y$1&lt;INDEX('Valo FX'!$R:$R,MATCH($A21,'Valo FX'!$A:$A,0)),INDEX(Base!$U:$U,MATCH($A21,Base!$A:$A,0)),IF(Y$1=INDEX('Valo FX'!$R:$R,MATCH($A21,'Valo FX'!$A:$A,0)),INDEX(Base!$V:$V,MATCH($A21,Base!$A:$A,0)),0)))</f>
        <v>11.726136</v>
      </c>
      <c r="Z21" s="21">
        <f>IF(Z$1&lt;INDEX('Valo FX'!$Q:$Q,MATCH($A21,'Valo FX'!$A:$A,0)),0,IF(Z$1&lt;INDEX('Valo FX'!$R:$R,MATCH($A21,'Valo FX'!$A:$A,0)),INDEX(Base!$U:$U,MATCH($A21,Base!$A:$A,0)),IF(Z$1=INDEX('Valo FX'!$R:$R,MATCH($A21,'Valo FX'!$A:$A,0)),INDEX(Base!$V:$V,MATCH($A21,Base!$A:$A,0)),0)))</f>
        <v>11.726136</v>
      </c>
      <c r="AA21" s="21">
        <f>IF(AA$1&lt;INDEX('Valo FX'!$Q:$Q,MATCH($A21,'Valo FX'!$A:$A,0)),0,IF(AA$1&lt;INDEX('Valo FX'!$R:$R,MATCH($A21,'Valo FX'!$A:$A,0)),INDEX(Base!$U:$U,MATCH($A21,Base!$A:$A,0)),IF(AA$1=INDEX('Valo FX'!$R:$R,MATCH($A21,'Valo FX'!$A:$A,0)),INDEX(Base!$V:$V,MATCH($A21,Base!$A:$A,0)),0)))</f>
        <v>11.726136</v>
      </c>
      <c r="AB21" s="21">
        <f>IF(AB$1&lt;INDEX('Valo FX'!$Q:$Q,MATCH($A21,'Valo FX'!$A:$A,0)),0,IF(AB$1&lt;INDEX('Valo FX'!$R:$R,MATCH($A21,'Valo FX'!$A:$A,0)),INDEX(Base!$U:$U,MATCH($A21,Base!$A:$A,0)),IF(AB$1=INDEX('Valo FX'!$R:$R,MATCH($A21,'Valo FX'!$A:$A,0)),INDEX(Base!$V:$V,MATCH($A21,Base!$A:$A,0)),0)))</f>
        <v>11.726136</v>
      </c>
      <c r="AC21" s="21">
        <f>IF(AC$1&lt;INDEX('Valo FX'!$Q:$Q,MATCH($A21,'Valo FX'!$A:$A,0)),0,IF(AC$1&lt;INDEX('Valo FX'!$R:$R,MATCH($A21,'Valo FX'!$A:$A,0)),INDEX(Base!$U:$U,MATCH($A21,Base!$A:$A,0)),IF(AC$1=INDEX('Valo FX'!$R:$R,MATCH($A21,'Valo FX'!$A:$A,0)),INDEX(Base!$V:$V,MATCH($A21,Base!$A:$A,0)),0)))</f>
        <v>11.726136</v>
      </c>
      <c r="AD21" s="21">
        <f>IF(AD$1&lt;INDEX('Valo FX'!$Q:$Q,MATCH($A21,'Valo FX'!$A:$A,0)),0,IF(AD$1&lt;INDEX('Valo FX'!$R:$R,MATCH($A21,'Valo FX'!$A:$A,0)),INDEX(Base!$U:$U,MATCH($A21,Base!$A:$A,0)),IF(AD$1=INDEX('Valo FX'!$R:$R,MATCH($A21,'Valo FX'!$A:$A,0)),INDEX(Base!$V:$V,MATCH($A21,Base!$A:$A,0)),0)))</f>
        <v>11.726136</v>
      </c>
      <c r="AE21" s="21">
        <f>IF(AE$1&lt;INDEX('Valo FX'!$Q:$Q,MATCH($A21,'Valo FX'!$A:$A,0)),0,IF(AE$1&lt;INDEX('Valo FX'!$R:$R,MATCH($A21,'Valo FX'!$A:$A,0)),INDEX(Base!$U:$U,MATCH($A21,Base!$A:$A,0)),IF(AE$1=INDEX('Valo FX'!$R:$R,MATCH($A21,'Valo FX'!$A:$A,0)),INDEX(Base!$V:$V,MATCH($A21,Base!$A:$A,0)),0)))</f>
        <v>11.726136</v>
      </c>
      <c r="AF21" s="21">
        <f>IF(AF$1&lt;INDEX('Valo FX'!$Q:$Q,MATCH($A21,'Valo FX'!$A:$A,0)),0,IF(AF$1&lt;INDEX('Valo FX'!$R:$R,MATCH($A21,'Valo FX'!$A:$A,0)),INDEX(Base!$U:$U,MATCH($A21,Base!$A:$A,0)),IF(AF$1=INDEX('Valo FX'!$R:$R,MATCH($A21,'Valo FX'!$A:$A,0)),INDEX(Base!$V:$V,MATCH($A21,Base!$A:$A,0)),0)))</f>
        <v>11.726136</v>
      </c>
      <c r="AG21" s="21">
        <f>IF(AG$1&lt;INDEX('Valo FX'!$Q:$Q,MATCH($A21,'Valo FX'!$A:$A,0)),0,IF(AG$1&lt;INDEX('Valo FX'!$R:$R,MATCH($A21,'Valo FX'!$A:$A,0)),INDEX(Base!$U:$U,MATCH($A21,Base!$A:$A,0)),IF(AG$1=INDEX('Valo FX'!$R:$R,MATCH($A21,'Valo FX'!$A:$A,0)),INDEX(Base!$V:$V,MATCH($A21,Base!$A:$A,0)),0)))</f>
        <v>11.726136</v>
      </c>
      <c r="AH21" s="21">
        <f>IF(AH$1&lt;INDEX('Valo FX'!$Q:$Q,MATCH($A21,'Valo FX'!$A:$A,0)),0,IF(AH$1&lt;INDEX('Valo FX'!$R:$R,MATCH($A21,'Valo FX'!$A:$A,0)),INDEX(Base!$U:$U,MATCH($A21,Base!$A:$A,0)),IF(AH$1=INDEX('Valo FX'!$R:$R,MATCH($A21,'Valo FX'!$A:$A,0)),INDEX(Base!$V:$V,MATCH($A21,Base!$A:$A,0)),0)))</f>
        <v>11.726136</v>
      </c>
      <c r="AI21" s="21">
        <f>IF(AI$1&lt;INDEX('Valo FX'!$Q:$Q,MATCH($A21,'Valo FX'!$A:$A,0)),0,IF(AI$1&lt;INDEX('Valo FX'!$R:$R,MATCH($A21,'Valo FX'!$A:$A,0)),INDEX(Base!$U:$U,MATCH($A21,Base!$A:$A,0)),IF(AI$1=INDEX('Valo FX'!$R:$R,MATCH($A21,'Valo FX'!$A:$A,0)),INDEX(Base!$V:$V,MATCH($A21,Base!$A:$A,0)),0)))</f>
        <v>11.726136</v>
      </c>
      <c r="AJ21" s="21">
        <f>IF(AJ$1&lt;INDEX('Valo FX'!$Q:$Q,MATCH($A21,'Valo FX'!$A:$A,0)),0,IF(AJ$1&lt;INDEX('Valo FX'!$R:$R,MATCH($A21,'Valo FX'!$A:$A,0)),INDEX(Base!$U:$U,MATCH($A21,Base!$A:$A,0)),IF(AJ$1=INDEX('Valo FX'!$R:$R,MATCH($A21,'Valo FX'!$A:$A,0)),INDEX(Base!$V:$V,MATCH($A21,Base!$A:$A,0)),0)))</f>
        <v>11.726136</v>
      </c>
      <c r="AK21" s="21">
        <f>IF(AK$1&lt;INDEX('Valo FX'!$Q:$Q,MATCH($A21,'Valo FX'!$A:$A,0)),0,IF(AK$1&lt;INDEX('Valo FX'!$R:$R,MATCH($A21,'Valo FX'!$A:$A,0)),INDEX(Base!$U:$U,MATCH($A21,Base!$A:$A,0)),IF(AK$1=INDEX('Valo FX'!$R:$R,MATCH($A21,'Valo FX'!$A:$A,0)),INDEX(Base!$V:$V,MATCH($A21,Base!$A:$A,0)),0)))</f>
        <v>11.726136</v>
      </c>
      <c r="AL21" s="21">
        <f>IF(AL$1&lt;INDEX('Valo FX'!$Q:$Q,MATCH($A21,'Valo FX'!$A:$A,0)),0,IF(AL$1&lt;INDEX('Valo FX'!$R:$R,MATCH($A21,'Valo FX'!$A:$A,0)),INDEX(Base!$U:$U,MATCH($A21,Base!$A:$A,0)),IF(AL$1=INDEX('Valo FX'!$R:$R,MATCH($A21,'Valo FX'!$A:$A,0)),INDEX(Base!$V:$V,MATCH($A21,Base!$A:$A,0)),0)))</f>
        <v>11.726136</v>
      </c>
      <c r="AM21" s="21">
        <f>IF(AM$1&lt;INDEX('Valo FX'!$Q:$Q,MATCH($A21,'Valo FX'!$A:$A,0)),0,IF(AM$1&lt;INDEX('Valo FX'!$R:$R,MATCH($A21,'Valo FX'!$A:$A,0)),INDEX(Base!$U:$U,MATCH($A21,Base!$A:$A,0)),IF(AM$1=INDEX('Valo FX'!$R:$R,MATCH($A21,'Valo FX'!$A:$A,0)),INDEX(Base!$V:$V,MATCH($A21,Base!$A:$A,0)),0)))</f>
        <v>11.726136</v>
      </c>
      <c r="AN21" s="21">
        <f>IF(AN$1&lt;INDEX('Valo FX'!$Q:$Q,MATCH($A21,'Valo FX'!$A:$A,0)),0,IF(AN$1&lt;INDEX('Valo FX'!$R:$R,MATCH($A21,'Valo FX'!$A:$A,0)),INDEX(Base!$U:$U,MATCH($A21,Base!$A:$A,0)),IF(AN$1=INDEX('Valo FX'!$R:$R,MATCH($A21,'Valo FX'!$A:$A,0)),INDEX(Base!$V:$V,MATCH($A21,Base!$A:$A,0)),0)))</f>
        <v>11.726136</v>
      </c>
      <c r="AO21" s="21">
        <f>IF(AO$1&lt;INDEX('Valo FX'!$Q:$Q,MATCH($A21,'Valo FX'!$A:$A,0)),0,IF(AO$1&lt;INDEX('Valo FX'!$R:$R,MATCH($A21,'Valo FX'!$A:$A,0)),INDEX(Base!$U:$U,MATCH($A21,Base!$A:$A,0)),IF(AO$1=INDEX('Valo FX'!$R:$R,MATCH($A21,'Valo FX'!$A:$A,0)),INDEX(Base!$V:$V,MATCH($A21,Base!$A:$A,0)),0)))</f>
        <v>11.726136</v>
      </c>
      <c r="AP21" s="21">
        <f>IF(AP$1&lt;INDEX('Valo FX'!$Q:$Q,MATCH($A21,'Valo FX'!$A:$A,0)),0,IF(AP$1&lt;INDEX('Valo FX'!$R:$R,MATCH($A21,'Valo FX'!$A:$A,0)),INDEX(Base!$U:$U,MATCH($A21,Base!$A:$A,0)),IF(AP$1=INDEX('Valo FX'!$R:$R,MATCH($A21,'Valo FX'!$A:$A,0)),INDEX(Base!$V:$V,MATCH($A21,Base!$A:$A,0)),0)))</f>
        <v>11.726136</v>
      </c>
      <c r="AQ21" s="21">
        <f>IF(AQ$1&lt;INDEX('Valo FX'!$Q:$Q,MATCH($A21,'Valo FX'!$A:$A,0)),0,IF(AQ$1&lt;INDEX('Valo FX'!$R:$R,MATCH($A21,'Valo FX'!$A:$A,0)),INDEX(Base!$U:$U,MATCH($A21,Base!$A:$A,0)),IF(AQ$1=INDEX('Valo FX'!$R:$R,MATCH($A21,'Valo FX'!$A:$A,0)),INDEX(Base!$V:$V,MATCH($A21,Base!$A:$A,0)),0)))</f>
        <v>11.726136</v>
      </c>
      <c r="AR21" s="21">
        <f>IF(AR$1&lt;INDEX('Valo FX'!$Q:$Q,MATCH($A21,'Valo FX'!$A:$A,0)),0,IF(AR$1&lt;INDEX('Valo FX'!$R:$R,MATCH($A21,'Valo FX'!$A:$A,0)),INDEX(Base!$U:$U,MATCH($A21,Base!$A:$A,0)),IF(AR$1=INDEX('Valo FX'!$R:$R,MATCH($A21,'Valo FX'!$A:$A,0)),INDEX(Base!$V:$V,MATCH($A21,Base!$A:$A,0)),0)))</f>
        <v>11.726136</v>
      </c>
      <c r="AS21" s="21">
        <f>IF(AS$1&lt;INDEX('Valo FX'!$Q:$Q,MATCH($A21,'Valo FX'!$A:$A,0)),0,IF(AS$1&lt;INDEX('Valo FX'!$R:$R,MATCH($A21,'Valo FX'!$A:$A,0)),INDEX(Base!$U:$U,MATCH($A21,Base!$A:$A,0)),IF(AS$1=INDEX('Valo FX'!$R:$R,MATCH($A21,'Valo FX'!$A:$A,0)),INDEX(Base!$V:$V,MATCH($A21,Base!$A:$A,0)),0)))</f>
        <v>11.726136</v>
      </c>
      <c r="AT21" s="21">
        <f>IF(AT$1&lt;INDEX('Valo FX'!$Q:$Q,MATCH($A21,'Valo FX'!$A:$A,0)),0,IF(AT$1&lt;INDEX('Valo FX'!$R:$R,MATCH($A21,'Valo FX'!$A:$A,0)),INDEX(Base!$U:$U,MATCH($A21,Base!$A:$A,0)),IF(AT$1=INDEX('Valo FX'!$R:$R,MATCH($A21,'Valo FX'!$A:$A,0)),INDEX(Base!$V:$V,MATCH($A21,Base!$A:$A,0)),0)))</f>
        <v>11.726136</v>
      </c>
      <c r="AU21" s="21">
        <f>IF(AU$1&lt;INDEX('Valo FX'!$Q:$Q,MATCH($A21,'Valo FX'!$A:$A,0)),0,IF(AU$1&lt;INDEX('Valo FX'!$R:$R,MATCH($A21,'Valo FX'!$A:$A,0)),INDEX(Base!$U:$U,MATCH($A21,Base!$A:$A,0)),IF(AU$1=INDEX('Valo FX'!$R:$R,MATCH($A21,'Valo FX'!$A:$A,0)),INDEX(Base!$V:$V,MATCH($A21,Base!$A:$A,0)),0)))</f>
        <v>11.726136</v>
      </c>
      <c r="AV21" s="21">
        <f>IF(AV$1&lt;INDEX('Valo FX'!$Q:$Q,MATCH($A21,'Valo FX'!$A:$A,0)),0,IF(AV$1&lt;INDEX('Valo FX'!$R:$R,MATCH($A21,'Valo FX'!$A:$A,0)),INDEX(Base!$U:$U,MATCH($A21,Base!$A:$A,0)),IF(AV$1=INDEX('Valo FX'!$R:$R,MATCH($A21,'Valo FX'!$A:$A,0)),INDEX(Base!$V:$V,MATCH($A21,Base!$A:$A,0)),0)))</f>
        <v>11.726136</v>
      </c>
      <c r="AW21" s="21">
        <f>IF(AW$1&lt;INDEX('Valo FX'!$Q:$Q,MATCH($A21,'Valo FX'!$A:$A,0)),0,IF(AW$1&lt;INDEX('Valo FX'!$R:$R,MATCH($A21,'Valo FX'!$A:$A,0)),INDEX(Base!$U:$U,MATCH($A21,Base!$A:$A,0)),IF(AW$1=INDEX('Valo FX'!$R:$R,MATCH($A21,'Valo FX'!$A:$A,0)),INDEX(Base!$V:$V,MATCH($A21,Base!$A:$A,0)),0)))</f>
        <v>11.726136</v>
      </c>
      <c r="AX21" s="21">
        <f>IF(AX$1&lt;INDEX('Valo FX'!$Q:$Q,MATCH($A21,'Valo FX'!$A:$A,0)),0,IF(AX$1&lt;INDEX('Valo FX'!$R:$R,MATCH($A21,'Valo FX'!$A:$A,0)),INDEX(Base!$U:$U,MATCH($A21,Base!$A:$A,0)),IF(AX$1=INDEX('Valo FX'!$R:$R,MATCH($A21,'Valo FX'!$A:$A,0)),INDEX(Base!$V:$V,MATCH($A21,Base!$A:$A,0)),0)))</f>
        <v>11.726136</v>
      </c>
      <c r="AY21" s="21">
        <f>IF(AY$1&lt;INDEX('Valo FX'!$Q:$Q,MATCH($A21,'Valo FX'!$A:$A,0)),0,IF(AY$1&lt;INDEX('Valo FX'!$R:$R,MATCH($A21,'Valo FX'!$A:$A,0)),INDEX(Base!$U:$U,MATCH($A21,Base!$A:$A,0)),IF(AY$1=INDEX('Valo FX'!$R:$R,MATCH($A21,'Valo FX'!$A:$A,0)),INDEX(Base!$V:$V,MATCH($A21,Base!$A:$A,0)),0)))</f>
        <v>11.726136</v>
      </c>
      <c r="AZ21" s="21">
        <f>IF(AZ$1&lt;INDEX('Valo FX'!$Q:$Q,MATCH($A21,'Valo FX'!$A:$A,0)),0,IF(AZ$1&lt;INDEX('Valo FX'!$R:$R,MATCH($A21,'Valo FX'!$A:$A,0)),INDEX(Base!$U:$U,MATCH($A21,Base!$A:$A,0)),IF(AZ$1=INDEX('Valo FX'!$R:$R,MATCH($A21,'Valo FX'!$A:$A,0)),INDEX(Base!$V:$V,MATCH($A21,Base!$A:$A,0)),0)))</f>
        <v>11.726136</v>
      </c>
      <c r="BA21" s="21">
        <f>IF(BA$1&lt;INDEX('Valo FX'!$Q:$Q,MATCH($A21,'Valo FX'!$A:$A,0)),0,IF(BA$1&lt;INDEX('Valo FX'!$R:$R,MATCH($A21,'Valo FX'!$A:$A,0)),INDEX(Base!$U:$U,MATCH($A21,Base!$A:$A,0)),IF(BA$1=INDEX('Valo FX'!$R:$R,MATCH($A21,'Valo FX'!$A:$A,0)),INDEX(Base!$V:$V,MATCH($A21,Base!$A:$A,0)),0)))</f>
        <v>11.726136</v>
      </c>
      <c r="BB21" s="21">
        <f>IF(BB$1&lt;INDEX('Valo FX'!$Q:$Q,MATCH($A21,'Valo FX'!$A:$A,0)),0,IF(BB$1&lt;INDEX('Valo FX'!$R:$R,MATCH($A21,'Valo FX'!$A:$A,0)),INDEX(Base!$U:$U,MATCH($A21,Base!$A:$A,0)),IF(BB$1=INDEX('Valo FX'!$R:$R,MATCH($A21,'Valo FX'!$A:$A,0)),INDEX(Base!$V:$V,MATCH($A21,Base!$A:$A,0)),0)))</f>
        <v>11.726136</v>
      </c>
      <c r="BC21" s="21">
        <f>IF(BC$1&lt;INDEX('Valo FX'!$Q:$Q,MATCH($A21,'Valo FX'!$A:$A,0)),0,IF(BC$1&lt;INDEX('Valo FX'!$R:$R,MATCH($A21,'Valo FX'!$A:$A,0)),INDEX(Base!$U:$U,MATCH($A21,Base!$A:$A,0)),IF(BC$1=INDEX('Valo FX'!$R:$R,MATCH($A21,'Valo FX'!$A:$A,0)),INDEX(Base!$V:$V,MATCH($A21,Base!$A:$A,0)),0)))</f>
        <v>11.726136</v>
      </c>
      <c r="BD21" s="21">
        <f>IF(BD$1&lt;INDEX('Valo FX'!$Q:$Q,MATCH($A21,'Valo FX'!$A:$A,0)),0,IF(BD$1&lt;INDEX('Valo FX'!$R:$R,MATCH($A21,'Valo FX'!$A:$A,0)),INDEX(Base!$U:$U,MATCH($A21,Base!$A:$A,0)),IF(BD$1=INDEX('Valo FX'!$R:$R,MATCH($A21,'Valo FX'!$A:$A,0)),INDEX(Base!$V:$V,MATCH($A21,Base!$A:$A,0)),0)))</f>
        <v>11.726136</v>
      </c>
      <c r="BE21" s="21">
        <f>IF(BE$1&lt;INDEX('Valo FX'!$Q:$Q,MATCH($A21,'Valo FX'!$A:$A,0)),0,IF(BE$1&lt;INDEX('Valo FX'!$R:$R,MATCH($A21,'Valo FX'!$A:$A,0)),INDEX(Base!$U:$U,MATCH($A21,Base!$A:$A,0)),IF(BE$1=INDEX('Valo FX'!$R:$R,MATCH($A21,'Valo FX'!$A:$A,0)),INDEX(Base!$V:$V,MATCH($A21,Base!$A:$A,0)),0)))</f>
        <v>11.726136</v>
      </c>
      <c r="BF21" s="21">
        <f>IF(BF$1&lt;INDEX('Valo FX'!$Q:$Q,MATCH($A21,'Valo FX'!$A:$A,0)),0,IF(BF$1&lt;INDEX('Valo FX'!$R:$R,MATCH($A21,'Valo FX'!$A:$A,0)),INDEX(Base!$U:$U,MATCH($A21,Base!$A:$A,0)),IF(BF$1=INDEX('Valo FX'!$R:$R,MATCH($A21,'Valo FX'!$A:$A,0)),INDEX(Base!$V:$V,MATCH($A21,Base!$A:$A,0)),0)))</f>
        <v>11.726136</v>
      </c>
      <c r="BG21" s="21">
        <f>IF(BG$1&lt;INDEX('Valo FX'!$Q:$Q,MATCH($A21,'Valo FX'!$A:$A,0)),0,IF(BG$1&lt;INDEX('Valo FX'!$R:$R,MATCH($A21,'Valo FX'!$A:$A,0)),INDEX(Base!$U:$U,MATCH($A21,Base!$A:$A,0)),IF(BG$1=INDEX('Valo FX'!$R:$R,MATCH($A21,'Valo FX'!$A:$A,0)),INDEX(Base!$V:$V,MATCH($A21,Base!$A:$A,0)),0)))</f>
        <v>11.726136</v>
      </c>
      <c r="BH21" s="21">
        <f>IF(BH$1&lt;INDEX('Valo FX'!$Q:$Q,MATCH($A21,'Valo FX'!$A:$A,0)),0,IF(BH$1&lt;INDEX('Valo FX'!$R:$R,MATCH($A21,'Valo FX'!$A:$A,0)),INDEX(Base!$U:$U,MATCH($A21,Base!$A:$A,0)),IF(BH$1=INDEX('Valo FX'!$R:$R,MATCH($A21,'Valo FX'!$A:$A,0)),INDEX(Base!$V:$V,MATCH($A21,Base!$A:$A,0)),0)))</f>
        <v>11.726136</v>
      </c>
      <c r="BI21" s="21">
        <f>IF(BI$1&lt;INDEX('Valo FX'!$Q:$Q,MATCH($A21,'Valo FX'!$A:$A,0)),0,IF(BI$1&lt;INDEX('Valo FX'!$R:$R,MATCH($A21,'Valo FX'!$A:$A,0)),INDEX(Base!$U:$U,MATCH($A21,Base!$A:$A,0)),IF(BI$1=INDEX('Valo FX'!$R:$R,MATCH($A21,'Valo FX'!$A:$A,0)),INDEX(Base!$V:$V,MATCH($A21,Base!$A:$A,0)),0)))</f>
        <v>11.726136</v>
      </c>
      <c r="BJ21" s="21">
        <f>IF(BJ$1&lt;INDEX('Valo FX'!$Q:$Q,MATCH($A21,'Valo FX'!$A:$A,0)),0,IF(BJ$1&lt;INDEX('Valo FX'!$R:$R,MATCH($A21,'Valo FX'!$A:$A,0)),INDEX(Base!$U:$U,MATCH($A21,Base!$A:$A,0)),IF(BJ$1=INDEX('Valo FX'!$R:$R,MATCH($A21,'Valo FX'!$A:$A,0)),INDEX(Base!$V:$V,MATCH($A21,Base!$A:$A,0)),0)))</f>
        <v>11.726136</v>
      </c>
      <c r="BK21" s="21">
        <f>IF(BK$1&lt;INDEX('Valo FX'!$Q:$Q,MATCH($A21,'Valo FX'!$A:$A,0)),0,IF(BK$1&lt;INDEX('Valo FX'!$R:$R,MATCH($A21,'Valo FX'!$A:$A,0)),INDEX(Base!$U:$U,MATCH($A21,Base!$A:$A,0)),IF(BK$1=INDEX('Valo FX'!$R:$R,MATCH($A21,'Valo FX'!$A:$A,0)),INDEX(Base!$V:$V,MATCH($A21,Base!$A:$A,0)),0)))</f>
        <v>11.726136</v>
      </c>
      <c r="BL21" s="21">
        <f>IF(BL$1&lt;INDEX('Valo FX'!$Q:$Q,MATCH($A21,'Valo FX'!$A:$A,0)),0,IF(BL$1&lt;INDEX('Valo FX'!$R:$R,MATCH($A21,'Valo FX'!$A:$A,0)),INDEX(Base!$U:$U,MATCH($A21,Base!$A:$A,0)),IF(BL$1=INDEX('Valo FX'!$R:$R,MATCH($A21,'Valo FX'!$A:$A,0)),INDEX(Base!$V:$V,MATCH($A21,Base!$A:$A,0)),0)))</f>
        <v>11.726136</v>
      </c>
      <c r="BM21" s="21">
        <f>IF(BM$1&lt;INDEX('Valo FX'!$Q:$Q,MATCH($A21,'Valo FX'!$A:$A,0)),0,IF(BM$1&lt;INDEX('Valo FX'!$R:$R,MATCH($A21,'Valo FX'!$A:$A,0)),INDEX(Base!$U:$U,MATCH($A21,Base!$A:$A,0)),IF(BM$1=INDEX('Valo FX'!$R:$R,MATCH($A21,'Valo FX'!$A:$A,0)),INDEX(Base!$V:$V,MATCH($A21,Base!$A:$A,0)),0)))</f>
        <v>11.726136</v>
      </c>
      <c r="BN21" s="21">
        <f>IF(BN$1&lt;INDEX('Valo FX'!$Q:$Q,MATCH($A21,'Valo FX'!$A:$A,0)),0,IF(BN$1&lt;INDEX('Valo FX'!$R:$R,MATCH($A21,'Valo FX'!$A:$A,0)),INDEX(Base!$U:$U,MATCH($A21,Base!$A:$A,0)),IF(BN$1=INDEX('Valo FX'!$R:$R,MATCH($A21,'Valo FX'!$A:$A,0)),INDEX(Base!$V:$V,MATCH($A21,Base!$A:$A,0)),0)))</f>
        <v>11.726136</v>
      </c>
      <c r="BO21" s="21">
        <f>IF(BO$1&lt;INDEX('Valo FX'!$Q:$Q,MATCH($A21,'Valo FX'!$A:$A,0)),0,IF(BO$1&lt;INDEX('Valo FX'!$R:$R,MATCH($A21,'Valo FX'!$A:$A,0)),INDEX(Base!$U:$U,MATCH($A21,Base!$A:$A,0)),IF(BO$1=INDEX('Valo FX'!$R:$R,MATCH($A21,'Valo FX'!$A:$A,0)),INDEX(Base!$V:$V,MATCH($A21,Base!$A:$A,0)),0)))</f>
        <v>11.726136</v>
      </c>
      <c r="BP21" s="21">
        <f>IF(BP$1&lt;INDEX('Valo FX'!$Q:$Q,MATCH($A21,'Valo FX'!$A:$A,0)),0,IF(BP$1&lt;INDEX('Valo FX'!$R:$R,MATCH($A21,'Valo FX'!$A:$A,0)),INDEX(Base!$U:$U,MATCH($A21,Base!$A:$A,0)),IF(BP$1=INDEX('Valo FX'!$R:$R,MATCH($A21,'Valo FX'!$A:$A,0)),INDEX(Base!$V:$V,MATCH($A21,Base!$A:$A,0)),0)))</f>
        <v>11.726136</v>
      </c>
      <c r="BQ21" s="21">
        <f>IF(BQ$1&lt;INDEX('Valo FX'!$Q:$Q,MATCH($A21,'Valo FX'!$A:$A,0)),0,IF(BQ$1&lt;INDEX('Valo FX'!$R:$R,MATCH($A21,'Valo FX'!$A:$A,0)),INDEX(Base!$U:$U,MATCH($A21,Base!$A:$A,0)),IF(BQ$1=INDEX('Valo FX'!$R:$R,MATCH($A21,'Valo FX'!$A:$A,0)),INDEX(Base!$V:$V,MATCH($A21,Base!$A:$A,0)),0)))</f>
        <v>11.726136</v>
      </c>
      <c r="BR21" s="21">
        <f>IF(BR$1&lt;INDEX('Valo FX'!$Q:$Q,MATCH($A21,'Valo FX'!$A:$A,0)),0,IF(BR$1&lt;INDEX('Valo FX'!$R:$R,MATCH($A21,'Valo FX'!$A:$A,0)),INDEX(Base!$U:$U,MATCH($A21,Base!$A:$A,0)),IF(BR$1=INDEX('Valo FX'!$R:$R,MATCH($A21,'Valo FX'!$A:$A,0)),INDEX(Base!$V:$V,MATCH($A21,Base!$A:$A,0)),0)))</f>
        <v>11.726136</v>
      </c>
      <c r="BS21" s="21">
        <f>IF(BS$1&lt;INDEX('Valo FX'!$Q:$Q,MATCH($A21,'Valo FX'!$A:$A,0)),0,IF(BS$1&lt;INDEX('Valo FX'!$R:$R,MATCH($A21,'Valo FX'!$A:$A,0)),INDEX(Base!$U:$U,MATCH($A21,Base!$A:$A,0)),IF(BS$1=INDEX('Valo FX'!$R:$R,MATCH($A21,'Valo FX'!$A:$A,0)),INDEX(Base!$V:$V,MATCH($A21,Base!$A:$A,0)),0)))</f>
        <v>11.726136</v>
      </c>
      <c r="BT21" s="21">
        <f>IF(BT$1&lt;INDEX('Valo FX'!$Q:$Q,MATCH($A21,'Valo FX'!$A:$A,0)),0,IF(BT$1&lt;INDEX('Valo FX'!$R:$R,MATCH($A21,'Valo FX'!$A:$A,0)),INDEX(Base!$U:$U,MATCH($A21,Base!$A:$A,0)),IF(BT$1=INDEX('Valo FX'!$R:$R,MATCH($A21,'Valo FX'!$A:$A,0)),INDEX(Base!$V:$V,MATCH($A21,Base!$A:$A,0)),0)))</f>
        <v>11.726136</v>
      </c>
      <c r="BU21" s="21">
        <f>IF(BU$1&lt;INDEX('Valo FX'!$Q:$Q,MATCH($A21,'Valo FX'!$A:$A,0)),0,IF(BU$1&lt;INDEX('Valo FX'!$R:$R,MATCH($A21,'Valo FX'!$A:$A,0)),INDEX(Base!$U:$U,MATCH($A21,Base!$A:$A,0)),IF(BU$1=INDEX('Valo FX'!$R:$R,MATCH($A21,'Valo FX'!$A:$A,0)),INDEX(Base!$V:$V,MATCH($A21,Base!$A:$A,0)),0)))</f>
        <v>11.726136</v>
      </c>
      <c r="BV21" s="21">
        <f>IF(BV$1&lt;INDEX('Valo FX'!$Q:$Q,MATCH($A21,'Valo FX'!$A:$A,0)),0,IF(BV$1&lt;INDEX('Valo FX'!$R:$R,MATCH($A21,'Valo FX'!$A:$A,0)),INDEX(Base!$U:$U,MATCH($A21,Base!$A:$A,0)),IF(BV$1=INDEX('Valo FX'!$R:$R,MATCH($A21,'Valo FX'!$A:$A,0)),INDEX(Base!$V:$V,MATCH($A21,Base!$A:$A,0)),0)))</f>
        <v>11.726136</v>
      </c>
      <c r="BW21" s="21">
        <f>IF(BW$1&lt;INDEX('Valo FX'!$Q:$Q,MATCH($A21,'Valo FX'!$A:$A,0)),0,IF(BW$1&lt;INDEX('Valo FX'!$R:$R,MATCH($A21,'Valo FX'!$A:$A,0)),INDEX(Base!$U:$U,MATCH($A21,Base!$A:$A,0)),IF(BW$1=INDEX('Valo FX'!$R:$R,MATCH($A21,'Valo FX'!$A:$A,0)),INDEX(Base!$V:$V,MATCH($A21,Base!$A:$A,0)),0)))</f>
        <v>11.726136</v>
      </c>
      <c r="BX21" s="21">
        <f>IF(BX$1&lt;INDEX('Valo FX'!$Q:$Q,MATCH($A21,'Valo FX'!$A:$A,0)),0,IF(BX$1&lt;INDEX('Valo FX'!$R:$R,MATCH($A21,'Valo FX'!$A:$A,0)),INDEX(Base!$U:$U,MATCH($A21,Base!$A:$A,0)),IF(BX$1=INDEX('Valo FX'!$R:$R,MATCH($A21,'Valo FX'!$A:$A,0)),INDEX(Base!$V:$V,MATCH($A21,Base!$A:$A,0)),0)))</f>
        <v>11.726136</v>
      </c>
      <c r="BY21" s="21">
        <f>IF(BY$1&lt;INDEX('Valo FX'!$Q:$Q,MATCH($A21,'Valo FX'!$A:$A,0)),0,IF(BY$1&lt;INDEX('Valo FX'!$R:$R,MATCH($A21,'Valo FX'!$A:$A,0)),INDEX(Base!$U:$U,MATCH($A21,Base!$A:$A,0)),IF(BY$1=INDEX('Valo FX'!$R:$R,MATCH($A21,'Valo FX'!$A:$A,0)),INDEX(Base!$V:$V,MATCH($A21,Base!$A:$A,0)),0)))</f>
        <v>11.726136</v>
      </c>
      <c r="BZ21" s="21">
        <f>IF(BZ$1&lt;INDEX('Valo FX'!$Q:$Q,MATCH($A21,'Valo FX'!$A:$A,0)),0,IF(BZ$1&lt;INDEX('Valo FX'!$R:$R,MATCH($A21,'Valo FX'!$A:$A,0)),INDEX(Base!$U:$U,MATCH($A21,Base!$A:$A,0)),IF(BZ$1=INDEX('Valo FX'!$R:$R,MATCH($A21,'Valo FX'!$A:$A,0)),INDEX(Base!$V:$V,MATCH($A21,Base!$A:$A,0)),0)))</f>
        <v>11.726136</v>
      </c>
      <c r="CA21" s="21">
        <f>IF(CA$1&lt;INDEX('Valo FX'!$Q:$Q,MATCH($A21,'Valo FX'!$A:$A,0)),0,IF(CA$1&lt;INDEX('Valo FX'!$R:$R,MATCH($A21,'Valo FX'!$A:$A,0)),INDEX(Base!$U:$U,MATCH($A21,Base!$A:$A,0)),IF(CA$1=INDEX('Valo FX'!$R:$R,MATCH($A21,'Valo FX'!$A:$A,0)),INDEX(Base!$V:$V,MATCH($A21,Base!$A:$A,0)),0)))</f>
        <v>11.726136</v>
      </c>
      <c r="CB21" s="21">
        <f>IF(CB$1&lt;INDEX('Valo FX'!$Q:$Q,MATCH($A21,'Valo FX'!$A:$A,0)),0,IF(CB$1&lt;INDEX('Valo FX'!$R:$R,MATCH($A21,'Valo FX'!$A:$A,0)),INDEX(Base!$U:$U,MATCH($A21,Base!$A:$A,0)),IF(CB$1=INDEX('Valo FX'!$R:$R,MATCH($A21,'Valo FX'!$A:$A,0)),INDEX(Base!$V:$V,MATCH($A21,Base!$A:$A,0)),0)))</f>
        <v>11.726136</v>
      </c>
      <c r="CC21" s="21">
        <f>IF(CC$1&lt;INDEX('Valo FX'!$Q:$Q,MATCH($A21,'Valo FX'!$A:$A,0)),0,IF(CC$1&lt;INDEX('Valo FX'!$R:$R,MATCH($A21,'Valo FX'!$A:$A,0)),INDEX(Base!$U:$U,MATCH($A21,Base!$A:$A,0)),IF(CC$1=INDEX('Valo FX'!$R:$R,MATCH($A21,'Valo FX'!$A:$A,0)),INDEX(Base!$V:$V,MATCH($A21,Base!$A:$A,0)),0)))</f>
        <v>11.726136</v>
      </c>
      <c r="CD21" s="21">
        <f>IF(CD$1&lt;INDEX('Valo FX'!$Q:$Q,MATCH($A21,'Valo FX'!$A:$A,0)),0,IF(CD$1&lt;INDEX('Valo FX'!$R:$R,MATCH($A21,'Valo FX'!$A:$A,0)),INDEX(Base!$U:$U,MATCH($A21,Base!$A:$A,0)),IF(CD$1=INDEX('Valo FX'!$R:$R,MATCH($A21,'Valo FX'!$A:$A,0)),INDEX(Base!$V:$V,MATCH($A21,Base!$A:$A,0)),0)))</f>
        <v>11.726136</v>
      </c>
      <c r="CE21" s="21">
        <f>IF(CE$1&lt;INDEX('Valo FX'!$Q:$Q,MATCH($A21,'Valo FX'!$A:$A,0)),0,IF(CE$1&lt;INDEX('Valo FX'!$R:$R,MATCH($A21,'Valo FX'!$A:$A,0)),INDEX(Base!$U:$U,MATCH($A21,Base!$A:$A,0)),IF(CE$1=INDEX('Valo FX'!$R:$R,MATCH($A21,'Valo FX'!$A:$A,0)),INDEX(Base!$V:$V,MATCH($A21,Base!$A:$A,0)),0)))</f>
        <v>11.726136</v>
      </c>
      <c r="CF21" s="21">
        <f>IF(CF$1&lt;INDEX('Valo FX'!$Q:$Q,MATCH($A21,'Valo FX'!$A:$A,0)),0,IF(CF$1&lt;INDEX('Valo FX'!$R:$R,MATCH($A21,'Valo FX'!$A:$A,0)),INDEX(Base!$U:$U,MATCH($A21,Base!$A:$A,0)),IF(CF$1=INDEX('Valo FX'!$R:$R,MATCH($A21,'Valo FX'!$A:$A,0)),INDEX(Base!$V:$V,MATCH($A21,Base!$A:$A,0)),0)))</f>
        <v>11.726136</v>
      </c>
      <c r="CG21" s="21">
        <f>IF(CG$1&lt;INDEX('Valo FX'!$Q:$Q,MATCH($A21,'Valo FX'!$A:$A,0)),0,IF(CG$1&lt;INDEX('Valo FX'!$R:$R,MATCH($A21,'Valo FX'!$A:$A,0)),INDEX(Base!$U:$U,MATCH($A21,Base!$A:$A,0)),IF(CG$1=INDEX('Valo FX'!$R:$R,MATCH($A21,'Valo FX'!$A:$A,0)),INDEX(Base!$V:$V,MATCH($A21,Base!$A:$A,0)),0)))</f>
        <v>11.726136</v>
      </c>
      <c r="CH21" s="21">
        <f>IF(CH$1&lt;INDEX('Valo FX'!$Q:$Q,MATCH($A21,'Valo FX'!$A:$A,0)),0,IF(CH$1&lt;INDEX('Valo FX'!$R:$R,MATCH($A21,'Valo FX'!$A:$A,0)),INDEX(Base!$U:$U,MATCH($A21,Base!$A:$A,0)),IF(CH$1=INDEX('Valo FX'!$R:$R,MATCH($A21,'Valo FX'!$A:$A,0)),INDEX(Base!$V:$V,MATCH($A21,Base!$A:$A,0)),0)))</f>
        <v>11.726136</v>
      </c>
      <c r="CI21" s="21">
        <f>IF(CI$1&lt;INDEX('Valo FX'!$Q:$Q,MATCH($A21,'Valo FX'!$A:$A,0)),0,IF(CI$1&lt;INDEX('Valo FX'!$R:$R,MATCH($A21,'Valo FX'!$A:$A,0)),INDEX(Base!$U:$U,MATCH($A21,Base!$A:$A,0)),IF(CI$1=INDEX('Valo FX'!$R:$R,MATCH($A21,'Valo FX'!$A:$A,0)),INDEX(Base!$V:$V,MATCH($A21,Base!$A:$A,0)),0)))</f>
        <v>11.726136</v>
      </c>
      <c r="CJ21" s="21">
        <f>IF(CJ$1&lt;INDEX('Valo FX'!$Q:$Q,MATCH($A21,'Valo FX'!$A:$A,0)),0,IF(CJ$1&lt;INDEX('Valo FX'!$R:$R,MATCH($A21,'Valo FX'!$A:$A,0)),INDEX(Base!$U:$U,MATCH($A21,Base!$A:$A,0)),IF(CJ$1=INDEX('Valo FX'!$R:$R,MATCH($A21,'Valo FX'!$A:$A,0)),INDEX(Base!$V:$V,MATCH($A21,Base!$A:$A,0)),0)))</f>
        <v>11.726136</v>
      </c>
      <c r="CK21" s="21">
        <f>IF(CK$1&lt;INDEX('Valo FX'!$Q:$Q,MATCH($A21,'Valo FX'!$A:$A,0)),0,IF(CK$1&lt;INDEX('Valo FX'!$R:$R,MATCH($A21,'Valo FX'!$A:$A,0)),INDEX(Base!$U:$U,MATCH($A21,Base!$A:$A,0)),IF(CK$1=INDEX('Valo FX'!$R:$R,MATCH($A21,'Valo FX'!$A:$A,0)),INDEX(Base!$V:$V,MATCH($A21,Base!$A:$A,0)),0)))</f>
        <v>11.726136</v>
      </c>
      <c r="CL21" s="21">
        <f>IF(CL$1&lt;INDEX('Valo FX'!$Q:$Q,MATCH($A21,'Valo FX'!$A:$A,0)),0,IF(CL$1&lt;INDEX('Valo FX'!$R:$R,MATCH($A21,'Valo FX'!$A:$A,0)),INDEX(Base!$U:$U,MATCH($A21,Base!$A:$A,0)),IF(CL$1=INDEX('Valo FX'!$R:$R,MATCH($A21,'Valo FX'!$A:$A,0)),INDEX(Base!$V:$V,MATCH($A21,Base!$A:$A,0)),0)))</f>
        <v>11.726136</v>
      </c>
      <c r="CM21" s="21">
        <f>IF(CM$1&lt;INDEX('Valo FX'!$Q:$Q,MATCH($A21,'Valo FX'!$A:$A,0)),0,IF(CM$1&lt;INDEX('Valo FX'!$R:$R,MATCH($A21,'Valo FX'!$A:$A,0)),INDEX(Base!$U:$U,MATCH($A21,Base!$A:$A,0)),IF(CM$1=INDEX('Valo FX'!$R:$R,MATCH($A21,'Valo FX'!$A:$A,0)),INDEX(Base!$V:$V,MATCH($A21,Base!$A:$A,0)),0)))</f>
        <v>11.726136</v>
      </c>
      <c r="CN21" s="21">
        <f>IF(CN$1&lt;INDEX('Valo FX'!$Q:$Q,MATCH($A21,'Valo FX'!$A:$A,0)),0,IF(CN$1&lt;INDEX('Valo FX'!$R:$R,MATCH($A21,'Valo FX'!$A:$A,0)),INDEX(Base!$U:$U,MATCH($A21,Base!$A:$A,0)),IF(CN$1=INDEX('Valo FX'!$R:$R,MATCH($A21,'Valo FX'!$A:$A,0)),INDEX(Base!$V:$V,MATCH($A21,Base!$A:$A,0)),0)))</f>
        <v>11.726136</v>
      </c>
      <c r="CO21" s="21">
        <f>IF(CO$1&lt;INDEX('Valo FX'!$Q:$Q,MATCH($A21,'Valo FX'!$A:$A,0)),0,IF(CO$1&lt;INDEX('Valo FX'!$R:$R,MATCH($A21,'Valo FX'!$A:$A,0)),INDEX(Base!$U:$U,MATCH($A21,Base!$A:$A,0)),IF(CO$1=INDEX('Valo FX'!$R:$R,MATCH($A21,'Valo FX'!$A:$A,0)),INDEX(Base!$V:$V,MATCH($A21,Base!$A:$A,0)),0)))</f>
        <v>11.726136</v>
      </c>
      <c r="CP21" s="21">
        <f>IF(CP$1&lt;INDEX('Valo FX'!$Q:$Q,MATCH($A21,'Valo FX'!$A:$A,0)),0,IF(CP$1&lt;INDEX('Valo FX'!$R:$R,MATCH($A21,'Valo FX'!$A:$A,0)),INDEX(Base!$U:$U,MATCH($A21,Base!$A:$A,0)),IF(CP$1=INDEX('Valo FX'!$R:$R,MATCH($A21,'Valo FX'!$A:$A,0)),INDEX(Base!$V:$V,MATCH($A21,Base!$A:$A,0)),0)))</f>
        <v>11.726136</v>
      </c>
      <c r="CQ21" s="21">
        <f>IF(CQ$1&lt;INDEX('Valo FX'!$Q:$Q,MATCH($A21,'Valo FX'!$A:$A,0)),0,IF(CQ$1&lt;INDEX('Valo FX'!$R:$R,MATCH($A21,'Valo FX'!$A:$A,0)),INDEX(Base!$U:$U,MATCH($A21,Base!$A:$A,0)),IF(CQ$1=INDEX('Valo FX'!$R:$R,MATCH($A21,'Valo FX'!$A:$A,0)),INDEX(Base!$V:$V,MATCH($A21,Base!$A:$A,0)),0)))</f>
        <v>11.726136</v>
      </c>
      <c r="CR21" s="21">
        <f>IF(CR$1&lt;INDEX('Valo FX'!$Q:$Q,MATCH($A21,'Valo FX'!$A:$A,0)),0,IF(CR$1&lt;INDEX('Valo FX'!$R:$R,MATCH($A21,'Valo FX'!$A:$A,0)),INDEX(Base!$U:$U,MATCH($A21,Base!$A:$A,0)),IF(CR$1=INDEX('Valo FX'!$R:$R,MATCH($A21,'Valo FX'!$A:$A,0)),INDEX(Base!$V:$V,MATCH($A21,Base!$A:$A,0)),0)))</f>
        <v>11.726136</v>
      </c>
      <c r="CS21" s="21">
        <f>IF(CS$1&lt;INDEX('Valo FX'!$Q:$Q,MATCH($A21,'Valo FX'!$A:$A,0)),0,IF(CS$1&lt;INDEX('Valo FX'!$R:$R,MATCH($A21,'Valo FX'!$A:$A,0)),INDEX(Base!$U:$U,MATCH($A21,Base!$A:$A,0)),IF(CS$1=INDEX('Valo FX'!$R:$R,MATCH($A21,'Valo FX'!$A:$A,0)),INDEX(Base!$V:$V,MATCH($A21,Base!$A:$A,0)),0)))</f>
        <v>11.726136</v>
      </c>
      <c r="CT21" s="21">
        <f>IF(CT$1&lt;INDEX('Valo FX'!$Q:$Q,MATCH($A21,'Valo FX'!$A:$A,0)),0,IF(CT$1&lt;INDEX('Valo FX'!$R:$R,MATCH($A21,'Valo FX'!$A:$A,0)),INDEX(Base!$U:$U,MATCH($A21,Base!$A:$A,0)),IF(CT$1=INDEX('Valo FX'!$R:$R,MATCH($A21,'Valo FX'!$A:$A,0)),INDEX(Base!$V:$V,MATCH($A21,Base!$A:$A,0)),0)))</f>
        <v>11.726136</v>
      </c>
      <c r="CU21" s="21">
        <f>IF(CU$1&lt;INDEX('Valo FX'!$Q:$Q,MATCH($A21,'Valo FX'!$A:$A,0)),0,IF(CU$1&lt;INDEX('Valo FX'!$R:$R,MATCH($A21,'Valo FX'!$A:$A,0)),INDEX(Base!$U:$U,MATCH($A21,Base!$A:$A,0)),IF(CU$1=INDEX('Valo FX'!$R:$R,MATCH($A21,'Valo FX'!$A:$A,0)),INDEX(Base!$V:$V,MATCH($A21,Base!$A:$A,0)),0)))</f>
        <v>11.726136</v>
      </c>
      <c r="CV21" s="21">
        <f>IF(CV$1&lt;INDEX('Valo FX'!$Q:$Q,MATCH($A21,'Valo FX'!$A:$A,0)),0,IF(CV$1&lt;INDEX('Valo FX'!$R:$R,MATCH($A21,'Valo FX'!$A:$A,0)),INDEX(Base!$U:$U,MATCH($A21,Base!$A:$A,0)),IF(CV$1=INDEX('Valo FX'!$R:$R,MATCH($A21,'Valo FX'!$A:$A,0)),INDEX(Base!$V:$V,MATCH($A21,Base!$A:$A,0)),0)))</f>
        <v>11.726136</v>
      </c>
      <c r="CW21" s="21">
        <f>IF(CW$1&lt;INDEX('Valo FX'!$Q:$Q,MATCH($A21,'Valo FX'!$A:$A,0)),0,IF(CW$1&lt;INDEX('Valo FX'!$R:$R,MATCH($A21,'Valo FX'!$A:$A,0)),INDEX(Base!$U:$U,MATCH($A21,Base!$A:$A,0)),IF(CW$1=INDEX('Valo FX'!$R:$R,MATCH($A21,'Valo FX'!$A:$A,0)),INDEX(Base!$V:$V,MATCH($A21,Base!$A:$A,0)),0)))</f>
        <v>11.726136</v>
      </c>
      <c r="CX21" s="21">
        <f>IF(CX$1&lt;INDEX('Valo FX'!$Q:$Q,MATCH($A21,'Valo FX'!$A:$A,0)),0,IF(CX$1&lt;INDEX('Valo FX'!$R:$R,MATCH($A21,'Valo FX'!$A:$A,0)),INDEX(Base!$U:$U,MATCH($A21,Base!$A:$A,0)),IF(CX$1=INDEX('Valo FX'!$R:$R,MATCH($A21,'Valo FX'!$A:$A,0)),INDEX(Base!$V:$V,MATCH($A21,Base!$A:$A,0)),0)))</f>
        <v>11.726136</v>
      </c>
      <c r="CY21" s="21">
        <f>IF(CY$1&lt;INDEX('Valo FX'!$Q:$Q,MATCH($A21,'Valo FX'!$A:$A,0)),0,IF(CY$1&lt;INDEX('Valo FX'!$R:$R,MATCH($A21,'Valo FX'!$A:$A,0)),INDEX(Base!$U:$U,MATCH($A21,Base!$A:$A,0)),IF(CY$1=INDEX('Valo FX'!$R:$R,MATCH($A21,'Valo FX'!$A:$A,0)),INDEX(Base!$V:$V,MATCH($A21,Base!$A:$A,0)),0)))</f>
        <v>11.726136</v>
      </c>
      <c r="CZ21" s="21">
        <f>IF(CZ$1&lt;INDEX('Valo FX'!$Q:$Q,MATCH($A21,'Valo FX'!$A:$A,0)),0,IF(CZ$1&lt;INDEX('Valo FX'!$R:$R,MATCH($A21,'Valo FX'!$A:$A,0)),INDEX(Base!$U:$U,MATCH($A21,Base!$A:$A,0)),IF(CZ$1=INDEX('Valo FX'!$R:$R,MATCH($A21,'Valo FX'!$A:$A,0)),INDEX(Base!$V:$V,MATCH($A21,Base!$A:$A,0)),0)))</f>
        <v>11.726136</v>
      </c>
      <c r="DA21" s="21">
        <f>IF(DA$1&lt;INDEX('Valo FX'!$Q:$Q,MATCH($A21,'Valo FX'!$A:$A,0)),0,IF(DA$1&lt;INDEX('Valo FX'!$R:$R,MATCH($A21,'Valo FX'!$A:$A,0)),INDEX(Base!$U:$U,MATCH($A21,Base!$A:$A,0)),IF(DA$1=INDEX('Valo FX'!$R:$R,MATCH($A21,'Valo FX'!$A:$A,0)),INDEX(Base!$V:$V,MATCH($A21,Base!$A:$A,0)),0)))</f>
        <v>11.726136</v>
      </c>
      <c r="DB21" s="21">
        <f>IF(DB$1&lt;INDEX('Valo FX'!$Q:$Q,MATCH($A21,'Valo FX'!$A:$A,0)),0,IF(DB$1&lt;INDEX('Valo FX'!$R:$R,MATCH($A21,'Valo FX'!$A:$A,0)),INDEX(Base!$U:$U,MATCH($A21,Base!$A:$A,0)),IF(DB$1=INDEX('Valo FX'!$R:$R,MATCH($A21,'Valo FX'!$A:$A,0)),INDEX(Base!$V:$V,MATCH($A21,Base!$A:$A,0)),0)))</f>
        <v>11.726136</v>
      </c>
      <c r="DC21" s="21">
        <f>IF(DC$1&lt;INDEX('Valo FX'!$Q:$Q,MATCH($A21,'Valo FX'!$A:$A,0)),0,IF(DC$1&lt;INDEX('Valo FX'!$R:$R,MATCH($A21,'Valo FX'!$A:$A,0)),INDEX(Base!$U:$U,MATCH($A21,Base!$A:$A,0)),IF(DC$1=INDEX('Valo FX'!$R:$R,MATCH($A21,'Valo FX'!$A:$A,0)),INDEX(Base!$V:$V,MATCH($A21,Base!$A:$A,0)),0)))</f>
        <v>11.726136</v>
      </c>
      <c r="DD21" s="21">
        <f>IF(DD$1&lt;INDEX('Valo FX'!$Q:$Q,MATCH($A21,'Valo FX'!$A:$A,0)),0,IF(DD$1&lt;INDEX('Valo FX'!$R:$R,MATCH($A21,'Valo FX'!$A:$A,0)),INDEX(Base!$U:$U,MATCH($A21,Base!$A:$A,0)),IF(DD$1=INDEX('Valo FX'!$R:$R,MATCH($A21,'Valo FX'!$A:$A,0)),INDEX(Base!$V:$V,MATCH($A21,Base!$A:$A,0)),0)))</f>
        <v>11.726136</v>
      </c>
      <c r="DE21" s="21">
        <f>IF(DE$1&lt;INDEX('Valo FX'!$Q:$Q,MATCH($A21,'Valo FX'!$A:$A,0)),0,IF(DE$1&lt;INDEX('Valo FX'!$R:$R,MATCH($A21,'Valo FX'!$A:$A,0)),INDEX(Base!$U:$U,MATCH($A21,Base!$A:$A,0)),IF(DE$1=INDEX('Valo FX'!$R:$R,MATCH($A21,'Valo FX'!$A:$A,0)),INDEX(Base!$V:$V,MATCH($A21,Base!$A:$A,0)),0)))</f>
        <v>11.726136</v>
      </c>
      <c r="DF21" s="21">
        <f>IF(DF$1&lt;INDEX('Valo FX'!$Q:$Q,MATCH($A21,'Valo FX'!$A:$A,0)),0,IF(DF$1&lt;INDEX('Valo FX'!$R:$R,MATCH($A21,'Valo FX'!$A:$A,0)),INDEX(Base!$U:$U,MATCH($A21,Base!$A:$A,0)),IF(DF$1=INDEX('Valo FX'!$R:$R,MATCH($A21,'Valo FX'!$A:$A,0)),INDEX(Base!$V:$V,MATCH($A21,Base!$A:$A,0)),0)))</f>
        <v>11.726136</v>
      </c>
      <c r="DG21" s="21">
        <f>IF(DG$1&lt;INDEX('Valo FX'!$Q:$Q,MATCH($A21,'Valo FX'!$A:$A,0)),0,IF(DG$1&lt;INDEX('Valo FX'!$R:$R,MATCH($A21,'Valo FX'!$A:$A,0)),INDEX(Base!$U:$U,MATCH($A21,Base!$A:$A,0)),IF(DG$1=INDEX('Valo FX'!$R:$R,MATCH($A21,'Valo FX'!$A:$A,0)),INDEX(Base!$V:$V,MATCH($A21,Base!$A:$A,0)),0)))</f>
        <v>11.726136</v>
      </c>
      <c r="DH21" s="21">
        <f>IF(DH$1&lt;INDEX('Valo FX'!$Q:$Q,MATCH($A21,'Valo FX'!$A:$A,0)),0,IF(DH$1&lt;INDEX('Valo FX'!$R:$R,MATCH($A21,'Valo FX'!$A:$A,0)),INDEX(Base!$U:$U,MATCH($A21,Base!$A:$A,0)),IF(DH$1=INDEX('Valo FX'!$R:$R,MATCH($A21,'Valo FX'!$A:$A,0)),INDEX(Base!$V:$V,MATCH($A21,Base!$A:$A,0)),0)))</f>
        <v>11.726136</v>
      </c>
      <c r="DI21" s="21">
        <f>IF(DI$1&lt;INDEX('Valo FX'!$Q:$Q,MATCH($A21,'Valo FX'!$A:$A,0)),0,IF(DI$1&lt;INDEX('Valo FX'!$R:$R,MATCH($A21,'Valo FX'!$A:$A,0)),INDEX(Base!$U:$U,MATCH($A21,Base!$A:$A,0)),IF(DI$1=INDEX('Valo FX'!$R:$R,MATCH($A21,'Valo FX'!$A:$A,0)),INDEX(Base!$V:$V,MATCH($A21,Base!$A:$A,0)),0)))</f>
        <v>11.726136</v>
      </c>
      <c r="DJ21" s="21">
        <f>IF(DJ$1&lt;INDEX('Valo FX'!$Q:$Q,MATCH($A21,'Valo FX'!$A:$A,0)),0,IF(DJ$1&lt;INDEX('Valo FX'!$R:$R,MATCH($A21,'Valo FX'!$A:$A,0)),INDEX(Base!$U:$U,MATCH($A21,Base!$A:$A,0)),IF(DJ$1=INDEX('Valo FX'!$R:$R,MATCH($A21,'Valo FX'!$A:$A,0)),INDEX(Base!$V:$V,MATCH($A21,Base!$A:$A,0)),0)))</f>
        <v>11.726136</v>
      </c>
      <c r="DK21" s="21">
        <f>IF(DK$1&lt;INDEX('Valo FX'!$Q:$Q,MATCH($A21,'Valo FX'!$A:$A,0)),0,IF(DK$1&lt;INDEX('Valo FX'!$R:$R,MATCH($A21,'Valo FX'!$A:$A,0)),INDEX(Base!$U:$U,MATCH($A21,Base!$A:$A,0)),IF(DK$1=INDEX('Valo FX'!$R:$R,MATCH($A21,'Valo FX'!$A:$A,0)),INDEX(Base!$V:$V,MATCH($A21,Base!$A:$A,0)),0)))</f>
        <v>11.726136</v>
      </c>
      <c r="DL21" s="21">
        <f>IF(DL$1&lt;INDEX('Valo FX'!$Q:$Q,MATCH($A21,'Valo FX'!$A:$A,0)),0,IF(DL$1&lt;INDEX('Valo FX'!$R:$R,MATCH($A21,'Valo FX'!$A:$A,0)),INDEX(Base!$U:$U,MATCH($A21,Base!$A:$A,0)),IF(DL$1=INDEX('Valo FX'!$R:$R,MATCH($A21,'Valo FX'!$A:$A,0)),INDEX(Base!$V:$V,MATCH($A21,Base!$A:$A,0)),0)))</f>
        <v>11.726136</v>
      </c>
      <c r="DM21" s="21">
        <f>IF(DM$1&lt;INDEX('Valo FX'!$Q:$Q,MATCH($A21,'Valo FX'!$A:$A,0)),0,IF(DM$1&lt;INDEX('Valo FX'!$R:$R,MATCH($A21,'Valo FX'!$A:$A,0)),INDEX(Base!$U:$U,MATCH($A21,Base!$A:$A,0)),IF(DM$1=INDEX('Valo FX'!$R:$R,MATCH($A21,'Valo FX'!$A:$A,0)),INDEX(Base!$V:$V,MATCH($A21,Base!$A:$A,0)),0)))</f>
        <v>11.726136</v>
      </c>
      <c r="DN21" s="21">
        <f>IF(DN$1&lt;INDEX('Valo FX'!$Q:$Q,MATCH($A21,'Valo FX'!$A:$A,0)),0,IF(DN$1&lt;INDEX('Valo FX'!$R:$R,MATCH($A21,'Valo FX'!$A:$A,0)),INDEX(Base!$U:$U,MATCH($A21,Base!$A:$A,0)),IF(DN$1=INDEX('Valo FX'!$R:$R,MATCH($A21,'Valo FX'!$A:$A,0)),INDEX(Base!$V:$V,MATCH($A21,Base!$A:$A,0)),0)))</f>
        <v>11.726136</v>
      </c>
      <c r="DO21" s="21">
        <f>IF(DO$1&lt;INDEX('Valo FX'!$Q:$Q,MATCH($A21,'Valo FX'!$A:$A,0)),0,IF(DO$1&lt;INDEX('Valo FX'!$R:$R,MATCH($A21,'Valo FX'!$A:$A,0)),INDEX(Base!$U:$U,MATCH($A21,Base!$A:$A,0)),IF(DO$1=INDEX('Valo FX'!$R:$R,MATCH($A21,'Valo FX'!$A:$A,0)),INDEX(Base!$V:$V,MATCH($A21,Base!$A:$A,0)),0)))</f>
        <v>11.726136</v>
      </c>
      <c r="DP21" s="21">
        <f>IF(DP$1&lt;INDEX('Valo FX'!$Q:$Q,MATCH($A21,'Valo FX'!$A:$A,0)),0,IF(DP$1&lt;INDEX('Valo FX'!$R:$R,MATCH($A21,'Valo FX'!$A:$A,0)),INDEX(Base!$U:$U,MATCH($A21,Base!$A:$A,0)),IF(DP$1=INDEX('Valo FX'!$R:$R,MATCH($A21,'Valo FX'!$A:$A,0)),INDEX(Base!$V:$V,MATCH($A21,Base!$A:$A,0)),0)))</f>
        <v>11.726136</v>
      </c>
      <c r="DQ21" s="21">
        <f>IF(DQ$1&lt;INDEX('Valo FX'!$Q:$Q,MATCH($A21,'Valo FX'!$A:$A,0)),0,IF(DQ$1&lt;INDEX('Valo FX'!$R:$R,MATCH($A21,'Valo FX'!$A:$A,0)),INDEX(Base!$U:$U,MATCH($A21,Base!$A:$A,0)),IF(DQ$1=INDEX('Valo FX'!$R:$R,MATCH($A21,'Valo FX'!$A:$A,0)),INDEX(Base!$V:$V,MATCH($A21,Base!$A:$A,0)),0)))</f>
        <v>11.726136</v>
      </c>
      <c r="DR21" s="21">
        <f>IF(DR$1&lt;INDEX('Valo FX'!$Q:$Q,MATCH($A21,'Valo FX'!$A:$A,0)),0,IF(DR$1&lt;INDEX('Valo FX'!$R:$R,MATCH($A21,'Valo FX'!$A:$A,0)),INDEX(Base!$U:$U,MATCH($A21,Base!$A:$A,0)),IF(DR$1=INDEX('Valo FX'!$R:$R,MATCH($A21,'Valo FX'!$A:$A,0)),INDEX(Base!$V:$V,MATCH($A21,Base!$A:$A,0)),0)))</f>
        <v>11.726136</v>
      </c>
      <c r="DS21" s="21">
        <f>IF(DS$1&lt;INDEX('Valo FX'!$Q:$Q,MATCH($A21,'Valo FX'!$A:$A,0)),0,IF(DS$1&lt;INDEX('Valo FX'!$R:$R,MATCH($A21,'Valo FX'!$A:$A,0)),INDEX(Base!$U:$U,MATCH($A21,Base!$A:$A,0)),IF(DS$1=INDEX('Valo FX'!$R:$R,MATCH($A21,'Valo FX'!$A:$A,0)),INDEX(Base!$V:$V,MATCH($A21,Base!$A:$A,0)),0)))</f>
        <v>11.726136</v>
      </c>
      <c r="DT21" s="21">
        <f>IF(DT$1&lt;INDEX('Valo FX'!$Q:$Q,MATCH($A21,'Valo FX'!$A:$A,0)),0,IF(DT$1&lt;INDEX('Valo FX'!$R:$R,MATCH($A21,'Valo FX'!$A:$A,0)),INDEX(Base!$U:$U,MATCH($A21,Base!$A:$A,0)),IF(DT$1=INDEX('Valo FX'!$R:$R,MATCH($A21,'Valo FX'!$A:$A,0)),INDEX(Base!$V:$V,MATCH($A21,Base!$A:$A,0)),0)))</f>
        <v>11.726136</v>
      </c>
      <c r="DU21" s="21">
        <f>IF(DU$1&lt;INDEX('Valo FX'!$Q:$Q,MATCH($A21,'Valo FX'!$A:$A,0)),0,IF(DU$1&lt;INDEX('Valo FX'!$R:$R,MATCH($A21,'Valo FX'!$A:$A,0)),INDEX(Base!$U:$U,MATCH($A21,Base!$A:$A,0)),IF(DU$1=INDEX('Valo FX'!$R:$R,MATCH($A21,'Valo FX'!$A:$A,0)),INDEX(Base!$V:$V,MATCH($A21,Base!$A:$A,0)),0)))</f>
        <v>11.726136</v>
      </c>
      <c r="DV21" s="21">
        <f>IF(DV$1&lt;INDEX('Valo FX'!$Q:$Q,MATCH($A21,'Valo FX'!$A:$A,0)),0,IF(DV$1&lt;INDEX('Valo FX'!$R:$R,MATCH($A21,'Valo FX'!$A:$A,0)),INDEX(Base!$U:$U,MATCH($A21,Base!$A:$A,0)),IF(DV$1=INDEX('Valo FX'!$R:$R,MATCH($A21,'Valo FX'!$A:$A,0)),INDEX(Base!$V:$V,MATCH($A21,Base!$A:$A,0)),0)))</f>
        <v>11.726136</v>
      </c>
      <c r="DW21" s="21">
        <f>IF(DW$1&lt;INDEX('Valo FX'!$Q:$Q,MATCH($A21,'Valo FX'!$A:$A,0)),0,IF(DW$1&lt;INDEX('Valo FX'!$R:$R,MATCH($A21,'Valo FX'!$A:$A,0)),INDEX(Base!$U:$U,MATCH($A21,Base!$A:$A,0)),IF(DW$1=INDEX('Valo FX'!$R:$R,MATCH($A21,'Valo FX'!$A:$A,0)),INDEX(Base!$V:$V,MATCH($A21,Base!$A:$A,0)),0)))</f>
        <v>11.726136</v>
      </c>
      <c r="DX21" s="21">
        <f>IF(DX$1&lt;INDEX('Valo FX'!$Q:$Q,MATCH($A21,'Valo FX'!$A:$A,0)),0,IF(DX$1&lt;INDEX('Valo FX'!$R:$R,MATCH($A21,'Valo FX'!$A:$A,0)),INDEX(Base!$U:$U,MATCH($A21,Base!$A:$A,0)),IF(DX$1=INDEX('Valo FX'!$R:$R,MATCH($A21,'Valo FX'!$A:$A,0)),INDEX(Base!$V:$V,MATCH($A21,Base!$A:$A,0)),0)))</f>
        <v>11.726136</v>
      </c>
      <c r="DY21" s="21">
        <f>IF(DY$1&lt;INDEX('Valo FX'!$Q:$Q,MATCH($A21,'Valo FX'!$A:$A,0)),0,IF(DY$1&lt;INDEX('Valo FX'!$R:$R,MATCH($A21,'Valo FX'!$A:$A,0)),INDEX(Base!$U:$U,MATCH($A21,Base!$A:$A,0)),IF(DY$1=INDEX('Valo FX'!$R:$R,MATCH($A21,'Valo FX'!$A:$A,0)),INDEX(Base!$V:$V,MATCH($A21,Base!$A:$A,0)),0)))</f>
        <v>11.726136</v>
      </c>
      <c r="DZ21" s="21">
        <f>IF(DZ$1&lt;INDEX('Valo FX'!$Q:$Q,MATCH($A21,'Valo FX'!$A:$A,0)),0,IF(DZ$1&lt;INDEX('Valo FX'!$R:$R,MATCH($A21,'Valo FX'!$A:$A,0)),INDEX(Base!$U:$U,MATCH($A21,Base!$A:$A,0)),IF(DZ$1=INDEX('Valo FX'!$R:$R,MATCH($A21,'Valo FX'!$A:$A,0)),INDEX(Base!$V:$V,MATCH($A21,Base!$A:$A,0)),0)))</f>
        <v>11.726136</v>
      </c>
      <c r="EA21" s="21">
        <f>IF(EA$1&lt;INDEX('Valo FX'!$Q:$Q,MATCH($A21,'Valo FX'!$A:$A,0)),0,IF(EA$1&lt;INDEX('Valo FX'!$R:$R,MATCH($A21,'Valo FX'!$A:$A,0)),INDEX(Base!$U:$U,MATCH($A21,Base!$A:$A,0)),IF(EA$1=INDEX('Valo FX'!$R:$R,MATCH($A21,'Valo FX'!$A:$A,0)),INDEX(Base!$V:$V,MATCH($A21,Base!$A:$A,0)),0)))</f>
        <v>11.726136</v>
      </c>
      <c r="EB21" s="21">
        <f>IF(EB$1&lt;INDEX('Valo FX'!$Q:$Q,MATCH($A21,'Valo FX'!$A:$A,0)),0,IF(EB$1&lt;INDEX('Valo FX'!$R:$R,MATCH($A21,'Valo FX'!$A:$A,0)),INDEX(Base!$U:$U,MATCH($A21,Base!$A:$A,0)),IF(EB$1=INDEX('Valo FX'!$R:$R,MATCH($A21,'Valo FX'!$A:$A,0)),INDEX(Base!$V:$V,MATCH($A21,Base!$A:$A,0)),0)))</f>
        <v>11.726136</v>
      </c>
      <c r="EC21" s="21">
        <f>IF(EC$1&lt;INDEX('Valo FX'!$Q:$Q,MATCH($A21,'Valo FX'!$A:$A,0)),0,IF(EC$1&lt;INDEX('Valo FX'!$R:$R,MATCH($A21,'Valo FX'!$A:$A,0)),INDEX(Base!$U:$U,MATCH($A21,Base!$A:$A,0)),IF(EC$1=INDEX('Valo FX'!$R:$R,MATCH($A21,'Valo FX'!$A:$A,0)),INDEX(Base!$V:$V,MATCH($A21,Base!$A:$A,0)),0)))</f>
        <v>11.726136</v>
      </c>
      <c r="ED21" s="21">
        <f>IF(ED$1&lt;INDEX('Valo FX'!$Q:$Q,MATCH($A21,'Valo FX'!$A:$A,0)),0,IF(ED$1&lt;INDEX('Valo FX'!$R:$R,MATCH($A21,'Valo FX'!$A:$A,0)),INDEX(Base!$U:$U,MATCH($A21,Base!$A:$A,0)),IF(ED$1=INDEX('Valo FX'!$R:$R,MATCH($A21,'Valo FX'!$A:$A,0)),INDEX(Base!$V:$V,MATCH($A21,Base!$A:$A,0)),0)))</f>
        <v>11.726136</v>
      </c>
      <c r="EE21" s="21">
        <f>IF(EE$1&lt;INDEX('Valo FX'!$Q:$Q,MATCH($A21,'Valo FX'!$A:$A,0)),0,IF(EE$1&lt;INDEX('Valo FX'!$R:$R,MATCH($A21,'Valo FX'!$A:$A,0)),INDEX(Base!$U:$U,MATCH($A21,Base!$A:$A,0)),IF(EE$1=INDEX('Valo FX'!$R:$R,MATCH($A21,'Valo FX'!$A:$A,0)),INDEX(Base!$V:$V,MATCH($A21,Base!$A:$A,0)),0)))</f>
        <v>11.726136</v>
      </c>
      <c r="EF21" s="21">
        <f>IF(EF$1&lt;INDEX('Valo FX'!$Q:$Q,MATCH($A21,'Valo FX'!$A:$A,0)),0,IF(EF$1&lt;INDEX('Valo FX'!$R:$R,MATCH($A21,'Valo FX'!$A:$A,0)),INDEX(Base!$U:$U,MATCH($A21,Base!$A:$A,0)),IF(EF$1=INDEX('Valo FX'!$R:$R,MATCH($A21,'Valo FX'!$A:$A,0)),INDEX(Base!$V:$V,MATCH($A21,Base!$A:$A,0)),0)))</f>
        <v>11.726136</v>
      </c>
      <c r="EG21" s="21">
        <f>IF(EG$1&lt;INDEX('Valo FX'!$Q:$Q,MATCH($A21,'Valo FX'!$A:$A,0)),0,IF(EG$1&lt;INDEX('Valo FX'!$R:$R,MATCH($A21,'Valo FX'!$A:$A,0)),INDEX(Base!$U:$U,MATCH($A21,Base!$A:$A,0)),IF(EG$1=INDEX('Valo FX'!$R:$R,MATCH($A21,'Valo FX'!$A:$A,0)),INDEX(Base!$V:$V,MATCH($A21,Base!$A:$A,0)),0)))</f>
        <v>11.726136</v>
      </c>
      <c r="EH21" s="21">
        <f>IF(EH$1&lt;INDEX('Valo FX'!$Q:$Q,MATCH($A21,'Valo FX'!$A:$A,0)),0,IF(EH$1&lt;INDEX('Valo FX'!$R:$R,MATCH($A21,'Valo FX'!$A:$A,0)),INDEX(Base!$U:$U,MATCH($A21,Base!$A:$A,0)),IF(EH$1=INDEX('Valo FX'!$R:$R,MATCH($A21,'Valo FX'!$A:$A,0)),INDEX(Base!$V:$V,MATCH($A21,Base!$A:$A,0)),0)))</f>
        <v>11.726136</v>
      </c>
      <c r="EI21" s="21">
        <f>IF(EI$1&lt;INDEX('Valo FX'!$Q:$Q,MATCH($A21,'Valo FX'!$A:$A,0)),0,IF(EI$1&lt;INDEX('Valo FX'!$R:$R,MATCH($A21,'Valo FX'!$A:$A,0)),INDEX(Base!$U:$U,MATCH($A21,Base!$A:$A,0)),IF(EI$1=INDEX('Valo FX'!$R:$R,MATCH($A21,'Valo FX'!$A:$A,0)),INDEX(Base!$V:$V,MATCH($A21,Base!$A:$A,0)),0)))</f>
        <v>11.726136</v>
      </c>
      <c r="EJ21" s="21">
        <f>IF(EJ$1&lt;INDEX('Valo FX'!$Q:$Q,MATCH($A21,'Valo FX'!$A:$A,0)),0,IF(EJ$1&lt;INDEX('Valo FX'!$R:$R,MATCH($A21,'Valo FX'!$A:$A,0)),INDEX(Base!$U:$U,MATCH($A21,Base!$A:$A,0)),IF(EJ$1=INDEX('Valo FX'!$R:$R,MATCH($A21,'Valo FX'!$A:$A,0)),INDEX(Base!$V:$V,MATCH($A21,Base!$A:$A,0)),0)))</f>
        <v>11.726136</v>
      </c>
      <c r="EK21" s="21">
        <f>IF(EK$1&lt;INDEX('Valo FX'!$Q:$Q,MATCH($A21,'Valo FX'!$A:$A,0)),0,IF(EK$1&lt;INDEX('Valo FX'!$R:$R,MATCH($A21,'Valo FX'!$A:$A,0)),INDEX(Base!$U:$U,MATCH($A21,Base!$A:$A,0)),IF(EK$1=INDEX('Valo FX'!$R:$R,MATCH($A21,'Valo FX'!$A:$A,0)),INDEX(Base!$V:$V,MATCH($A21,Base!$A:$A,0)),0)))</f>
        <v>11.726136</v>
      </c>
      <c r="EL21" s="21">
        <f>IF(EL$1&lt;INDEX('Valo FX'!$Q:$Q,MATCH($A21,'Valo FX'!$A:$A,0)),0,IF(EL$1&lt;INDEX('Valo FX'!$R:$R,MATCH($A21,'Valo FX'!$A:$A,0)),INDEX(Base!$U:$U,MATCH($A21,Base!$A:$A,0)),IF(EL$1=INDEX('Valo FX'!$R:$R,MATCH($A21,'Valo FX'!$A:$A,0)),INDEX(Base!$V:$V,MATCH($A21,Base!$A:$A,0)),0)))</f>
        <v>11.726136</v>
      </c>
      <c r="EM21" s="21">
        <f>IF(EM$1&lt;INDEX('Valo FX'!$Q:$Q,MATCH($A21,'Valo FX'!$A:$A,0)),0,IF(EM$1&lt;INDEX('Valo FX'!$R:$R,MATCH($A21,'Valo FX'!$A:$A,0)),INDEX(Base!$U:$U,MATCH($A21,Base!$A:$A,0)),IF(EM$1=INDEX('Valo FX'!$R:$R,MATCH($A21,'Valo FX'!$A:$A,0)),INDEX(Base!$V:$V,MATCH($A21,Base!$A:$A,0)),0)))</f>
        <v>11.726136</v>
      </c>
      <c r="EN21" s="21">
        <f>IF(EN$1&lt;INDEX('Valo FX'!$Q:$Q,MATCH($A21,'Valo FX'!$A:$A,0)),0,IF(EN$1&lt;INDEX('Valo FX'!$R:$R,MATCH($A21,'Valo FX'!$A:$A,0)),INDEX(Base!$U:$U,MATCH($A21,Base!$A:$A,0)),IF(EN$1=INDEX('Valo FX'!$R:$R,MATCH($A21,'Valo FX'!$A:$A,0)),INDEX(Base!$V:$V,MATCH($A21,Base!$A:$A,0)),0)))</f>
        <v>11.726136</v>
      </c>
      <c r="EO21" s="21">
        <f>IF(EO$1&lt;INDEX('Valo FX'!$Q:$Q,MATCH($A21,'Valo FX'!$A:$A,0)),0,IF(EO$1&lt;INDEX('Valo FX'!$R:$R,MATCH($A21,'Valo FX'!$A:$A,0)),INDEX(Base!$U:$U,MATCH($A21,Base!$A:$A,0)),IF(EO$1=INDEX('Valo FX'!$R:$R,MATCH($A21,'Valo FX'!$A:$A,0)),INDEX(Base!$V:$V,MATCH($A21,Base!$A:$A,0)),0)))</f>
        <v>11.726136</v>
      </c>
      <c r="EP21" s="21">
        <f>IF(EP$1&lt;INDEX('Valo FX'!$Q:$Q,MATCH($A21,'Valo FX'!$A:$A,0)),0,IF(EP$1&lt;INDEX('Valo FX'!$R:$R,MATCH($A21,'Valo FX'!$A:$A,0)),INDEX(Base!$U:$U,MATCH($A21,Base!$A:$A,0)),IF(EP$1=INDEX('Valo FX'!$R:$R,MATCH($A21,'Valo FX'!$A:$A,0)),INDEX(Base!$V:$V,MATCH($A21,Base!$A:$A,0)),0)))</f>
        <v>11.726136</v>
      </c>
      <c r="EQ21" s="21">
        <f>IF(EQ$1&lt;INDEX('Valo FX'!$Q:$Q,MATCH($A21,'Valo FX'!$A:$A,0)),0,IF(EQ$1&lt;INDEX('Valo FX'!$R:$R,MATCH($A21,'Valo FX'!$A:$A,0)),INDEX(Base!$U:$U,MATCH($A21,Base!$A:$A,0)),IF(EQ$1=INDEX('Valo FX'!$R:$R,MATCH($A21,'Valo FX'!$A:$A,0)),INDEX(Base!$V:$V,MATCH($A21,Base!$A:$A,0)),0)))</f>
        <v>11.726136</v>
      </c>
      <c r="ER21" s="21">
        <f>IF(ER$1&lt;INDEX('Valo FX'!$Q:$Q,MATCH($A21,'Valo FX'!$A:$A,0)),0,IF(ER$1&lt;INDEX('Valo FX'!$R:$R,MATCH($A21,'Valo FX'!$A:$A,0)),INDEX(Base!$U:$U,MATCH($A21,Base!$A:$A,0)),IF(ER$1=INDEX('Valo FX'!$R:$R,MATCH($A21,'Valo FX'!$A:$A,0)),INDEX(Base!$V:$V,MATCH($A21,Base!$A:$A,0)),0)))</f>
        <v>11.726136</v>
      </c>
      <c r="ES21" s="21">
        <f>IF(ES$1&lt;INDEX('Valo FX'!$Q:$Q,MATCH($A21,'Valo FX'!$A:$A,0)),0,IF(ES$1&lt;INDEX('Valo FX'!$R:$R,MATCH($A21,'Valo FX'!$A:$A,0)),INDEX(Base!$U:$U,MATCH($A21,Base!$A:$A,0)),IF(ES$1=INDEX('Valo FX'!$R:$R,MATCH($A21,'Valo FX'!$A:$A,0)),INDEX(Base!$V:$V,MATCH($A21,Base!$A:$A,0)),0)))</f>
        <v>11.726136</v>
      </c>
      <c r="ET21" s="21">
        <f>IF(ET$1&lt;INDEX('Valo FX'!$Q:$Q,MATCH($A21,'Valo FX'!$A:$A,0)),0,IF(ET$1&lt;INDEX('Valo FX'!$R:$R,MATCH($A21,'Valo FX'!$A:$A,0)),INDEX(Base!$U:$U,MATCH($A21,Base!$A:$A,0)),IF(ET$1=INDEX('Valo FX'!$R:$R,MATCH($A21,'Valo FX'!$A:$A,0)),INDEX(Base!$V:$V,MATCH($A21,Base!$A:$A,0)),0)))</f>
        <v>11.726136</v>
      </c>
      <c r="EU21" s="21">
        <f>IF(EU$1&lt;INDEX('Valo FX'!$Q:$Q,MATCH($A21,'Valo FX'!$A:$A,0)),0,IF(EU$1&lt;INDEX('Valo FX'!$R:$R,MATCH($A21,'Valo FX'!$A:$A,0)),INDEX(Base!$U:$U,MATCH($A21,Base!$A:$A,0)),IF(EU$1=INDEX('Valo FX'!$R:$R,MATCH($A21,'Valo FX'!$A:$A,0)),INDEX(Base!$V:$V,MATCH($A21,Base!$A:$A,0)),0)))</f>
        <v>11.726136</v>
      </c>
      <c r="EV21" s="21">
        <f>IF(EV$1&lt;INDEX('Valo FX'!$Q:$Q,MATCH($A21,'Valo FX'!$A:$A,0)),0,IF(EV$1&lt;INDEX('Valo FX'!$R:$R,MATCH($A21,'Valo FX'!$A:$A,0)),INDEX(Base!$U:$U,MATCH($A21,Base!$A:$A,0)),IF(EV$1=INDEX('Valo FX'!$R:$R,MATCH($A21,'Valo FX'!$A:$A,0)),INDEX(Base!$V:$V,MATCH($A21,Base!$A:$A,0)),0)))</f>
        <v>11.726136</v>
      </c>
      <c r="EW21" s="21">
        <f>IF(EW$1&lt;INDEX('Valo FX'!$Q:$Q,MATCH($A21,'Valo FX'!$A:$A,0)),0,IF(EW$1&lt;INDEX('Valo FX'!$R:$R,MATCH($A21,'Valo FX'!$A:$A,0)),INDEX(Base!$U:$U,MATCH($A21,Base!$A:$A,0)),IF(EW$1=INDEX('Valo FX'!$R:$R,MATCH($A21,'Valo FX'!$A:$A,0)),INDEX(Base!$V:$V,MATCH($A21,Base!$A:$A,0)),0)))</f>
        <v>11.726136</v>
      </c>
      <c r="EX21" s="21">
        <f>IF(EX$1&lt;INDEX('Valo FX'!$Q:$Q,MATCH($A21,'Valo FX'!$A:$A,0)),0,IF(EX$1&lt;INDEX('Valo FX'!$R:$R,MATCH($A21,'Valo FX'!$A:$A,0)),INDEX(Base!$U:$U,MATCH($A21,Base!$A:$A,0)),IF(EX$1=INDEX('Valo FX'!$R:$R,MATCH($A21,'Valo FX'!$A:$A,0)),INDEX(Base!$V:$V,MATCH($A21,Base!$A:$A,0)),0)))</f>
        <v>11.726136</v>
      </c>
      <c r="EY21" s="21">
        <f>IF(EY$1&lt;INDEX('Valo FX'!$Q:$Q,MATCH($A21,'Valo FX'!$A:$A,0)),0,IF(EY$1&lt;INDEX('Valo FX'!$R:$R,MATCH($A21,'Valo FX'!$A:$A,0)),INDEX(Base!$U:$U,MATCH($A21,Base!$A:$A,0)),IF(EY$1=INDEX('Valo FX'!$R:$R,MATCH($A21,'Valo FX'!$A:$A,0)),INDEX(Base!$V:$V,MATCH($A21,Base!$A:$A,0)),0)))</f>
        <v>11.726136</v>
      </c>
      <c r="EZ21" s="21">
        <f>IF(EZ$1&lt;INDEX('Valo FX'!$Q:$Q,MATCH($A21,'Valo FX'!$A:$A,0)),0,IF(EZ$1&lt;INDEX('Valo FX'!$R:$R,MATCH($A21,'Valo FX'!$A:$A,0)),INDEX(Base!$U:$U,MATCH($A21,Base!$A:$A,0)),IF(EZ$1=INDEX('Valo FX'!$R:$R,MATCH($A21,'Valo FX'!$A:$A,0)),INDEX(Base!$V:$V,MATCH($A21,Base!$A:$A,0)),0)))</f>
        <v>11.726136</v>
      </c>
      <c r="FA21" s="21">
        <f>IF(FA$1&lt;INDEX('Valo FX'!$Q:$Q,MATCH($A21,'Valo FX'!$A:$A,0)),0,IF(FA$1&lt;INDEX('Valo FX'!$R:$R,MATCH($A21,'Valo FX'!$A:$A,0)),INDEX(Base!$U:$U,MATCH($A21,Base!$A:$A,0)),IF(FA$1=INDEX('Valo FX'!$R:$R,MATCH($A21,'Valo FX'!$A:$A,0)),INDEX(Base!$V:$V,MATCH($A21,Base!$A:$A,0)),0)))</f>
        <v>11.726136</v>
      </c>
      <c r="FB21" s="21">
        <f>IF(FB$1&lt;INDEX('Valo FX'!$Q:$Q,MATCH($A21,'Valo FX'!$A:$A,0)),0,IF(FB$1&lt;INDEX('Valo FX'!$R:$R,MATCH($A21,'Valo FX'!$A:$A,0)),INDEX(Base!$U:$U,MATCH($A21,Base!$A:$A,0)),IF(FB$1=INDEX('Valo FX'!$R:$R,MATCH($A21,'Valo FX'!$A:$A,0)),INDEX(Base!$V:$V,MATCH($A21,Base!$A:$A,0)),0)))</f>
        <v>11.726136</v>
      </c>
      <c r="FC21" s="21">
        <f>IF(FC$1&lt;INDEX('Valo FX'!$Q:$Q,MATCH($A21,'Valo FX'!$A:$A,0)),0,IF(FC$1&lt;INDEX('Valo FX'!$R:$R,MATCH($A21,'Valo FX'!$A:$A,0)),INDEX(Base!$U:$U,MATCH($A21,Base!$A:$A,0)),IF(FC$1=INDEX('Valo FX'!$R:$R,MATCH($A21,'Valo FX'!$A:$A,0)),INDEX(Base!$V:$V,MATCH($A21,Base!$A:$A,0)),0)))</f>
        <v>11.726136</v>
      </c>
      <c r="FD21" s="21">
        <f>IF(FD$1&lt;INDEX('Valo FX'!$Q:$Q,MATCH($A21,'Valo FX'!$A:$A,0)),0,IF(FD$1&lt;INDEX('Valo FX'!$R:$R,MATCH($A21,'Valo FX'!$A:$A,0)),INDEX(Base!$U:$U,MATCH($A21,Base!$A:$A,0)),IF(FD$1=INDEX('Valo FX'!$R:$R,MATCH($A21,'Valo FX'!$A:$A,0)),INDEX(Base!$V:$V,MATCH($A21,Base!$A:$A,0)),0)))</f>
        <v>11.726136</v>
      </c>
      <c r="FE21" s="21">
        <f>IF(FE$1&lt;INDEX('Valo FX'!$Q:$Q,MATCH($A21,'Valo FX'!$A:$A,0)),0,IF(FE$1&lt;INDEX('Valo FX'!$R:$R,MATCH($A21,'Valo FX'!$A:$A,0)),INDEX(Base!$U:$U,MATCH($A21,Base!$A:$A,0)),IF(FE$1=INDEX('Valo FX'!$R:$R,MATCH($A21,'Valo FX'!$A:$A,0)),INDEX(Base!$V:$V,MATCH($A21,Base!$A:$A,0)),0)))</f>
        <v>11.726136</v>
      </c>
      <c r="FF21" s="21">
        <f>IF(FF$1&lt;INDEX('Valo FX'!$Q:$Q,MATCH($A21,'Valo FX'!$A:$A,0)),0,IF(FF$1&lt;INDEX('Valo FX'!$R:$R,MATCH($A21,'Valo FX'!$A:$A,0)),INDEX(Base!$U:$U,MATCH($A21,Base!$A:$A,0)),IF(FF$1=INDEX('Valo FX'!$R:$R,MATCH($A21,'Valo FX'!$A:$A,0)),INDEX(Base!$V:$V,MATCH($A21,Base!$A:$A,0)),0)))</f>
        <v>11.726136</v>
      </c>
      <c r="FG21" s="21">
        <f>IF(FG$1&lt;INDEX('Valo FX'!$Q:$Q,MATCH($A21,'Valo FX'!$A:$A,0)),0,IF(FG$1&lt;INDEX('Valo FX'!$R:$R,MATCH($A21,'Valo FX'!$A:$A,0)),INDEX(Base!$U:$U,MATCH($A21,Base!$A:$A,0)),IF(FG$1=INDEX('Valo FX'!$R:$R,MATCH($A21,'Valo FX'!$A:$A,0)),INDEX(Base!$V:$V,MATCH($A21,Base!$A:$A,0)),0)))</f>
        <v>11.726136</v>
      </c>
      <c r="FH21" s="21">
        <f>IF(FH$1&lt;INDEX('Valo FX'!$Q:$Q,MATCH($A21,'Valo FX'!$A:$A,0)),0,IF(FH$1&lt;INDEX('Valo FX'!$R:$R,MATCH($A21,'Valo FX'!$A:$A,0)),INDEX(Base!$U:$U,MATCH($A21,Base!$A:$A,0)),IF(FH$1=INDEX('Valo FX'!$R:$R,MATCH($A21,'Valo FX'!$A:$A,0)),INDEX(Base!$V:$V,MATCH($A21,Base!$A:$A,0)),0)))</f>
        <v>11.726136</v>
      </c>
      <c r="FI21" s="21">
        <f>IF(FI$1&lt;INDEX('Valo FX'!$Q:$Q,MATCH($A21,'Valo FX'!$A:$A,0)),0,IF(FI$1&lt;INDEX('Valo FX'!$R:$R,MATCH($A21,'Valo FX'!$A:$A,0)),INDEX(Base!$U:$U,MATCH($A21,Base!$A:$A,0)),IF(FI$1=INDEX('Valo FX'!$R:$R,MATCH($A21,'Valo FX'!$A:$A,0)),INDEX(Base!$V:$V,MATCH($A21,Base!$A:$A,0)),0)))</f>
        <v>11.726136</v>
      </c>
      <c r="FJ21" s="21">
        <f>IF(FJ$1&lt;INDEX('Valo FX'!$Q:$Q,MATCH($A21,'Valo FX'!$A:$A,0)),0,IF(FJ$1&lt;INDEX('Valo FX'!$R:$R,MATCH($A21,'Valo FX'!$A:$A,0)),INDEX(Base!$U:$U,MATCH($A21,Base!$A:$A,0)),IF(FJ$1=INDEX('Valo FX'!$R:$R,MATCH($A21,'Valo FX'!$A:$A,0)),INDEX(Base!$V:$V,MATCH($A21,Base!$A:$A,0)),0)))</f>
        <v>11.726136</v>
      </c>
      <c r="FK21" s="21">
        <f>IF(FK$1&lt;INDEX('Valo FX'!$Q:$Q,MATCH($A21,'Valo FX'!$A:$A,0)),0,IF(FK$1&lt;INDEX('Valo FX'!$R:$R,MATCH($A21,'Valo FX'!$A:$A,0)),INDEX(Base!$U:$U,MATCH($A21,Base!$A:$A,0)),IF(FK$1=INDEX('Valo FX'!$R:$R,MATCH($A21,'Valo FX'!$A:$A,0)),INDEX(Base!$V:$V,MATCH($A21,Base!$A:$A,0)),0)))</f>
        <v>11.726136</v>
      </c>
      <c r="FL21" s="21">
        <f>IF(FL$1&lt;INDEX('Valo FX'!$Q:$Q,MATCH($A21,'Valo FX'!$A:$A,0)),0,IF(FL$1&lt;INDEX('Valo FX'!$R:$R,MATCH($A21,'Valo FX'!$A:$A,0)),INDEX(Base!$U:$U,MATCH($A21,Base!$A:$A,0)),IF(FL$1=INDEX('Valo FX'!$R:$R,MATCH($A21,'Valo FX'!$A:$A,0)),INDEX(Base!$V:$V,MATCH($A21,Base!$A:$A,0)),0)))</f>
        <v>11.726136</v>
      </c>
      <c r="FM21" s="21">
        <f>IF(FM$1&lt;INDEX('Valo FX'!$Q:$Q,MATCH($A21,'Valo FX'!$A:$A,0)),0,IF(FM$1&lt;INDEX('Valo FX'!$R:$R,MATCH($A21,'Valo FX'!$A:$A,0)),INDEX(Base!$U:$U,MATCH($A21,Base!$A:$A,0)),IF(FM$1=INDEX('Valo FX'!$R:$R,MATCH($A21,'Valo FX'!$A:$A,0)),INDEX(Base!$V:$V,MATCH($A21,Base!$A:$A,0)),0)))</f>
        <v>11.726136</v>
      </c>
      <c r="FN21" s="21">
        <f>IF(FN$1&lt;INDEX('Valo FX'!$Q:$Q,MATCH($A21,'Valo FX'!$A:$A,0)),0,IF(FN$1&lt;INDEX('Valo FX'!$R:$R,MATCH($A21,'Valo FX'!$A:$A,0)),INDEX(Base!$U:$U,MATCH($A21,Base!$A:$A,0)),IF(FN$1=INDEX('Valo FX'!$R:$R,MATCH($A21,'Valo FX'!$A:$A,0)),INDEX(Base!$V:$V,MATCH($A21,Base!$A:$A,0)),0)))</f>
        <v>11.726136</v>
      </c>
      <c r="FO21" s="21">
        <f>IF(FO$1&lt;INDEX('Valo FX'!$Q:$Q,MATCH($A21,'Valo FX'!$A:$A,0)),0,IF(FO$1&lt;INDEX('Valo FX'!$R:$R,MATCH($A21,'Valo FX'!$A:$A,0)),INDEX(Base!$U:$U,MATCH($A21,Base!$A:$A,0)),IF(FO$1=INDEX('Valo FX'!$R:$R,MATCH($A21,'Valo FX'!$A:$A,0)),INDEX(Base!$V:$V,MATCH($A21,Base!$A:$A,0)),0)))</f>
        <v>11.726136</v>
      </c>
      <c r="FP21" s="21">
        <f>IF(FP$1&lt;INDEX('Valo FX'!$Q:$Q,MATCH($A21,'Valo FX'!$A:$A,0)),0,IF(FP$1&lt;INDEX('Valo FX'!$R:$R,MATCH($A21,'Valo FX'!$A:$A,0)),INDEX(Base!$U:$U,MATCH($A21,Base!$A:$A,0)),IF(FP$1=INDEX('Valo FX'!$R:$R,MATCH($A21,'Valo FX'!$A:$A,0)),INDEX(Base!$V:$V,MATCH($A21,Base!$A:$A,0)),0)))</f>
        <v>11.726136</v>
      </c>
      <c r="FQ21" s="21">
        <f>IF(FQ$1&lt;INDEX('Valo FX'!$Q:$Q,MATCH($A21,'Valo FX'!$A:$A,0)),0,IF(FQ$1&lt;INDEX('Valo FX'!$R:$R,MATCH($A21,'Valo FX'!$A:$A,0)),INDEX(Base!$U:$U,MATCH($A21,Base!$A:$A,0)),IF(FQ$1=INDEX('Valo FX'!$R:$R,MATCH($A21,'Valo FX'!$A:$A,0)),INDEX(Base!$V:$V,MATCH($A21,Base!$A:$A,0)),0)))</f>
        <v>11.726136</v>
      </c>
      <c r="FR21" s="21">
        <f>IF(FR$1&lt;INDEX('Valo FX'!$Q:$Q,MATCH($A21,'Valo FX'!$A:$A,0)),0,IF(FR$1&lt;INDEX('Valo FX'!$R:$R,MATCH($A21,'Valo FX'!$A:$A,0)),INDEX(Base!$U:$U,MATCH($A21,Base!$A:$A,0)),IF(FR$1=INDEX('Valo FX'!$R:$R,MATCH($A21,'Valo FX'!$A:$A,0)),INDEX(Base!$V:$V,MATCH($A21,Base!$A:$A,0)),0)))</f>
        <v>11.726136</v>
      </c>
      <c r="FS21" s="21">
        <f>IF(FS$1&lt;INDEX('Valo FX'!$Q:$Q,MATCH($A21,'Valo FX'!$A:$A,0)),0,IF(FS$1&lt;INDEX('Valo FX'!$R:$R,MATCH($A21,'Valo FX'!$A:$A,0)),INDEX(Base!$U:$U,MATCH($A21,Base!$A:$A,0)),IF(FS$1=INDEX('Valo FX'!$R:$R,MATCH($A21,'Valo FX'!$A:$A,0)),INDEX(Base!$V:$V,MATCH($A21,Base!$A:$A,0)),0)))</f>
        <v>11.726136</v>
      </c>
      <c r="FT21" s="21">
        <f>IF(FT$1&lt;INDEX('Valo FX'!$Q:$Q,MATCH($A21,'Valo FX'!$A:$A,0)),0,IF(FT$1&lt;INDEX('Valo FX'!$R:$R,MATCH($A21,'Valo FX'!$A:$A,0)),INDEX(Base!$U:$U,MATCH($A21,Base!$A:$A,0)),IF(FT$1=INDEX('Valo FX'!$R:$R,MATCH($A21,'Valo FX'!$A:$A,0)),INDEX(Base!$V:$V,MATCH($A21,Base!$A:$A,0)),0)))</f>
        <v>11.726136</v>
      </c>
      <c r="FU21" s="21">
        <f>IF(FU$1&lt;INDEX('Valo FX'!$Q:$Q,MATCH($A21,'Valo FX'!$A:$A,0)),0,IF(FU$1&lt;INDEX('Valo FX'!$R:$R,MATCH($A21,'Valo FX'!$A:$A,0)),INDEX(Base!$U:$U,MATCH($A21,Base!$A:$A,0)),IF(FU$1=INDEX('Valo FX'!$R:$R,MATCH($A21,'Valo FX'!$A:$A,0)),INDEX(Base!$V:$V,MATCH($A21,Base!$A:$A,0)),0)))</f>
        <v>11.726136</v>
      </c>
      <c r="FV21" s="21">
        <f>IF(FV$1&lt;INDEX('Valo FX'!$Q:$Q,MATCH($A21,'Valo FX'!$A:$A,0)),0,IF(FV$1&lt;INDEX('Valo FX'!$R:$R,MATCH($A21,'Valo FX'!$A:$A,0)),INDEX(Base!$U:$U,MATCH($A21,Base!$A:$A,0)),IF(FV$1=INDEX('Valo FX'!$R:$R,MATCH($A21,'Valo FX'!$A:$A,0)),INDEX(Base!$V:$V,MATCH($A21,Base!$A:$A,0)),0)))</f>
        <v>11.726136</v>
      </c>
      <c r="FW21" s="21">
        <f>IF(FW$1&lt;INDEX('Valo FX'!$Q:$Q,MATCH($A21,'Valo FX'!$A:$A,0)),0,IF(FW$1&lt;INDEX('Valo FX'!$R:$R,MATCH($A21,'Valo FX'!$A:$A,0)),INDEX(Base!$U:$U,MATCH($A21,Base!$A:$A,0)),IF(FW$1=INDEX('Valo FX'!$R:$R,MATCH($A21,'Valo FX'!$A:$A,0)),INDEX(Base!$V:$V,MATCH($A21,Base!$A:$A,0)),0)))</f>
        <v>11.726136</v>
      </c>
      <c r="FX21" s="21">
        <f>IF(FX$1&lt;INDEX('Valo FX'!$Q:$Q,MATCH($A21,'Valo FX'!$A:$A,0)),0,IF(FX$1&lt;INDEX('Valo FX'!$R:$R,MATCH($A21,'Valo FX'!$A:$A,0)),INDEX(Base!$U:$U,MATCH($A21,Base!$A:$A,0)),IF(FX$1=INDEX('Valo FX'!$R:$R,MATCH($A21,'Valo FX'!$A:$A,0)),INDEX(Base!$V:$V,MATCH($A21,Base!$A:$A,0)),0)))</f>
        <v>11.726136</v>
      </c>
      <c r="FY21" s="21">
        <f>IF(FY$1&lt;INDEX('Valo FX'!$Q:$Q,MATCH($A21,'Valo FX'!$A:$A,0)),0,IF(FY$1&lt;INDEX('Valo FX'!$R:$R,MATCH($A21,'Valo FX'!$A:$A,0)),INDEX(Base!$U:$U,MATCH($A21,Base!$A:$A,0)),IF(FY$1=INDEX('Valo FX'!$R:$R,MATCH($A21,'Valo FX'!$A:$A,0)),INDEX(Base!$V:$V,MATCH($A21,Base!$A:$A,0)),0)))</f>
        <v>11.726136</v>
      </c>
      <c r="FZ21" s="21">
        <f>IF(FZ$1&lt;INDEX('Valo FX'!$Q:$Q,MATCH($A21,'Valo FX'!$A:$A,0)),0,IF(FZ$1&lt;INDEX('Valo FX'!$R:$R,MATCH($A21,'Valo FX'!$A:$A,0)),INDEX(Base!$U:$U,MATCH($A21,Base!$A:$A,0)),IF(FZ$1=INDEX('Valo FX'!$R:$R,MATCH($A21,'Valo FX'!$A:$A,0)),INDEX(Base!$V:$V,MATCH($A21,Base!$A:$A,0)),0)))</f>
        <v>11.726136</v>
      </c>
      <c r="GA21" s="21">
        <f>IF(GA$1&lt;INDEX('Valo FX'!$Q:$Q,MATCH($A21,'Valo FX'!$A:$A,0)),0,IF(GA$1&lt;INDEX('Valo FX'!$R:$R,MATCH($A21,'Valo FX'!$A:$A,0)),INDEX(Base!$U:$U,MATCH($A21,Base!$A:$A,0)),IF(GA$1=INDEX('Valo FX'!$R:$R,MATCH($A21,'Valo FX'!$A:$A,0)),INDEX(Base!$V:$V,MATCH($A21,Base!$A:$A,0)),0)))</f>
        <v>11.726136</v>
      </c>
      <c r="GB21" s="21">
        <f>IF(GB$1&lt;INDEX('Valo FX'!$Q:$Q,MATCH($A21,'Valo FX'!$A:$A,0)),0,IF(GB$1&lt;INDEX('Valo FX'!$R:$R,MATCH($A21,'Valo FX'!$A:$A,0)),INDEX(Base!$U:$U,MATCH($A21,Base!$A:$A,0)),IF(GB$1=INDEX('Valo FX'!$R:$R,MATCH($A21,'Valo FX'!$A:$A,0)),INDEX(Base!$V:$V,MATCH($A21,Base!$A:$A,0)),0)))</f>
        <v>11.726136</v>
      </c>
      <c r="GC21" s="21">
        <f>IF(GC$1&lt;INDEX('Valo FX'!$Q:$Q,MATCH($A21,'Valo FX'!$A:$A,0)),0,IF(GC$1&lt;INDEX('Valo FX'!$R:$R,MATCH($A21,'Valo FX'!$A:$A,0)),INDEX(Base!$U:$U,MATCH($A21,Base!$A:$A,0)),IF(GC$1=INDEX('Valo FX'!$R:$R,MATCH($A21,'Valo FX'!$A:$A,0)),INDEX(Base!$V:$V,MATCH($A21,Base!$A:$A,0)),0)))</f>
        <v>11.726136</v>
      </c>
      <c r="GD21" s="21">
        <f>IF(GD$1&lt;INDEX('Valo FX'!$Q:$Q,MATCH($A21,'Valo FX'!$A:$A,0)),0,IF(GD$1&lt;INDEX('Valo FX'!$R:$R,MATCH($A21,'Valo FX'!$A:$A,0)),INDEX(Base!$U:$U,MATCH($A21,Base!$A:$A,0)),IF(GD$1=INDEX('Valo FX'!$R:$R,MATCH($A21,'Valo FX'!$A:$A,0)),INDEX(Base!$V:$V,MATCH($A21,Base!$A:$A,0)),0)))</f>
        <v>11.726136</v>
      </c>
      <c r="GE21" s="21">
        <f>IF(GE$1&lt;INDEX('Valo FX'!$Q:$Q,MATCH($A21,'Valo FX'!$A:$A,0)),0,IF(GE$1&lt;INDEX('Valo FX'!$R:$R,MATCH($A21,'Valo FX'!$A:$A,0)),INDEX(Base!$U:$U,MATCH($A21,Base!$A:$A,0)),IF(GE$1=INDEX('Valo FX'!$R:$R,MATCH($A21,'Valo FX'!$A:$A,0)),INDEX(Base!$V:$V,MATCH($A21,Base!$A:$A,0)),0)))</f>
        <v>11.726136</v>
      </c>
      <c r="GF21" s="21">
        <f>IF(GF$1&lt;INDEX('Valo FX'!$Q:$Q,MATCH($A21,'Valo FX'!$A:$A,0)),0,IF(GF$1&lt;INDEX('Valo FX'!$R:$R,MATCH($A21,'Valo FX'!$A:$A,0)),INDEX(Base!$U:$U,MATCH($A21,Base!$A:$A,0)),IF(GF$1=INDEX('Valo FX'!$R:$R,MATCH($A21,'Valo FX'!$A:$A,0)),INDEX(Base!$V:$V,MATCH($A21,Base!$A:$A,0)),0)))</f>
        <v>11.726136</v>
      </c>
      <c r="GG21" s="21">
        <f>IF(GG$1&lt;INDEX('Valo FX'!$Q:$Q,MATCH($A21,'Valo FX'!$A:$A,0)),0,IF(GG$1&lt;INDEX('Valo FX'!$R:$R,MATCH($A21,'Valo FX'!$A:$A,0)),INDEX(Base!$U:$U,MATCH($A21,Base!$A:$A,0)),IF(GG$1=INDEX('Valo FX'!$R:$R,MATCH($A21,'Valo FX'!$A:$A,0)),INDEX(Base!$V:$V,MATCH($A21,Base!$A:$A,0)),0)))</f>
        <v>11.726136</v>
      </c>
      <c r="GH21" s="21">
        <f>IF(GH$1&lt;INDEX('Valo FX'!$Q:$Q,MATCH($A21,'Valo FX'!$A:$A,0)),0,IF(GH$1&lt;INDEX('Valo FX'!$R:$R,MATCH($A21,'Valo FX'!$A:$A,0)),INDEX(Base!$U:$U,MATCH($A21,Base!$A:$A,0)),IF(GH$1=INDEX('Valo FX'!$R:$R,MATCH($A21,'Valo FX'!$A:$A,0)),INDEX(Base!$V:$V,MATCH($A21,Base!$A:$A,0)),0)))</f>
        <v>11.726136</v>
      </c>
      <c r="GI21" s="21">
        <f>IF(GI$1&lt;INDEX('Valo FX'!$Q:$Q,MATCH($A21,'Valo FX'!$A:$A,0)),0,IF(GI$1&lt;INDEX('Valo FX'!$R:$R,MATCH($A21,'Valo FX'!$A:$A,0)),INDEX(Base!$U:$U,MATCH($A21,Base!$A:$A,0)),IF(GI$1=INDEX('Valo FX'!$R:$R,MATCH($A21,'Valo FX'!$A:$A,0)),INDEX(Base!$V:$V,MATCH($A21,Base!$A:$A,0)),0)))</f>
        <v>11.726136</v>
      </c>
      <c r="GJ21" s="21">
        <f>IF(GJ$1&lt;INDEX('Valo FX'!$Q:$Q,MATCH($A21,'Valo FX'!$A:$A,0)),0,IF(GJ$1&lt;INDEX('Valo FX'!$R:$R,MATCH($A21,'Valo FX'!$A:$A,0)),INDEX(Base!$U:$U,MATCH($A21,Base!$A:$A,0)),IF(GJ$1=INDEX('Valo FX'!$R:$R,MATCH($A21,'Valo FX'!$A:$A,0)),INDEX(Base!$V:$V,MATCH($A21,Base!$A:$A,0)),0)))</f>
        <v>11.726136</v>
      </c>
      <c r="GK21" s="21">
        <f>IF(GK$1&lt;INDEX('Valo FX'!$Q:$Q,MATCH($A21,'Valo FX'!$A:$A,0)),0,IF(GK$1&lt;INDEX('Valo FX'!$R:$R,MATCH($A21,'Valo FX'!$A:$A,0)),INDEX(Base!$U:$U,MATCH($A21,Base!$A:$A,0)),IF(GK$1=INDEX('Valo FX'!$R:$R,MATCH($A21,'Valo FX'!$A:$A,0)),INDEX(Base!$V:$V,MATCH($A21,Base!$A:$A,0)),0)))</f>
        <v>11.726136</v>
      </c>
      <c r="GL21" s="21">
        <f>IF(GL$1&lt;INDEX('Valo FX'!$Q:$Q,MATCH($A21,'Valo FX'!$A:$A,0)),0,IF(GL$1&lt;INDEX('Valo FX'!$R:$R,MATCH($A21,'Valo FX'!$A:$A,0)),INDEX(Base!$U:$U,MATCH($A21,Base!$A:$A,0)),IF(GL$1=INDEX('Valo FX'!$R:$R,MATCH($A21,'Valo FX'!$A:$A,0)),INDEX(Base!$V:$V,MATCH($A21,Base!$A:$A,0)),0)))</f>
        <v>11.726136</v>
      </c>
      <c r="GM21" s="21">
        <f>IF(GM$1&lt;INDEX('Valo FX'!$Q:$Q,MATCH($A21,'Valo FX'!$A:$A,0)),0,IF(GM$1&lt;INDEX('Valo FX'!$R:$R,MATCH($A21,'Valo FX'!$A:$A,0)),INDEX(Base!$U:$U,MATCH($A21,Base!$A:$A,0)),IF(GM$1=INDEX('Valo FX'!$R:$R,MATCH($A21,'Valo FX'!$A:$A,0)),INDEX(Base!$V:$V,MATCH($A21,Base!$A:$A,0)),0)))</f>
        <v>11.726136</v>
      </c>
      <c r="GN21" s="21">
        <f>IF(GN$1&lt;INDEX('Valo FX'!$Q:$Q,MATCH($A21,'Valo FX'!$A:$A,0)),0,IF(GN$1&lt;INDEX('Valo FX'!$R:$R,MATCH($A21,'Valo FX'!$A:$A,0)),INDEX(Base!$U:$U,MATCH($A21,Base!$A:$A,0)),IF(GN$1=INDEX('Valo FX'!$R:$R,MATCH($A21,'Valo FX'!$A:$A,0)),INDEX(Base!$V:$V,MATCH($A21,Base!$A:$A,0)),0)))</f>
        <v>11.726136</v>
      </c>
      <c r="GO21" s="21">
        <f>IF(GO$1&lt;INDEX('Valo FX'!$Q:$Q,MATCH($A21,'Valo FX'!$A:$A,0)),0,IF(GO$1&lt;INDEX('Valo FX'!$R:$R,MATCH($A21,'Valo FX'!$A:$A,0)),INDEX(Base!$U:$U,MATCH($A21,Base!$A:$A,0)),IF(GO$1=INDEX('Valo FX'!$R:$R,MATCH($A21,'Valo FX'!$A:$A,0)),INDEX(Base!$V:$V,MATCH($A21,Base!$A:$A,0)),0)))</f>
        <v>11.726136</v>
      </c>
      <c r="GP21" s="21">
        <f>IF(GP$1&lt;INDEX('Valo FX'!$Q:$Q,MATCH($A21,'Valo FX'!$A:$A,0)),0,IF(GP$1&lt;INDEX('Valo FX'!$R:$R,MATCH($A21,'Valo FX'!$A:$A,0)),INDEX(Base!$U:$U,MATCH($A21,Base!$A:$A,0)),IF(GP$1=INDEX('Valo FX'!$R:$R,MATCH($A21,'Valo FX'!$A:$A,0)),INDEX(Base!$V:$V,MATCH($A21,Base!$A:$A,0)),0)))</f>
        <v>11.726136</v>
      </c>
      <c r="GQ21" s="21">
        <f>IF(GQ$1&lt;INDEX('Valo FX'!$Q:$Q,MATCH($A21,'Valo FX'!$A:$A,0)),0,IF(GQ$1&lt;INDEX('Valo FX'!$R:$R,MATCH($A21,'Valo FX'!$A:$A,0)),INDEX(Base!$U:$U,MATCH($A21,Base!$A:$A,0)),IF(GQ$1=INDEX('Valo FX'!$R:$R,MATCH($A21,'Valo FX'!$A:$A,0)),INDEX(Base!$V:$V,MATCH($A21,Base!$A:$A,0)),0)))</f>
        <v>11.726136</v>
      </c>
      <c r="GR21" s="21">
        <f>IF(GR$1&lt;INDEX('Valo FX'!$Q:$Q,MATCH($A21,'Valo FX'!$A:$A,0)),0,IF(GR$1&lt;INDEX('Valo FX'!$R:$R,MATCH($A21,'Valo FX'!$A:$A,0)),INDEX(Base!$U:$U,MATCH($A21,Base!$A:$A,0)),IF(GR$1=INDEX('Valo FX'!$R:$R,MATCH($A21,'Valo FX'!$A:$A,0)),INDEX(Base!$V:$V,MATCH($A21,Base!$A:$A,0)),0)))</f>
        <v>11.726136</v>
      </c>
      <c r="GS21" s="21">
        <f>IF(GS$1&lt;INDEX('Valo FX'!$Q:$Q,MATCH($A21,'Valo FX'!$A:$A,0)),0,IF(GS$1&lt;INDEX('Valo FX'!$R:$R,MATCH($A21,'Valo FX'!$A:$A,0)),INDEX(Base!$U:$U,MATCH($A21,Base!$A:$A,0)),IF(GS$1=INDEX('Valo FX'!$R:$R,MATCH($A21,'Valo FX'!$A:$A,0)),INDEX(Base!$V:$V,MATCH($A21,Base!$A:$A,0)),0)))</f>
        <v>11.726136</v>
      </c>
      <c r="GT21" s="21">
        <f>IF(GT$1&lt;INDEX('Valo FX'!$Q:$Q,MATCH($A21,'Valo FX'!$A:$A,0)),0,IF(GT$1&lt;INDEX('Valo FX'!$R:$R,MATCH($A21,'Valo FX'!$A:$A,0)),INDEX(Base!$U:$U,MATCH($A21,Base!$A:$A,0)),IF(GT$1=INDEX('Valo FX'!$R:$R,MATCH($A21,'Valo FX'!$A:$A,0)),INDEX(Base!$V:$V,MATCH($A21,Base!$A:$A,0)),0)))</f>
        <v>11.726136</v>
      </c>
      <c r="GU21" s="21">
        <f>IF(GU$1&lt;INDEX('Valo FX'!$Q:$Q,MATCH($A21,'Valo FX'!$A:$A,0)),0,IF(GU$1&lt;INDEX('Valo FX'!$R:$R,MATCH($A21,'Valo FX'!$A:$A,0)),INDEX(Base!$U:$U,MATCH($A21,Base!$A:$A,0)),IF(GU$1=INDEX('Valo FX'!$R:$R,MATCH($A21,'Valo FX'!$A:$A,0)),INDEX(Base!$V:$V,MATCH($A21,Base!$A:$A,0)),0)))</f>
        <v>11.726136</v>
      </c>
      <c r="GV21" s="21">
        <f>IF(GV$1&lt;INDEX('Valo FX'!$Q:$Q,MATCH($A21,'Valo FX'!$A:$A,0)),0,IF(GV$1&lt;INDEX('Valo FX'!$R:$R,MATCH($A21,'Valo FX'!$A:$A,0)),INDEX(Base!$U:$U,MATCH($A21,Base!$A:$A,0)),IF(GV$1=INDEX('Valo FX'!$R:$R,MATCH($A21,'Valo FX'!$A:$A,0)),INDEX(Base!$V:$V,MATCH($A21,Base!$A:$A,0)),0)))</f>
        <v>11.726136</v>
      </c>
      <c r="GW21" s="21">
        <f>IF(GW$1&lt;INDEX('Valo FX'!$Q:$Q,MATCH($A21,'Valo FX'!$A:$A,0)),0,IF(GW$1&lt;INDEX('Valo FX'!$R:$R,MATCH($A21,'Valo FX'!$A:$A,0)),INDEX(Base!$U:$U,MATCH($A21,Base!$A:$A,0)),IF(GW$1=INDEX('Valo FX'!$R:$R,MATCH($A21,'Valo FX'!$A:$A,0)),INDEX(Base!$V:$V,MATCH($A21,Base!$A:$A,0)),0)))</f>
        <v>11.726136</v>
      </c>
      <c r="GX21" s="21">
        <f>IF(GX$1&lt;INDEX('Valo FX'!$Q:$Q,MATCH($A21,'Valo FX'!$A:$A,0)),0,IF(GX$1&lt;INDEX('Valo FX'!$R:$R,MATCH($A21,'Valo FX'!$A:$A,0)),INDEX(Base!$U:$U,MATCH($A21,Base!$A:$A,0)),IF(GX$1=INDEX('Valo FX'!$R:$R,MATCH($A21,'Valo FX'!$A:$A,0)),INDEX(Base!$V:$V,MATCH($A21,Base!$A:$A,0)),0)))</f>
        <v>11.726136</v>
      </c>
      <c r="GY21" s="21">
        <f>IF(GY$1&lt;INDEX('Valo FX'!$Q:$Q,MATCH($A21,'Valo FX'!$A:$A,0)),0,IF(GY$1&lt;INDEX('Valo FX'!$R:$R,MATCH($A21,'Valo FX'!$A:$A,0)),INDEX(Base!$U:$U,MATCH($A21,Base!$A:$A,0)),IF(GY$1=INDEX('Valo FX'!$R:$R,MATCH($A21,'Valo FX'!$A:$A,0)),INDEX(Base!$V:$V,MATCH($A21,Base!$A:$A,0)),0)))</f>
        <v>11.726136</v>
      </c>
      <c r="GZ21" s="21">
        <f>IF(GZ$1&lt;INDEX('Valo FX'!$Q:$Q,MATCH($A21,'Valo FX'!$A:$A,0)),0,IF(GZ$1&lt;INDEX('Valo FX'!$R:$R,MATCH($A21,'Valo FX'!$A:$A,0)),INDEX(Base!$U:$U,MATCH($A21,Base!$A:$A,0)),IF(GZ$1=INDEX('Valo FX'!$R:$R,MATCH($A21,'Valo FX'!$A:$A,0)),INDEX(Base!$V:$V,MATCH($A21,Base!$A:$A,0)),0)))</f>
        <v>11.726136</v>
      </c>
      <c r="HA21" s="21">
        <f>IF(HA$1&lt;INDEX('Valo FX'!$Q:$Q,MATCH($A21,'Valo FX'!$A:$A,0)),0,IF(HA$1&lt;INDEX('Valo FX'!$R:$R,MATCH($A21,'Valo FX'!$A:$A,0)),INDEX(Base!$U:$U,MATCH($A21,Base!$A:$A,0)),IF(HA$1=INDEX('Valo FX'!$R:$R,MATCH($A21,'Valo FX'!$A:$A,0)),INDEX(Base!$V:$V,MATCH($A21,Base!$A:$A,0)),0)))</f>
        <v>11.726136</v>
      </c>
      <c r="HB21" s="21">
        <f>IF(HB$1&lt;INDEX('Valo FX'!$Q:$Q,MATCH($A21,'Valo FX'!$A:$A,0)),0,IF(HB$1&lt;INDEX('Valo FX'!$R:$R,MATCH($A21,'Valo FX'!$A:$A,0)),INDEX(Base!$U:$U,MATCH($A21,Base!$A:$A,0)),IF(HB$1=INDEX('Valo FX'!$R:$R,MATCH($A21,'Valo FX'!$A:$A,0)),INDEX(Base!$V:$V,MATCH($A21,Base!$A:$A,0)),0)))</f>
        <v>11.726136</v>
      </c>
      <c r="HC21" s="21">
        <f>IF(HC$1&lt;INDEX('Valo FX'!$Q:$Q,MATCH($A21,'Valo FX'!$A:$A,0)),0,IF(HC$1&lt;INDEX('Valo FX'!$R:$R,MATCH($A21,'Valo FX'!$A:$A,0)),INDEX(Base!$U:$U,MATCH($A21,Base!$A:$A,0)),IF(HC$1=INDEX('Valo FX'!$R:$R,MATCH($A21,'Valo FX'!$A:$A,0)),INDEX(Base!$V:$V,MATCH($A21,Base!$A:$A,0)),0)))</f>
        <v>11.726136</v>
      </c>
      <c r="HD21" s="21">
        <f>IF(HD$1&lt;INDEX('Valo FX'!$Q:$Q,MATCH($A21,'Valo FX'!$A:$A,0)),0,IF(HD$1&lt;INDEX('Valo FX'!$R:$R,MATCH($A21,'Valo FX'!$A:$A,0)),INDEX(Base!$U:$U,MATCH($A21,Base!$A:$A,0)),IF(HD$1=INDEX('Valo FX'!$R:$R,MATCH($A21,'Valo FX'!$A:$A,0)),INDEX(Base!$V:$V,MATCH($A21,Base!$A:$A,0)),0)))</f>
        <v>11.726136</v>
      </c>
      <c r="HE21" s="21">
        <f>IF(HE$1&lt;INDEX('Valo FX'!$Q:$Q,MATCH($A21,'Valo FX'!$A:$A,0)),0,IF(HE$1&lt;INDEX('Valo FX'!$R:$R,MATCH($A21,'Valo FX'!$A:$A,0)),INDEX(Base!$U:$U,MATCH($A21,Base!$A:$A,0)),IF(HE$1=INDEX('Valo FX'!$R:$R,MATCH($A21,'Valo FX'!$A:$A,0)),INDEX(Base!$V:$V,MATCH($A21,Base!$A:$A,0)),0)))</f>
        <v>11.726136</v>
      </c>
      <c r="HF21" s="21">
        <f>IF(HF$1&lt;INDEX('Valo FX'!$Q:$Q,MATCH($A21,'Valo FX'!$A:$A,0)),0,IF(HF$1&lt;INDEX('Valo FX'!$R:$R,MATCH($A21,'Valo FX'!$A:$A,0)),INDEX(Base!$U:$U,MATCH($A21,Base!$A:$A,0)),IF(HF$1=INDEX('Valo FX'!$R:$R,MATCH($A21,'Valo FX'!$A:$A,0)),INDEX(Base!$V:$V,MATCH($A21,Base!$A:$A,0)),0)))</f>
        <v>11.726136</v>
      </c>
      <c r="HG21" s="21">
        <f>IF(HG$1&lt;INDEX('Valo FX'!$Q:$Q,MATCH($A21,'Valo FX'!$A:$A,0)),0,IF(HG$1&lt;INDEX('Valo FX'!$R:$R,MATCH($A21,'Valo FX'!$A:$A,0)),INDEX(Base!$U:$U,MATCH($A21,Base!$A:$A,0)),IF(HG$1=INDEX('Valo FX'!$R:$R,MATCH($A21,'Valo FX'!$A:$A,0)),INDEX(Base!$V:$V,MATCH($A21,Base!$A:$A,0)),0)))</f>
        <v>11.726136</v>
      </c>
      <c r="HH21" s="21">
        <f>IF(HH$1&lt;INDEX('Valo FX'!$Q:$Q,MATCH($A21,'Valo FX'!$A:$A,0)),0,IF(HH$1&lt;INDEX('Valo FX'!$R:$R,MATCH($A21,'Valo FX'!$A:$A,0)),INDEX(Base!$U:$U,MATCH($A21,Base!$A:$A,0)),IF(HH$1=INDEX('Valo FX'!$R:$R,MATCH($A21,'Valo FX'!$A:$A,0)),INDEX(Base!$V:$V,MATCH($A21,Base!$A:$A,0)),0)))</f>
        <v>11.726136</v>
      </c>
      <c r="HI21" s="21">
        <f>IF(HI$1&lt;INDEX('Valo FX'!$Q:$Q,MATCH($A21,'Valo FX'!$A:$A,0)),0,IF(HI$1&lt;INDEX('Valo FX'!$R:$R,MATCH($A21,'Valo FX'!$A:$A,0)),INDEX(Base!$U:$U,MATCH($A21,Base!$A:$A,0)),IF(HI$1=INDEX('Valo FX'!$R:$R,MATCH($A21,'Valo FX'!$A:$A,0)),INDEX(Base!$V:$V,MATCH($A21,Base!$A:$A,0)),0)))</f>
        <v>11.726136</v>
      </c>
      <c r="HJ21" s="21">
        <f>IF(HJ$1&lt;INDEX('Valo FX'!$Q:$Q,MATCH($A21,'Valo FX'!$A:$A,0)),0,IF(HJ$1&lt;INDEX('Valo FX'!$R:$R,MATCH($A21,'Valo FX'!$A:$A,0)),INDEX(Base!$U:$U,MATCH($A21,Base!$A:$A,0)),IF(HJ$1=INDEX('Valo FX'!$R:$R,MATCH($A21,'Valo FX'!$A:$A,0)),INDEX(Base!$V:$V,MATCH($A21,Base!$A:$A,0)),0)))</f>
        <v>11.726136</v>
      </c>
      <c r="HK21" s="21">
        <f>IF(HK$1&lt;INDEX('Valo FX'!$Q:$Q,MATCH($A21,'Valo FX'!$A:$A,0)),0,IF(HK$1&lt;INDEX('Valo FX'!$R:$R,MATCH($A21,'Valo FX'!$A:$A,0)),INDEX(Base!$U:$U,MATCH($A21,Base!$A:$A,0)),IF(HK$1=INDEX('Valo FX'!$R:$R,MATCH($A21,'Valo FX'!$A:$A,0)),INDEX(Base!$V:$V,MATCH($A21,Base!$A:$A,0)),0)))</f>
        <v>11.726136</v>
      </c>
      <c r="HL21" s="21">
        <f>IF(HL$1&lt;INDEX('Valo FX'!$Q:$Q,MATCH($A21,'Valo FX'!$A:$A,0)),0,IF(HL$1&lt;INDEX('Valo FX'!$R:$R,MATCH($A21,'Valo FX'!$A:$A,0)),INDEX(Base!$U:$U,MATCH($A21,Base!$A:$A,0)),IF(HL$1=INDEX('Valo FX'!$R:$R,MATCH($A21,'Valo FX'!$A:$A,0)),INDEX(Base!$V:$V,MATCH($A21,Base!$A:$A,0)),0)))</f>
        <v>11.726136</v>
      </c>
      <c r="HM21" s="21">
        <f>IF(HM$1&lt;INDEX('Valo FX'!$Q:$Q,MATCH($A21,'Valo FX'!$A:$A,0)),0,IF(HM$1&lt;INDEX('Valo FX'!$R:$R,MATCH($A21,'Valo FX'!$A:$A,0)),INDEX(Base!$U:$U,MATCH($A21,Base!$A:$A,0)),IF(HM$1=INDEX('Valo FX'!$R:$R,MATCH($A21,'Valo FX'!$A:$A,0)),INDEX(Base!$V:$V,MATCH($A21,Base!$A:$A,0)),0)))</f>
        <v>11.726136</v>
      </c>
      <c r="HN21" s="21">
        <f>IF(HN$1&lt;INDEX('Valo FX'!$Q:$Q,MATCH($A21,'Valo FX'!$A:$A,0)),0,IF(HN$1&lt;INDEX('Valo FX'!$R:$R,MATCH($A21,'Valo FX'!$A:$A,0)),INDEX(Base!$U:$U,MATCH($A21,Base!$A:$A,0)),IF(HN$1=INDEX('Valo FX'!$R:$R,MATCH($A21,'Valo FX'!$A:$A,0)),INDEX(Base!$V:$V,MATCH($A21,Base!$A:$A,0)),0)))</f>
        <v>11.726136</v>
      </c>
      <c r="HO21" s="21">
        <f>IF(HO$1&lt;INDEX('Valo FX'!$Q:$Q,MATCH($A21,'Valo FX'!$A:$A,0)),0,IF(HO$1&lt;INDEX('Valo FX'!$R:$R,MATCH($A21,'Valo FX'!$A:$A,0)),INDEX(Base!$U:$U,MATCH($A21,Base!$A:$A,0)),IF(HO$1=INDEX('Valo FX'!$R:$R,MATCH($A21,'Valo FX'!$A:$A,0)),INDEX(Base!$V:$V,MATCH($A21,Base!$A:$A,0)),0)))</f>
        <v>11.726136</v>
      </c>
      <c r="HP21" s="21">
        <f>IF(HP$1&lt;INDEX('Valo FX'!$Q:$Q,MATCH($A21,'Valo FX'!$A:$A,0)),0,IF(HP$1&lt;INDEX('Valo FX'!$R:$R,MATCH($A21,'Valo FX'!$A:$A,0)),INDEX(Base!$U:$U,MATCH($A21,Base!$A:$A,0)),IF(HP$1=INDEX('Valo FX'!$R:$R,MATCH($A21,'Valo FX'!$A:$A,0)),INDEX(Base!$V:$V,MATCH($A21,Base!$A:$A,0)),0)))</f>
        <v>11.726136</v>
      </c>
      <c r="HQ21" s="21">
        <f>IF(HQ$1&lt;INDEX('Valo FX'!$Q:$Q,MATCH($A21,'Valo FX'!$A:$A,0)),0,IF(HQ$1&lt;INDEX('Valo FX'!$R:$R,MATCH($A21,'Valo FX'!$A:$A,0)),INDEX(Base!$U:$U,MATCH($A21,Base!$A:$A,0)),IF(HQ$1=INDEX('Valo FX'!$R:$R,MATCH($A21,'Valo FX'!$A:$A,0)),INDEX(Base!$V:$V,MATCH($A21,Base!$A:$A,0)),0)))</f>
        <v>11.726136</v>
      </c>
      <c r="HR21" s="21">
        <f>IF(HR$1&lt;INDEX('Valo FX'!$Q:$Q,MATCH($A21,'Valo FX'!$A:$A,0)),0,IF(HR$1&lt;INDEX('Valo FX'!$R:$R,MATCH($A21,'Valo FX'!$A:$A,0)),INDEX(Base!$U:$U,MATCH($A21,Base!$A:$A,0)),IF(HR$1=INDEX('Valo FX'!$R:$R,MATCH($A21,'Valo FX'!$A:$A,0)),INDEX(Base!$V:$V,MATCH($A21,Base!$A:$A,0)),0)))</f>
        <v>11.726136</v>
      </c>
      <c r="HS21" s="21">
        <f>IF(HS$1&lt;INDEX('Valo FX'!$Q:$Q,MATCH($A21,'Valo FX'!$A:$A,0)),0,IF(HS$1&lt;INDEX('Valo FX'!$R:$R,MATCH($A21,'Valo FX'!$A:$A,0)),INDEX(Base!$U:$U,MATCH($A21,Base!$A:$A,0)),IF(HS$1=INDEX('Valo FX'!$R:$R,MATCH($A21,'Valo FX'!$A:$A,0)),INDEX(Base!$V:$V,MATCH($A21,Base!$A:$A,0)),0)))</f>
        <v>11.726136</v>
      </c>
      <c r="HT21" s="21">
        <f>IF(HT$1&lt;INDEX('Valo FX'!$Q:$Q,MATCH($A21,'Valo FX'!$A:$A,0)),0,IF(HT$1&lt;INDEX('Valo FX'!$R:$R,MATCH($A21,'Valo FX'!$A:$A,0)),INDEX(Base!$U:$U,MATCH($A21,Base!$A:$A,0)),IF(HT$1=INDEX('Valo FX'!$R:$R,MATCH($A21,'Valo FX'!$A:$A,0)),INDEX(Base!$V:$V,MATCH($A21,Base!$A:$A,0)),0)))</f>
        <v>11.726136</v>
      </c>
      <c r="HU21" s="21">
        <f>IF(HU$1&lt;INDEX('Valo FX'!$Q:$Q,MATCH($A21,'Valo FX'!$A:$A,0)),0,IF(HU$1&lt;INDEX('Valo FX'!$R:$R,MATCH($A21,'Valo FX'!$A:$A,0)),INDEX(Base!$U:$U,MATCH($A21,Base!$A:$A,0)),IF(HU$1=INDEX('Valo FX'!$R:$R,MATCH($A21,'Valo FX'!$A:$A,0)),INDEX(Base!$V:$V,MATCH($A21,Base!$A:$A,0)),0)))</f>
        <v>11.726136</v>
      </c>
      <c r="HV21" s="21">
        <f>IF(HV$1&lt;INDEX('Valo FX'!$Q:$Q,MATCH($A21,'Valo FX'!$A:$A,0)),0,IF(HV$1&lt;INDEX('Valo FX'!$R:$R,MATCH($A21,'Valo FX'!$A:$A,0)),INDEX(Base!$U:$U,MATCH($A21,Base!$A:$A,0)),IF(HV$1=INDEX('Valo FX'!$R:$R,MATCH($A21,'Valo FX'!$A:$A,0)),INDEX(Base!$V:$V,MATCH($A21,Base!$A:$A,0)),0)))</f>
        <v>11.726136</v>
      </c>
      <c r="HW21" s="21">
        <f>IF(HW$1&lt;INDEX('Valo FX'!$Q:$Q,MATCH($A21,'Valo FX'!$A:$A,0)),0,IF(HW$1&lt;INDEX('Valo FX'!$R:$R,MATCH($A21,'Valo FX'!$A:$A,0)),INDEX(Base!$U:$U,MATCH($A21,Base!$A:$A,0)),IF(HW$1=INDEX('Valo FX'!$R:$R,MATCH($A21,'Valo FX'!$A:$A,0)),INDEX(Base!$V:$V,MATCH($A21,Base!$A:$A,0)),0)))</f>
        <v>11.726136</v>
      </c>
      <c r="HX21" s="21">
        <f>IF(HX$1&lt;INDEX('Valo FX'!$Q:$Q,MATCH($A21,'Valo FX'!$A:$A,0)),0,IF(HX$1&lt;INDEX('Valo FX'!$R:$R,MATCH($A21,'Valo FX'!$A:$A,0)),INDEX(Base!$U:$U,MATCH($A21,Base!$A:$A,0)),IF(HX$1=INDEX('Valo FX'!$R:$R,MATCH($A21,'Valo FX'!$A:$A,0)),INDEX(Base!$V:$V,MATCH($A21,Base!$A:$A,0)),0)))</f>
        <v>11.726136</v>
      </c>
      <c r="HY21" s="21">
        <f>IF(HY$1&lt;INDEX('Valo FX'!$Q:$Q,MATCH($A21,'Valo FX'!$A:$A,0)),0,IF(HY$1&lt;INDEX('Valo FX'!$R:$R,MATCH($A21,'Valo FX'!$A:$A,0)),INDEX(Base!$U:$U,MATCH($A21,Base!$A:$A,0)),IF(HY$1=INDEX('Valo FX'!$R:$R,MATCH($A21,'Valo FX'!$A:$A,0)),INDEX(Base!$V:$V,MATCH($A21,Base!$A:$A,0)),0)))</f>
        <v>11.726136</v>
      </c>
      <c r="HZ21" s="21">
        <f>IF(HZ$1&lt;INDEX('Valo FX'!$Q:$Q,MATCH($A21,'Valo FX'!$A:$A,0)),0,IF(HZ$1&lt;INDEX('Valo FX'!$R:$R,MATCH($A21,'Valo FX'!$A:$A,0)),INDEX(Base!$U:$U,MATCH($A21,Base!$A:$A,0)),IF(HZ$1=INDEX('Valo FX'!$R:$R,MATCH($A21,'Valo FX'!$A:$A,0)),INDEX(Base!$V:$V,MATCH($A21,Base!$A:$A,0)),0)))</f>
        <v>11.726136</v>
      </c>
      <c r="IA21" s="21">
        <f>IF(IA$1&lt;INDEX('Valo FX'!$Q:$Q,MATCH($A21,'Valo FX'!$A:$A,0)),0,IF(IA$1&lt;INDEX('Valo FX'!$R:$R,MATCH($A21,'Valo FX'!$A:$A,0)),INDEX(Base!$U:$U,MATCH($A21,Base!$A:$A,0)),IF(IA$1=INDEX('Valo FX'!$R:$R,MATCH($A21,'Valo FX'!$A:$A,0)),INDEX(Base!$V:$V,MATCH($A21,Base!$A:$A,0)),0)))</f>
        <v>11.726136</v>
      </c>
      <c r="IB21" s="21">
        <f>IF(IB$1&lt;INDEX('Valo FX'!$Q:$Q,MATCH($A21,'Valo FX'!$A:$A,0)),0,IF(IB$1&lt;INDEX('Valo FX'!$R:$R,MATCH($A21,'Valo FX'!$A:$A,0)),INDEX(Base!$U:$U,MATCH($A21,Base!$A:$A,0)),IF(IB$1=INDEX('Valo FX'!$R:$R,MATCH($A21,'Valo FX'!$A:$A,0)),INDEX(Base!$V:$V,MATCH($A21,Base!$A:$A,0)),0)))</f>
        <v>11.726136</v>
      </c>
      <c r="IC21" s="21">
        <f>IF(IC$1&lt;INDEX('Valo FX'!$Q:$Q,MATCH($A21,'Valo FX'!$A:$A,0)),0,IF(IC$1&lt;INDEX('Valo FX'!$R:$R,MATCH($A21,'Valo FX'!$A:$A,0)),INDEX(Base!$U:$U,MATCH($A21,Base!$A:$A,0)),IF(IC$1=INDEX('Valo FX'!$R:$R,MATCH($A21,'Valo FX'!$A:$A,0)),INDEX(Base!$V:$V,MATCH($A21,Base!$A:$A,0)),0)))</f>
        <v>11.726136</v>
      </c>
      <c r="ID21" s="21">
        <f>IF(ID$1&lt;INDEX('Valo FX'!$Q:$Q,MATCH($A21,'Valo FX'!$A:$A,0)),0,IF(ID$1&lt;INDEX('Valo FX'!$R:$R,MATCH($A21,'Valo FX'!$A:$A,0)),INDEX(Base!$U:$U,MATCH($A21,Base!$A:$A,0)),IF(ID$1=INDEX('Valo FX'!$R:$R,MATCH($A21,'Valo FX'!$A:$A,0)),INDEX(Base!$V:$V,MATCH($A21,Base!$A:$A,0)),0)))</f>
        <v>11.726136</v>
      </c>
      <c r="IE21" s="21">
        <f>IF(IE$1&lt;INDEX('Valo FX'!$Q:$Q,MATCH($A21,'Valo FX'!$A:$A,0)),0,IF(IE$1&lt;INDEX('Valo FX'!$R:$R,MATCH($A21,'Valo FX'!$A:$A,0)),INDEX(Base!$U:$U,MATCH($A21,Base!$A:$A,0)),IF(IE$1=INDEX('Valo FX'!$R:$R,MATCH($A21,'Valo FX'!$A:$A,0)),INDEX(Base!$V:$V,MATCH($A21,Base!$A:$A,0)),0)))</f>
        <v>11.726136</v>
      </c>
      <c r="IF21" s="21">
        <f>IF(IF$1&lt;INDEX('Valo FX'!$Q:$Q,MATCH($A21,'Valo FX'!$A:$A,0)),0,IF(IF$1&lt;INDEX('Valo FX'!$R:$R,MATCH($A21,'Valo FX'!$A:$A,0)),INDEX(Base!$U:$U,MATCH($A21,Base!$A:$A,0)),IF(IF$1=INDEX('Valo FX'!$R:$R,MATCH($A21,'Valo FX'!$A:$A,0)),INDEX(Base!$V:$V,MATCH($A21,Base!$A:$A,0)),0)))</f>
        <v>11.726136</v>
      </c>
      <c r="IG21" s="21">
        <f>IF(IG$1&lt;INDEX('Valo FX'!$Q:$Q,MATCH($A21,'Valo FX'!$A:$A,0)),0,IF(IG$1&lt;INDEX('Valo FX'!$R:$R,MATCH($A21,'Valo FX'!$A:$A,0)),INDEX(Base!$U:$U,MATCH($A21,Base!$A:$A,0)),IF(IG$1=INDEX('Valo FX'!$R:$R,MATCH($A21,'Valo FX'!$A:$A,0)),INDEX(Base!$V:$V,MATCH($A21,Base!$A:$A,0)),0)))</f>
        <v>11.726136</v>
      </c>
      <c r="IH21" s="21">
        <f>IF(IH$1&lt;INDEX('Valo FX'!$Q:$Q,MATCH($A21,'Valo FX'!$A:$A,0)),0,IF(IH$1&lt;INDEX('Valo FX'!$R:$R,MATCH($A21,'Valo FX'!$A:$A,0)),INDEX(Base!$U:$U,MATCH($A21,Base!$A:$A,0)),IF(IH$1=INDEX('Valo FX'!$R:$R,MATCH($A21,'Valo FX'!$A:$A,0)),INDEX(Base!$V:$V,MATCH($A21,Base!$A:$A,0)),0)))</f>
        <v>11.726136</v>
      </c>
      <c r="II21" s="21">
        <f>IF(II$1&lt;INDEX('Valo FX'!$Q:$Q,MATCH($A21,'Valo FX'!$A:$A,0)),0,IF(II$1&lt;INDEX('Valo FX'!$R:$R,MATCH($A21,'Valo FX'!$A:$A,0)),INDEX(Base!$U:$U,MATCH($A21,Base!$A:$A,0)),IF(II$1=INDEX('Valo FX'!$R:$R,MATCH($A21,'Valo FX'!$A:$A,0)),INDEX(Base!$V:$V,MATCH($A21,Base!$A:$A,0)),0)))</f>
        <v>11.726136</v>
      </c>
      <c r="IJ21" s="21">
        <f>IF(IJ$1&lt;INDEX('Valo FX'!$Q:$Q,MATCH($A21,'Valo FX'!$A:$A,0)),0,IF(IJ$1&lt;INDEX('Valo FX'!$R:$R,MATCH($A21,'Valo FX'!$A:$A,0)),INDEX(Base!$U:$U,MATCH($A21,Base!$A:$A,0)),IF(IJ$1=INDEX('Valo FX'!$R:$R,MATCH($A21,'Valo FX'!$A:$A,0)),INDEX(Base!$V:$V,MATCH($A21,Base!$A:$A,0)),0)))</f>
        <v>11.726136</v>
      </c>
      <c r="IK21" s="21">
        <f>IF(IK$1&lt;INDEX('Valo FX'!$Q:$Q,MATCH($A21,'Valo FX'!$A:$A,0)),0,IF(IK$1&lt;INDEX('Valo FX'!$R:$R,MATCH($A21,'Valo FX'!$A:$A,0)),INDEX(Base!$U:$U,MATCH($A21,Base!$A:$A,0)),IF(IK$1=INDEX('Valo FX'!$R:$R,MATCH($A21,'Valo FX'!$A:$A,0)),INDEX(Base!$V:$V,MATCH($A21,Base!$A:$A,0)),0)))</f>
        <v>11.726136</v>
      </c>
      <c r="IL21" s="21">
        <f>IF(IL$1&lt;INDEX('Valo FX'!$Q:$Q,MATCH($A21,'Valo FX'!$A:$A,0)),0,IF(IL$1&lt;INDEX('Valo FX'!$R:$R,MATCH($A21,'Valo FX'!$A:$A,0)),INDEX(Base!$U:$U,MATCH($A21,Base!$A:$A,0)),IF(IL$1=INDEX('Valo FX'!$R:$R,MATCH($A21,'Valo FX'!$A:$A,0)),INDEX(Base!$V:$V,MATCH($A21,Base!$A:$A,0)),0)))</f>
        <v>11.726136</v>
      </c>
      <c r="IM21" s="21">
        <f>IF(IM$1&lt;INDEX('Valo FX'!$Q:$Q,MATCH($A21,'Valo FX'!$A:$A,0)),0,IF(IM$1&lt;INDEX('Valo FX'!$R:$R,MATCH($A21,'Valo FX'!$A:$A,0)),INDEX(Base!$U:$U,MATCH($A21,Base!$A:$A,0)),IF(IM$1=INDEX('Valo FX'!$R:$R,MATCH($A21,'Valo FX'!$A:$A,0)),INDEX(Base!$V:$V,MATCH($A21,Base!$A:$A,0)),0)))</f>
        <v>11.726136</v>
      </c>
      <c r="IN21" s="21">
        <f>IF(IN$1&lt;INDEX('Valo FX'!$Q:$Q,MATCH($A21,'Valo FX'!$A:$A,0)),0,IF(IN$1&lt;INDEX('Valo FX'!$R:$R,MATCH($A21,'Valo FX'!$A:$A,0)),INDEX(Base!$U:$U,MATCH($A21,Base!$A:$A,0)),IF(IN$1=INDEX('Valo FX'!$R:$R,MATCH($A21,'Valo FX'!$A:$A,0)),INDEX(Base!$V:$V,MATCH($A21,Base!$A:$A,0)),0)))</f>
        <v>11.726136</v>
      </c>
      <c r="IO21" s="21">
        <f>IF(IO$1&lt;INDEX('Valo FX'!$Q:$Q,MATCH($A21,'Valo FX'!$A:$A,0)),0,IF(IO$1&lt;INDEX('Valo FX'!$R:$R,MATCH($A21,'Valo FX'!$A:$A,0)),INDEX(Base!$U:$U,MATCH($A21,Base!$A:$A,0)),IF(IO$1=INDEX('Valo FX'!$R:$R,MATCH($A21,'Valo FX'!$A:$A,0)),INDEX(Base!$V:$V,MATCH($A21,Base!$A:$A,0)),0)))</f>
        <v>11.726136</v>
      </c>
      <c r="IP21" s="21">
        <f>IF(IP$1&lt;INDEX('Valo FX'!$Q:$Q,MATCH($A21,'Valo FX'!$A:$A,0)),0,IF(IP$1&lt;INDEX('Valo FX'!$R:$R,MATCH($A21,'Valo FX'!$A:$A,0)),INDEX(Base!$U:$U,MATCH($A21,Base!$A:$A,0)),IF(IP$1=INDEX('Valo FX'!$R:$R,MATCH($A21,'Valo FX'!$A:$A,0)),INDEX(Base!$V:$V,MATCH($A21,Base!$A:$A,0)),0)))</f>
        <v>11.726136</v>
      </c>
      <c r="IQ21" s="21">
        <f>IF(IQ$1&lt;INDEX('Valo FX'!$Q:$Q,MATCH($A21,'Valo FX'!$A:$A,0)),0,IF(IQ$1&lt;INDEX('Valo FX'!$R:$R,MATCH($A21,'Valo FX'!$A:$A,0)),INDEX(Base!$U:$U,MATCH($A21,Base!$A:$A,0)),IF(IQ$1=INDEX('Valo FX'!$R:$R,MATCH($A21,'Valo FX'!$A:$A,0)),INDEX(Base!$V:$V,MATCH($A21,Base!$A:$A,0)),0)))</f>
        <v>11.726136</v>
      </c>
      <c r="IR21" s="21">
        <f>IF(IR$1&lt;INDEX('Valo FX'!$Q:$Q,MATCH($A21,'Valo FX'!$A:$A,0)),0,IF(IR$1&lt;INDEX('Valo FX'!$R:$R,MATCH($A21,'Valo FX'!$A:$A,0)),INDEX(Base!$U:$U,MATCH($A21,Base!$A:$A,0)),IF(IR$1=INDEX('Valo FX'!$R:$R,MATCH($A21,'Valo FX'!$A:$A,0)),INDEX(Base!$V:$V,MATCH($A21,Base!$A:$A,0)),0)))</f>
        <v>11.726136</v>
      </c>
      <c r="IS21" s="21">
        <f>IF(IS$1&lt;INDEX('Valo FX'!$Q:$Q,MATCH($A21,'Valo FX'!$A:$A,0)),0,IF(IS$1&lt;INDEX('Valo FX'!$R:$R,MATCH($A21,'Valo FX'!$A:$A,0)),INDEX(Base!$U:$U,MATCH($A21,Base!$A:$A,0)),IF(IS$1=INDEX('Valo FX'!$R:$R,MATCH($A21,'Valo FX'!$A:$A,0)),INDEX(Base!$V:$V,MATCH($A21,Base!$A:$A,0)),0)))</f>
        <v>11.726136</v>
      </c>
      <c r="IT21" s="21">
        <f>IF(IT$1&lt;INDEX('Valo FX'!$Q:$Q,MATCH($A21,'Valo FX'!$A:$A,0)),0,IF(IT$1&lt;INDEX('Valo FX'!$R:$R,MATCH($A21,'Valo FX'!$A:$A,0)),INDEX(Base!$U:$U,MATCH($A21,Base!$A:$A,0)),IF(IT$1=INDEX('Valo FX'!$R:$R,MATCH($A21,'Valo FX'!$A:$A,0)),INDEX(Base!$V:$V,MATCH($A21,Base!$A:$A,0)),0)))</f>
        <v>11.726136</v>
      </c>
      <c r="IU21" s="21">
        <f>IF(IU$1&lt;INDEX('Valo FX'!$Q:$Q,MATCH($A21,'Valo FX'!$A:$A,0)),0,IF(IU$1&lt;INDEX('Valo FX'!$R:$R,MATCH($A21,'Valo FX'!$A:$A,0)),INDEX(Base!$U:$U,MATCH($A21,Base!$A:$A,0)),IF(IU$1=INDEX('Valo FX'!$R:$R,MATCH($A21,'Valo FX'!$A:$A,0)),INDEX(Base!$V:$V,MATCH($A21,Base!$A:$A,0)),0)))</f>
        <v>11.726136</v>
      </c>
      <c r="IV21" s="21">
        <f>IF(IV$1&lt;INDEX('Valo FX'!$Q:$Q,MATCH($A21,'Valo FX'!$A:$A,0)),0,IF(IV$1&lt;INDEX('Valo FX'!$R:$R,MATCH($A21,'Valo FX'!$A:$A,0)),INDEX(Base!$U:$U,MATCH($A21,Base!$A:$A,0)),IF(IV$1=INDEX('Valo FX'!$R:$R,MATCH($A21,'Valo FX'!$A:$A,0)),INDEX(Base!$V:$V,MATCH($A21,Base!$A:$A,0)),0)))</f>
        <v>11.726136</v>
      </c>
      <c r="IW21" s="21">
        <f>IF(IW$1&lt;INDEX('Valo FX'!$Q:$Q,MATCH($A21,'Valo FX'!$A:$A,0)),0,IF(IW$1&lt;INDEX('Valo FX'!$R:$R,MATCH($A21,'Valo FX'!$A:$A,0)),INDEX(Base!$U:$U,MATCH($A21,Base!$A:$A,0)),IF(IW$1=INDEX('Valo FX'!$R:$R,MATCH($A21,'Valo FX'!$A:$A,0)),INDEX(Base!$V:$V,MATCH($A21,Base!$A:$A,0)),0)))</f>
        <v>11.726136</v>
      </c>
      <c r="IX21" s="21">
        <f>IF(IX$1&lt;INDEX('Valo FX'!$Q:$Q,MATCH($A21,'Valo FX'!$A:$A,0)),0,IF(IX$1&lt;INDEX('Valo FX'!$R:$R,MATCH($A21,'Valo FX'!$A:$A,0)),INDEX(Base!$U:$U,MATCH($A21,Base!$A:$A,0)),IF(IX$1=INDEX('Valo FX'!$R:$R,MATCH($A21,'Valo FX'!$A:$A,0)),INDEX(Base!$V:$V,MATCH($A21,Base!$A:$A,0)),0)))</f>
        <v>11.726136</v>
      </c>
      <c r="IY21" s="21">
        <f>IF(IY$1&lt;INDEX('Valo FX'!$Q:$Q,MATCH($A21,'Valo FX'!$A:$A,0)),0,IF(IY$1&lt;INDEX('Valo FX'!$R:$R,MATCH($A21,'Valo FX'!$A:$A,0)),INDEX(Base!$U:$U,MATCH($A21,Base!$A:$A,0)),IF(IY$1=INDEX('Valo FX'!$R:$R,MATCH($A21,'Valo FX'!$A:$A,0)),INDEX(Base!$V:$V,MATCH($A21,Base!$A:$A,0)),0)))</f>
        <v>11.726136</v>
      </c>
      <c r="IZ21" s="21">
        <f>IF(IZ$1&lt;INDEX('Valo FX'!$Q:$Q,MATCH($A21,'Valo FX'!$A:$A,0)),0,IF(IZ$1&lt;INDEX('Valo FX'!$R:$R,MATCH($A21,'Valo FX'!$A:$A,0)),INDEX(Base!$U:$U,MATCH($A21,Base!$A:$A,0)),IF(IZ$1=INDEX('Valo FX'!$R:$R,MATCH($A21,'Valo FX'!$A:$A,0)),INDEX(Base!$V:$V,MATCH($A21,Base!$A:$A,0)),0)))</f>
        <v>11.726136</v>
      </c>
      <c r="JA21" s="21">
        <f>IF(JA$1&lt;INDEX('Valo FX'!$Q:$Q,MATCH($A21,'Valo FX'!$A:$A,0)),0,IF(JA$1&lt;INDEX('Valo FX'!$R:$R,MATCH($A21,'Valo FX'!$A:$A,0)),INDEX(Base!$U:$U,MATCH($A21,Base!$A:$A,0)),IF(JA$1=INDEX('Valo FX'!$R:$R,MATCH($A21,'Valo FX'!$A:$A,0)),INDEX(Base!$V:$V,MATCH($A21,Base!$A:$A,0)),0)))</f>
        <v>11.726136</v>
      </c>
      <c r="JB21" s="21">
        <f>IF(JB$1&lt;INDEX('Valo FX'!$Q:$Q,MATCH($A21,'Valo FX'!$A:$A,0)),0,IF(JB$1&lt;INDEX('Valo FX'!$R:$R,MATCH($A21,'Valo FX'!$A:$A,0)),INDEX(Base!$U:$U,MATCH($A21,Base!$A:$A,0)),IF(JB$1=INDEX('Valo FX'!$R:$R,MATCH($A21,'Valo FX'!$A:$A,0)),INDEX(Base!$V:$V,MATCH($A21,Base!$A:$A,0)),0)))</f>
        <v>11.726136</v>
      </c>
      <c r="JC21" s="21">
        <f>IF(JC$1&lt;INDEX('Valo FX'!$Q:$Q,MATCH($A21,'Valo FX'!$A:$A,0)),0,IF(JC$1&lt;INDEX('Valo FX'!$R:$R,MATCH($A21,'Valo FX'!$A:$A,0)),INDEX(Base!$U:$U,MATCH($A21,Base!$A:$A,0)),IF(JC$1=INDEX('Valo FX'!$R:$R,MATCH($A21,'Valo FX'!$A:$A,0)),INDEX(Base!$V:$V,MATCH($A21,Base!$A:$A,0)),0)))</f>
        <v>11.726136</v>
      </c>
      <c r="JD21" s="21">
        <f>IF(JD$1&lt;INDEX('Valo FX'!$Q:$Q,MATCH($A21,'Valo FX'!$A:$A,0)),0,IF(JD$1&lt;INDEX('Valo FX'!$R:$R,MATCH($A21,'Valo FX'!$A:$A,0)),INDEX(Base!$U:$U,MATCH($A21,Base!$A:$A,0)),IF(JD$1=INDEX('Valo FX'!$R:$R,MATCH($A21,'Valo FX'!$A:$A,0)),INDEX(Base!$V:$V,MATCH($A21,Base!$A:$A,0)),0)))</f>
        <v>11.726136</v>
      </c>
      <c r="JE21" s="21">
        <f>IF(JE$1&lt;INDEX('Valo FX'!$Q:$Q,MATCH($A21,'Valo FX'!$A:$A,0)),0,IF(JE$1&lt;INDEX('Valo FX'!$R:$R,MATCH($A21,'Valo FX'!$A:$A,0)),INDEX(Base!$U:$U,MATCH($A21,Base!$A:$A,0)),IF(JE$1=INDEX('Valo FX'!$R:$R,MATCH($A21,'Valo FX'!$A:$A,0)),INDEX(Base!$V:$V,MATCH($A21,Base!$A:$A,0)),0)))</f>
        <v>11.726136</v>
      </c>
      <c r="JF21" s="21">
        <f>IF(JF$1&lt;INDEX('Valo FX'!$Q:$Q,MATCH($A21,'Valo FX'!$A:$A,0)),0,IF(JF$1&lt;INDEX('Valo FX'!$R:$R,MATCH($A21,'Valo FX'!$A:$A,0)),INDEX(Base!$U:$U,MATCH($A21,Base!$A:$A,0)),IF(JF$1=INDEX('Valo FX'!$R:$R,MATCH($A21,'Valo FX'!$A:$A,0)),INDEX(Base!$V:$V,MATCH($A21,Base!$A:$A,0)),0)))</f>
        <v>11.726136</v>
      </c>
      <c r="JG21" s="21">
        <f>IF(JG$1&lt;INDEX('Valo FX'!$Q:$Q,MATCH($A21,'Valo FX'!$A:$A,0)),0,IF(JG$1&lt;INDEX('Valo FX'!$R:$R,MATCH($A21,'Valo FX'!$A:$A,0)),INDEX(Base!$U:$U,MATCH($A21,Base!$A:$A,0)),IF(JG$1=INDEX('Valo FX'!$R:$R,MATCH($A21,'Valo FX'!$A:$A,0)),INDEX(Base!$V:$V,MATCH($A21,Base!$A:$A,0)),0)))</f>
        <v>11.726136</v>
      </c>
      <c r="JH21" s="21">
        <f>IF(JH$1&lt;INDEX('Valo FX'!$Q:$Q,MATCH($A21,'Valo FX'!$A:$A,0)),0,IF(JH$1&lt;INDEX('Valo FX'!$R:$R,MATCH($A21,'Valo FX'!$A:$A,0)),INDEX(Base!$U:$U,MATCH($A21,Base!$A:$A,0)),IF(JH$1=INDEX('Valo FX'!$R:$R,MATCH($A21,'Valo FX'!$A:$A,0)),INDEX(Base!$V:$V,MATCH($A21,Base!$A:$A,0)),0)))</f>
        <v>11.726136</v>
      </c>
      <c r="JI21" s="21">
        <f>IF(JI$1&lt;INDEX('Valo FX'!$Q:$Q,MATCH($A21,'Valo FX'!$A:$A,0)),0,IF(JI$1&lt;INDEX('Valo FX'!$R:$R,MATCH($A21,'Valo FX'!$A:$A,0)),INDEX(Base!$U:$U,MATCH($A21,Base!$A:$A,0)),IF(JI$1=INDEX('Valo FX'!$R:$R,MATCH($A21,'Valo FX'!$A:$A,0)),INDEX(Base!$V:$V,MATCH($A21,Base!$A:$A,0)),0)))</f>
        <v>11.726136</v>
      </c>
      <c r="JJ21" s="21">
        <f>IF(JJ$1&lt;INDEX('Valo FX'!$Q:$Q,MATCH($A21,'Valo FX'!$A:$A,0)),0,IF(JJ$1&lt;INDEX('Valo FX'!$R:$R,MATCH($A21,'Valo FX'!$A:$A,0)),INDEX(Base!$U:$U,MATCH($A21,Base!$A:$A,0)),IF(JJ$1=INDEX('Valo FX'!$R:$R,MATCH($A21,'Valo FX'!$A:$A,0)),INDEX(Base!$V:$V,MATCH($A21,Base!$A:$A,0)),0)))</f>
        <v>11.726136</v>
      </c>
      <c r="JK21" s="21">
        <f>IF(JK$1&lt;INDEX('Valo FX'!$Q:$Q,MATCH($A21,'Valo FX'!$A:$A,0)),0,IF(JK$1&lt;INDEX('Valo FX'!$R:$R,MATCH($A21,'Valo FX'!$A:$A,0)),INDEX(Base!$U:$U,MATCH($A21,Base!$A:$A,0)),IF(JK$1=INDEX('Valo FX'!$R:$R,MATCH($A21,'Valo FX'!$A:$A,0)),INDEX(Base!$V:$V,MATCH($A21,Base!$A:$A,0)),0)))</f>
        <v>11.726136</v>
      </c>
      <c r="JL21" s="21">
        <f>IF(JL$1&lt;INDEX('Valo FX'!$Q:$Q,MATCH($A21,'Valo FX'!$A:$A,0)),0,IF(JL$1&lt;INDEX('Valo FX'!$R:$R,MATCH($A21,'Valo FX'!$A:$A,0)),INDEX(Base!$U:$U,MATCH($A21,Base!$A:$A,0)),IF(JL$1=INDEX('Valo FX'!$R:$R,MATCH($A21,'Valo FX'!$A:$A,0)),INDEX(Base!$V:$V,MATCH($A21,Base!$A:$A,0)),0)))</f>
        <v>11.726136</v>
      </c>
      <c r="JM21" s="21">
        <f>IF(JM$1&lt;INDEX('Valo FX'!$Q:$Q,MATCH($A21,'Valo FX'!$A:$A,0)),0,IF(JM$1&lt;INDEX('Valo FX'!$R:$R,MATCH($A21,'Valo FX'!$A:$A,0)),INDEX(Base!$U:$U,MATCH($A21,Base!$A:$A,0)),IF(JM$1=INDEX('Valo FX'!$R:$R,MATCH($A21,'Valo FX'!$A:$A,0)),INDEX(Base!$V:$V,MATCH($A21,Base!$A:$A,0)),0)))</f>
        <v>11.726136</v>
      </c>
      <c r="JN21" s="21">
        <f>IF(JN$1&lt;INDEX('Valo FX'!$Q:$Q,MATCH($A21,'Valo FX'!$A:$A,0)),0,IF(JN$1&lt;INDEX('Valo FX'!$R:$R,MATCH($A21,'Valo FX'!$A:$A,0)),INDEX(Base!$U:$U,MATCH($A21,Base!$A:$A,0)),IF(JN$1=INDEX('Valo FX'!$R:$R,MATCH($A21,'Valo FX'!$A:$A,0)),INDEX(Base!$V:$V,MATCH($A21,Base!$A:$A,0)),0)))</f>
        <v>11.726136</v>
      </c>
      <c r="JO21" s="21">
        <f>IF(JO$1&lt;INDEX('Valo FX'!$Q:$Q,MATCH($A21,'Valo FX'!$A:$A,0)),0,IF(JO$1&lt;INDEX('Valo FX'!$R:$R,MATCH($A21,'Valo FX'!$A:$A,0)),INDEX(Base!$U:$U,MATCH($A21,Base!$A:$A,0)),IF(JO$1=INDEX('Valo FX'!$R:$R,MATCH($A21,'Valo FX'!$A:$A,0)),INDEX(Base!$V:$V,MATCH($A21,Base!$A:$A,0)),0)))</f>
        <v>11.726136</v>
      </c>
      <c r="JP21" s="21">
        <f>IF(JP$1&lt;INDEX('Valo FX'!$Q:$Q,MATCH($A21,'Valo FX'!$A:$A,0)),0,IF(JP$1&lt;INDEX('Valo FX'!$R:$R,MATCH($A21,'Valo FX'!$A:$A,0)),INDEX(Base!$U:$U,MATCH($A21,Base!$A:$A,0)),IF(JP$1=INDEX('Valo FX'!$R:$R,MATCH($A21,'Valo FX'!$A:$A,0)),INDEX(Base!$V:$V,MATCH($A21,Base!$A:$A,0)),0)))</f>
        <v>11.726136</v>
      </c>
      <c r="JQ21" s="21">
        <f>IF(JQ$1&lt;INDEX('Valo FX'!$Q:$Q,MATCH($A21,'Valo FX'!$A:$A,0)),0,IF(JQ$1&lt;INDEX('Valo FX'!$R:$R,MATCH($A21,'Valo FX'!$A:$A,0)),INDEX(Base!$U:$U,MATCH($A21,Base!$A:$A,0)),IF(JQ$1=INDEX('Valo FX'!$R:$R,MATCH($A21,'Valo FX'!$A:$A,0)),INDEX(Base!$V:$V,MATCH($A21,Base!$A:$A,0)),0)))</f>
        <v>11.726136</v>
      </c>
      <c r="JR21" s="21">
        <f>IF(JR$1&lt;INDEX('Valo FX'!$Q:$Q,MATCH($A21,'Valo FX'!$A:$A,0)),0,IF(JR$1&lt;INDEX('Valo FX'!$R:$R,MATCH($A21,'Valo FX'!$A:$A,0)),INDEX(Base!$U:$U,MATCH($A21,Base!$A:$A,0)),IF(JR$1=INDEX('Valo FX'!$R:$R,MATCH($A21,'Valo FX'!$A:$A,0)),INDEX(Base!$V:$V,MATCH($A21,Base!$A:$A,0)),0)))</f>
        <v>11.726136</v>
      </c>
      <c r="JS21" s="21">
        <f>IF(JS$1&lt;INDEX('Valo FX'!$Q:$Q,MATCH($A21,'Valo FX'!$A:$A,0)),0,IF(JS$1&lt;INDEX('Valo FX'!$R:$R,MATCH($A21,'Valo FX'!$A:$A,0)),INDEX(Base!$U:$U,MATCH($A21,Base!$A:$A,0)),IF(JS$1=INDEX('Valo FX'!$R:$R,MATCH($A21,'Valo FX'!$A:$A,0)),INDEX(Base!$V:$V,MATCH($A21,Base!$A:$A,0)),0)))</f>
        <v>11.726136</v>
      </c>
      <c r="JT21" s="21">
        <f>IF(JT$1&lt;INDEX('Valo FX'!$Q:$Q,MATCH($A21,'Valo FX'!$A:$A,0)),0,IF(JT$1&lt;INDEX('Valo FX'!$R:$R,MATCH($A21,'Valo FX'!$A:$A,0)),INDEX(Base!$U:$U,MATCH($A21,Base!$A:$A,0)),IF(JT$1=INDEX('Valo FX'!$R:$R,MATCH($A21,'Valo FX'!$A:$A,0)),INDEX(Base!$V:$V,MATCH($A21,Base!$A:$A,0)),0)))</f>
        <v>11.726136</v>
      </c>
      <c r="JU21" s="21">
        <f>IF(JU$1&lt;INDEX('Valo FX'!$Q:$Q,MATCH($A21,'Valo FX'!$A:$A,0)),0,IF(JU$1&lt;INDEX('Valo FX'!$R:$R,MATCH($A21,'Valo FX'!$A:$A,0)),INDEX(Base!$U:$U,MATCH($A21,Base!$A:$A,0)),IF(JU$1=INDEX('Valo FX'!$R:$R,MATCH($A21,'Valo FX'!$A:$A,0)),INDEX(Base!$V:$V,MATCH($A21,Base!$A:$A,0)),0)))</f>
        <v>11.726136</v>
      </c>
      <c r="JV21" s="21">
        <f>IF(JV$1&lt;INDEX('Valo FX'!$Q:$Q,MATCH($A21,'Valo FX'!$A:$A,0)),0,IF(JV$1&lt;INDEX('Valo FX'!$R:$R,MATCH($A21,'Valo FX'!$A:$A,0)),INDEX(Base!$U:$U,MATCH($A21,Base!$A:$A,0)),IF(JV$1=INDEX('Valo FX'!$R:$R,MATCH($A21,'Valo FX'!$A:$A,0)),INDEX(Base!$V:$V,MATCH($A21,Base!$A:$A,0)),0)))</f>
        <v>11.726136</v>
      </c>
      <c r="JW21" s="21">
        <f>IF(JW$1&lt;INDEX('Valo FX'!$Q:$Q,MATCH($A21,'Valo FX'!$A:$A,0)),0,IF(JW$1&lt;INDEX('Valo FX'!$R:$R,MATCH($A21,'Valo FX'!$A:$A,0)),INDEX(Base!$U:$U,MATCH($A21,Base!$A:$A,0)),IF(JW$1=INDEX('Valo FX'!$R:$R,MATCH($A21,'Valo FX'!$A:$A,0)),INDEX(Base!$V:$V,MATCH($A21,Base!$A:$A,0)),0)))</f>
        <v>11.726136</v>
      </c>
      <c r="JX21" s="21">
        <f>IF(JX$1&lt;INDEX('Valo FX'!$Q:$Q,MATCH($A21,'Valo FX'!$A:$A,0)),0,IF(JX$1&lt;INDEX('Valo FX'!$R:$R,MATCH($A21,'Valo FX'!$A:$A,0)),INDEX(Base!$U:$U,MATCH($A21,Base!$A:$A,0)),IF(JX$1=INDEX('Valo FX'!$R:$R,MATCH($A21,'Valo FX'!$A:$A,0)),INDEX(Base!$V:$V,MATCH($A21,Base!$A:$A,0)),0)))</f>
        <v>11.726136</v>
      </c>
      <c r="JY21" s="21">
        <f>IF(JY$1&lt;INDEX('Valo FX'!$Q:$Q,MATCH($A21,'Valo FX'!$A:$A,0)),0,IF(JY$1&lt;INDEX('Valo FX'!$R:$R,MATCH($A21,'Valo FX'!$A:$A,0)),INDEX(Base!$U:$U,MATCH($A21,Base!$A:$A,0)),IF(JY$1=INDEX('Valo FX'!$R:$R,MATCH($A21,'Valo FX'!$A:$A,0)),INDEX(Base!$V:$V,MATCH($A21,Base!$A:$A,0)),0)))</f>
        <v>11.726136</v>
      </c>
      <c r="JZ21" s="21">
        <f>IF(JZ$1&lt;INDEX('Valo FX'!$Q:$Q,MATCH($A21,'Valo FX'!$A:$A,0)),0,IF(JZ$1&lt;INDEX('Valo FX'!$R:$R,MATCH($A21,'Valo FX'!$A:$A,0)),INDEX(Base!$U:$U,MATCH($A21,Base!$A:$A,0)),IF(JZ$1=INDEX('Valo FX'!$R:$R,MATCH($A21,'Valo FX'!$A:$A,0)),INDEX(Base!$V:$V,MATCH($A21,Base!$A:$A,0)),0)))</f>
        <v>11.726136</v>
      </c>
      <c r="KA21" s="21">
        <f>IF(KA$1&lt;INDEX('Valo FX'!$Q:$Q,MATCH($A21,'Valo FX'!$A:$A,0)),0,IF(KA$1&lt;INDEX('Valo FX'!$R:$R,MATCH($A21,'Valo FX'!$A:$A,0)),INDEX(Base!$U:$U,MATCH($A21,Base!$A:$A,0)),IF(KA$1=INDEX('Valo FX'!$R:$R,MATCH($A21,'Valo FX'!$A:$A,0)),INDEX(Base!$V:$V,MATCH($A21,Base!$A:$A,0)),0)))</f>
        <v>11.726136</v>
      </c>
      <c r="KB21" s="21">
        <f>IF(KB$1&lt;INDEX('Valo FX'!$Q:$Q,MATCH($A21,'Valo FX'!$A:$A,0)),0,IF(KB$1&lt;INDEX('Valo FX'!$R:$R,MATCH($A21,'Valo FX'!$A:$A,0)),INDEX(Base!$U:$U,MATCH($A21,Base!$A:$A,0)),IF(KB$1=INDEX('Valo FX'!$R:$R,MATCH($A21,'Valo FX'!$A:$A,0)),INDEX(Base!$V:$V,MATCH($A21,Base!$A:$A,0)),0)))</f>
        <v>11.726136</v>
      </c>
      <c r="KC21" s="21">
        <f>IF(KC$1&lt;INDEX('Valo FX'!$Q:$Q,MATCH($A21,'Valo FX'!$A:$A,0)),0,IF(KC$1&lt;INDEX('Valo FX'!$R:$R,MATCH($A21,'Valo FX'!$A:$A,0)),INDEX(Base!$U:$U,MATCH($A21,Base!$A:$A,0)),IF(KC$1=INDEX('Valo FX'!$R:$R,MATCH($A21,'Valo FX'!$A:$A,0)),INDEX(Base!$V:$V,MATCH($A21,Base!$A:$A,0)),0)))</f>
        <v>11.726136</v>
      </c>
      <c r="KD21" s="21">
        <f>IF(KD$1&lt;INDEX('Valo FX'!$Q:$Q,MATCH($A21,'Valo FX'!$A:$A,0)),0,IF(KD$1&lt;INDEX('Valo FX'!$R:$R,MATCH($A21,'Valo FX'!$A:$A,0)),INDEX(Base!$U:$U,MATCH($A21,Base!$A:$A,0)),IF(KD$1=INDEX('Valo FX'!$R:$R,MATCH($A21,'Valo FX'!$A:$A,0)),INDEX(Base!$V:$V,MATCH($A21,Base!$A:$A,0)),0)))</f>
        <v>11.726136</v>
      </c>
      <c r="KE21" s="21">
        <f>IF(KE$1&lt;INDEX('Valo FX'!$Q:$Q,MATCH($A21,'Valo FX'!$A:$A,0)),0,IF(KE$1&lt;INDEX('Valo FX'!$R:$R,MATCH($A21,'Valo FX'!$A:$A,0)),INDEX(Base!$U:$U,MATCH($A21,Base!$A:$A,0)),IF(KE$1=INDEX('Valo FX'!$R:$R,MATCH($A21,'Valo FX'!$A:$A,0)),INDEX(Base!$V:$V,MATCH($A21,Base!$A:$A,0)),0)))</f>
        <v>11.726136</v>
      </c>
      <c r="KF21" s="21">
        <f>IF(KF$1&lt;INDEX('Valo FX'!$Q:$Q,MATCH($A21,'Valo FX'!$A:$A,0)),0,IF(KF$1&lt;INDEX('Valo FX'!$R:$R,MATCH($A21,'Valo FX'!$A:$A,0)),INDEX(Base!$U:$U,MATCH($A21,Base!$A:$A,0)),IF(KF$1=INDEX('Valo FX'!$R:$R,MATCH($A21,'Valo FX'!$A:$A,0)),INDEX(Base!$V:$V,MATCH($A21,Base!$A:$A,0)),0)))</f>
        <v>11.726136</v>
      </c>
      <c r="KG21" s="21">
        <f>IF(KG$1&lt;INDEX('Valo FX'!$Q:$Q,MATCH($A21,'Valo FX'!$A:$A,0)),0,IF(KG$1&lt;INDEX('Valo FX'!$R:$R,MATCH($A21,'Valo FX'!$A:$A,0)),INDEX(Base!$U:$U,MATCH($A21,Base!$A:$A,0)),IF(KG$1=INDEX('Valo FX'!$R:$R,MATCH($A21,'Valo FX'!$A:$A,0)),INDEX(Base!$V:$V,MATCH($A21,Base!$A:$A,0)),0)))</f>
        <v>11.726136</v>
      </c>
      <c r="KH21" s="21">
        <f>IF(KH$1&lt;INDEX('Valo FX'!$Q:$Q,MATCH($A21,'Valo FX'!$A:$A,0)),0,IF(KH$1&lt;INDEX('Valo FX'!$R:$R,MATCH($A21,'Valo FX'!$A:$A,0)),INDEX(Base!$U:$U,MATCH($A21,Base!$A:$A,0)),IF(KH$1=INDEX('Valo FX'!$R:$R,MATCH($A21,'Valo FX'!$A:$A,0)),INDEX(Base!$V:$V,MATCH($A21,Base!$A:$A,0)),0)))</f>
        <v>11.726136</v>
      </c>
      <c r="KI21" s="21">
        <f>IF(KI$1&lt;INDEX('Valo FX'!$Q:$Q,MATCH($A21,'Valo FX'!$A:$A,0)),0,IF(KI$1&lt;INDEX('Valo FX'!$R:$R,MATCH($A21,'Valo FX'!$A:$A,0)),INDEX(Base!$U:$U,MATCH($A21,Base!$A:$A,0)),IF(KI$1=INDEX('Valo FX'!$R:$R,MATCH($A21,'Valo FX'!$A:$A,0)),INDEX(Base!$V:$V,MATCH($A21,Base!$A:$A,0)),0)))</f>
        <v>11.726136</v>
      </c>
      <c r="KJ21" s="21">
        <f>IF(KJ$1&lt;INDEX('Valo FX'!$Q:$Q,MATCH($A21,'Valo FX'!$A:$A,0)),0,IF(KJ$1&lt;INDEX('Valo FX'!$R:$R,MATCH($A21,'Valo FX'!$A:$A,0)),INDEX(Base!$U:$U,MATCH($A21,Base!$A:$A,0)),IF(KJ$1=INDEX('Valo FX'!$R:$R,MATCH($A21,'Valo FX'!$A:$A,0)),INDEX(Base!$V:$V,MATCH($A21,Base!$A:$A,0)),0)))</f>
        <v>11.726136</v>
      </c>
      <c r="KK21" s="21">
        <f>IF(KK$1&lt;INDEX('Valo FX'!$Q:$Q,MATCH($A21,'Valo FX'!$A:$A,0)),0,IF(KK$1&lt;INDEX('Valo FX'!$R:$R,MATCH($A21,'Valo FX'!$A:$A,0)),INDEX(Base!$U:$U,MATCH($A21,Base!$A:$A,0)),IF(KK$1=INDEX('Valo FX'!$R:$R,MATCH($A21,'Valo FX'!$A:$A,0)),INDEX(Base!$V:$V,MATCH($A21,Base!$A:$A,0)),0)))</f>
        <v>11.726136</v>
      </c>
      <c r="KL21" s="21">
        <f>IF(KL$1&lt;INDEX('Valo FX'!$Q:$Q,MATCH($A21,'Valo FX'!$A:$A,0)),0,IF(KL$1&lt;INDEX('Valo FX'!$R:$R,MATCH($A21,'Valo FX'!$A:$A,0)),INDEX(Base!$U:$U,MATCH($A21,Base!$A:$A,0)),IF(KL$1=INDEX('Valo FX'!$R:$R,MATCH($A21,'Valo FX'!$A:$A,0)),INDEX(Base!$V:$V,MATCH($A21,Base!$A:$A,0)),0)))</f>
        <v>11.726136</v>
      </c>
      <c r="KM21" s="21">
        <f>IF(KM$1&lt;INDEX('Valo FX'!$Q:$Q,MATCH($A21,'Valo FX'!$A:$A,0)),0,IF(KM$1&lt;INDEX('Valo FX'!$R:$R,MATCH($A21,'Valo FX'!$A:$A,0)),INDEX(Base!$U:$U,MATCH($A21,Base!$A:$A,0)),IF(KM$1=INDEX('Valo FX'!$R:$R,MATCH($A21,'Valo FX'!$A:$A,0)),INDEX(Base!$V:$V,MATCH($A21,Base!$A:$A,0)),0)))</f>
        <v>11.726136</v>
      </c>
      <c r="KN21" s="21">
        <f>IF(KN$1&lt;INDEX('Valo FX'!$Q:$Q,MATCH($A21,'Valo FX'!$A:$A,0)),0,IF(KN$1&lt;INDEX('Valo FX'!$R:$R,MATCH($A21,'Valo FX'!$A:$A,0)),INDEX(Base!$U:$U,MATCH($A21,Base!$A:$A,0)),IF(KN$1=INDEX('Valo FX'!$R:$R,MATCH($A21,'Valo FX'!$A:$A,0)),INDEX(Base!$V:$V,MATCH($A21,Base!$A:$A,0)),0)))</f>
        <v>11.726136</v>
      </c>
      <c r="KO21" s="21">
        <f>IF(KO$1&lt;INDEX('Valo FX'!$Q:$Q,MATCH($A21,'Valo FX'!$A:$A,0)),0,IF(KO$1&lt;INDEX('Valo FX'!$R:$R,MATCH($A21,'Valo FX'!$A:$A,0)),INDEX(Base!$U:$U,MATCH($A21,Base!$A:$A,0)),IF(KO$1=INDEX('Valo FX'!$R:$R,MATCH($A21,'Valo FX'!$A:$A,0)),INDEX(Base!$V:$V,MATCH($A21,Base!$A:$A,0)),0)))</f>
        <v>11.726136</v>
      </c>
      <c r="KP21" s="21">
        <f>IF(KP$1&lt;INDEX('Valo FX'!$Q:$Q,MATCH($A21,'Valo FX'!$A:$A,0)),0,IF(KP$1&lt;INDEX('Valo FX'!$R:$R,MATCH($A21,'Valo FX'!$A:$A,0)),INDEX(Base!$U:$U,MATCH($A21,Base!$A:$A,0)),IF(KP$1=INDEX('Valo FX'!$R:$R,MATCH($A21,'Valo FX'!$A:$A,0)),INDEX(Base!$V:$V,MATCH($A21,Base!$A:$A,0)),0)))</f>
        <v>11.726136</v>
      </c>
      <c r="KQ21" s="21">
        <f>IF(KQ$1&lt;INDEX('Valo FX'!$Q:$Q,MATCH($A21,'Valo FX'!$A:$A,0)),0,IF(KQ$1&lt;INDEX('Valo FX'!$R:$R,MATCH($A21,'Valo FX'!$A:$A,0)),INDEX(Base!$U:$U,MATCH($A21,Base!$A:$A,0)),IF(KQ$1=INDEX('Valo FX'!$R:$R,MATCH($A21,'Valo FX'!$A:$A,0)),INDEX(Base!$V:$V,MATCH($A21,Base!$A:$A,0)),0)))</f>
        <v>11.726136</v>
      </c>
      <c r="KR21" s="21">
        <f>IF(KR$1&lt;INDEX('Valo FX'!$Q:$Q,MATCH($A21,'Valo FX'!$A:$A,0)),0,IF(KR$1&lt;INDEX('Valo FX'!$R:$R,MATCH($A21,'Valo FX'!$A:$A,0)),INDEX(Base!$U:$U,MATCH($A21,Base!$A:$A,0)),IF(KR$1=INDEX('Valo FX'!$R:$R,MATCH($A21,'Valo FX'!$A:$A,0)),INDEX(Base!$V:$V,MATCH($A21,Base!$A:$A,0)),0)))</f>
        <v>11.726136</v>
      </c>
      <c r="KS21" s="21">
        <f>IF(KS$1&lt;INDEX('Valo FX'!$Q:$Q,MATCH($A21,'Valo FX'!$A:$A,0)),0,IF(KS$1&lt;INDEX('Valo FX'!$R:$R,MATCH($A21,'Valo FX'!$A:$A,0)),INDEX(Base!$U:$U,MATCH($A21,Base!$A:$A,0)),IF(KS$1=INDEX('Valo FX'!$R:$R,MATCH($A21,'Valo FX'!$A:$A,0)),INDEX(Base!$V:$V,MATCH($A21,Base!$A:$A,0)),0)))</f>
        <v>11.726136</v>
      </c>
      <c r="KT21" s="21">
        <f>IF(KT$1&lt;INDEX('Valo FX'!$Q:$Q,MATCH($A21,'Valo FX'!$A:$A,0)),0,IF(KT$1&lt;INDEX('Valo FX'!$R:$R,MATCH($A21,'Valo FX'!$A:$A,0)),INDEX(Base!$U:$U,MATCH($A21,Base!$A:$A,0)),IF(KT$1=INDEX('Valo FX'!$R:$R,MATCH($A21,'Valo FX'!$A:$A,0)),INDEX(Base!$V:$V,MATCH($A21,Base!$A:$A,0)),0)))</f>
        <v>11.726136</v>
      </c>
      <c r="KU21" s="21">
        <f>IF(KU$1&lt;INDEX('Valo FX'!$Q:$Q,MATCH($A21,'Valo FX'!$A:$A,0)),0,IF(KU$1&lt;INDEX('Valo FX'!$R:$R,MATCH($A21,'Valo FX'!$A:$A,0)),INDEX(Base!$U:$U,MATCH($A21,Base!$A:$A,0)),IF(KU$1=INDEX('Valo FX'!$R:$R,MATCH($A21,'Valo FX'!$A:$A,0)),INDEX(Base!$V:$V,MATCH($A21,Base!$A:$A,0)),0)))</f>
        <v>11.726136</v>
      </c>
      <c r="KV21" s="21">
        <f>IF(KV$1&lt;INDEX('Valo FX'!$Q:$Q,MATCH($A21,'Valo FX'!$A:$A,0)),0,IF(KV$1&lt;INDEX('Valo FX'!$R:$R,MATCH($A21,'Valo FX'!$A:$A,0)),INDEX(Base!$U:$U,MATCH($A21,Base!$A:$A,0)),IF(KV$1=INDEX('Valo FX'!$R:$R,MATCH($A21,'Valo FX'!$A:$A,0)),INDEX(Base!$V:$V,MATCH($A21,Base!$A:$A,0)),0)))</f>
        <v>11.726136</v>
      </c>
      <c r="KW21" s="21">
        <f>IF(KW$1&lt;INDEX('Valo FX'!$Q:$Q,MATCH($A21,'Valo FX'!$A:$A,0)),0,IF(KW$1&lt;INDEX('Valo FX'!$R:$R,MATCH($A21,'Valo FX'!$A:$A,0)),INDEX(Base!$U:$U,MATCH($A21,Base!$A:$A,0)),IF(KW$1=INDEX('Valo FX'!$R:$R,MATCH($A21,'Valo FX'!$A:$A,0)),INDEX(Base!$V:$V,MATCH($A21,Base!$A:$A,0)),0)))</f>
        <v>11.726136</v>
      </c>
      <c r="KX21" s="21">
        <f>IF(KX$1&lt;INDEX('Valo FX'!$Q:$Q,MATCH($A21,'Valo FX'!$A:$A,0)),0,IF(KX$1&lt;INDEX('Valo FX'!$R:$R,MATCH($A21,'Valo FX'!$A:$A,0)),INDEX(Base!$U:$U,MATCH($A21,Base!$A:$A,0)),IF(KX$1=INDEX('Valo FX'!$R:$R,MATCH($A21,'Valo FX'!$A:$A,0)),INDEX(Base!$V:$V,MATCH($A21,Base!$A:$A,0)),0)))</f>
        <v>11.726136</v>
      </c>
      <c r="KY21" s="21">
        <f>IF(KY$1&lt;INDEX('Valo FX'!$Q:$Q,MATCH($A21,'Valo FX'!$A:$A,0)),0,IF(KY$1&lt;INDEX('Valo FX'!$R:$R,MATCH($A21,'Valo FX'!$A:$A,0)),INDEX(Base!$U:$U,MATCH($A21,Base!$A:$A,0)),IF(KY$1=INDEX('Valo FX'!$R:$R,MATCH($A21,'Valo FX'!$A:$A,0)),INDEX(Base!$V:$V,MATCH($A21,Base!$A:$A,0)),0)))</f>
        <v>11.726136</v>
      </c>
      <c r="KZ21" s="21">
        <f>IF(KZ$1&lt;INDEX('Valo FX'!$Q:$Q,MATCH($A21,'Valo FX'!$A:$A,0)),0,IF(KZ$1&lt;INDEX('Valo FX'!$R:$R,MATCH($A21,'Valo FX'!$A:$A,0)),INDEX(Base!$U:$U,MATCH($A21,Base!$A:$A,0)),IF(KZ$1=INDEX('Valo FX'!$R:$R,MATCH($A21,'Valo FX'!$A:$A,0)),INDEX(Base!$V:$V,MATCH($A21,Base!$A:$A,0)),0)))</f>
        <v>11.726136</v>
      </c>
      <c r="LA21" s="21">
        <f>IF(LA$1&lt;INDEX('Valo FX'!$Q:$Q,MATCH($A21,'Valo FX'!$A:$A,0)),0,IF(LA$1&lt;INDEX('Valo FX'!$R:$R,MATCH($A21,'Valo FX'!$A:$A,0)),INDEX(Base!$U:$U,MATCH($A21,Base!$A:$A,0)),IF(LA$1=INDEX('Valo FX'!$R:$R,MATCH($A21,'Valo FX'!$A:$A,0)),INDEX(Base!$V:$V,MATCH($A21,Base!$A:$A,0)),0)))</f>
        <v>11.726136</v>
      </c>
      <c r="LB21" s="21">
        <f>IF(LB$1&lt;INDEX('Valo FX'!$Q:$Q,MATCH($A21,'Valo FX'!$A:$A,0)),0,IF(LB$1&lt;INDEX('Valo FX'!$R:$R,MATCH($A21,'Valo FX'!$A:$A,0)),INDEX(Base!$U:$U,MATCH($A21,Base!$A:$A,0)),IF(LB$1=INDEX('Valo FX'!$R:$R,MATCH($A21,'Valo FX'!$A:$A,0)),INDEX(Base!$V:$V,MATCH($A21,Base!$A:$A,0)),0)))</f>
        <v>11.726136</v>
      </c>
      <c r="LC21" s="21">
        <f>IF(LC$1&lt;INDEX('Valo FX'!$Q:$Q,MATCH($A21,'Valo FX'!$A:$A,0)),0,IF(LC$1&lt;INDEX('Valo FX'!$R:$R,MATCH($A21,'Valo FX'!$A:$A,0)),INDEX(Base!$U:$U,MATCH($A21,Base!$A:$A,0)),IF(LC$1=INDEX('Valo FX'!$R:$R,MATCH($A21,'Valo FX'!$A:$A,0)),INDEX(Base!$V:$V,MATCH($A21,Base!$A:$A,0)),0)))</f>
        <v>11.726136</v>
      </c>
      <c r="LD21" s="21">
        <f>IF(LD$1&lt;INDEX('Valo FX'!$Q:$Q,MATCH($A21,'Valo FX'!$A:$A,0)),0,IF(LD$1&lt;INDEX('Valo FX'!$R:$R,MATCH($A21,'Valo FX'!$A:$A,0)),INDEX(Base!$U:$U,MATCH($A21,Base!$A:$A,0)),IF(LD$1=INDEX('Valo FX'!$R:$R,MATCH($A21,'Valo FX'!$A:$A,0)),INDEX(Base!$V:$V,MATCH($A21,Base!$A:$A,0)),0)))</f>
        <v>11.726136</v>
      </c>
      <c r="LE21" s="21">
        <f>IF(LE$1&lt;INDEX('Valo FX'!$Q:$Q,MATCH($A21,'Valo FX'!$A:$A,0)),0,IF(LE$1&lt;INDEX('Valo FX'!$R:$R,MATCH($A21,'Valo FX'!$A:$A,0)),INDEX(Base!$U:$U,MATCH($A21,Base!$A:$A,0)),IF(LE$1=INDEX('Valo FX'!$R:$R,MATCH($A21,'Valo FX'!$A:$A,0)),INDEX(Base!$V:$V,MATCH($A21,Base!$A:$A,0)),0)))</f>
        <v>11.726136</v>
      </c>
      <c r="LF21" s="21">
        <f>IF(LF$1&lt;INDEX('Valo FX'!$Q:$Q,MATCH($A21,'Valo FX'!$A:$A,0)),0,IF(LF$1&lt;INDEX('Valo FX'!$R:$R,MATCH($A21,'Valo FX'!$A:$A,0)),INDEX(Base!$U:$U,MATCH($A21,Base!$A:$A,0)),IF(LF$1=INDEX('Valo FX'!$R:$R,MATCH($A21,'Valo FX'!$A:$A,0)),INDEX(Base!$V:$V,MATCH($A21,Base!$A:$A,0)),0)))</f>
        <v>11.726136</v>
      </c>
      <c r="LG21" s="21">
        <f>IF(LG$1&lt;INDEX('Valo FX'!$Q:$Q,MATCH($A21,'Valo FX'!$A:$A,0)),0,IF(LG$1&lt;INDEX('Valo FX'!$R:$R,MATCH($A21,'Valo FX'!$A:$A,0)),INDEX(Base!$U:$U,MATCH($A21,Base!$A:$A,0)),IF(LG$1=INDEX('Valo FX'!$R:$R,MATCH($A21,'Valo FX'!$A:$A,0)),INDEX(Base!$V:$V,MATCH($A21,Base!$A:$A,0)),0)))</f>
        <v>11.726136</v>
      </c>
      <c r="LH21" s="21">
        <f>IF(LH$1&lt;INDEX('Valo FX'!$Q:$Q,MATCH($A21,'Valo FX'!$A:$A,0)),0,IF(LH$1&lt;INDEX('Valo FX'!$R:$R,MATCH($A21,'Valo FX'!$A:$A,0)),INDEX(Base!$U:$U,MATCH($A21,Base!$A:$A,0)),IF(LH$1=INDEX('Valo FX'!$R:$R,MATCH($A21,'Valo FX'!$A:$A,0)),INDEX(Base!$V:$V,MATCH($A21,Base!$A:$A,0)),0)))</f>
        <v>11.726136</v>
      </c>
      <c r="LI21" s="21">
        <f>IF(LI$1&lt;INDEX('Valo FX'!$Q:$Q,MATCH($A21,'Valo FX'!$A:$A,0)),0,IF(LI$1&lt;INDEX('Valo FX'!$R:$R,MATCH($A21,'Valo FX'!$A:$A,0)),INDEX(Base!$U:$U,MATCH($A21,Base!$A:$A,0)),IF(LI$1=INDEX('Valo FX'!$R:$R,MATCH($A21,'Valo FX'!$A:$A,0)),INDEX(Base!$V:$V,MATCH($A21,Base!$A:$A,0)),0)))</f>
        <v>11.726136</v>
      </c>
      <c r="LJ21" s="21">
        <f>IF(LJ$1&lt;INDEX('Valo FX'!$Q:$Q,MATCH($A21,'Valo FX'!$A:$A,0)),0,IF(LJ$1&lt;INDEX('Valo FX'!$R:$R,MATCH($A21,'Valo FX'!$A:$A,0)),INDEX(Base!$U:$U,MATCH($A21,Base!$A:$A,0)),IF(LJ$1=INDEX('Valo FX'!$R:$R,MATCH($A21,'Valo FX'!$A:$A,0)),INDEX(Base!$V:$V,MATCH($A21,Base!$A:$A,0)),0)))</f>
        <v>11.726136</v>
      </c>
      <c r="LK21" s="21">
        <f>IF(LK$1&lt;INDEX('Valo FX'!$Q:$Q,MATCH($A21,'Valo FX'!$A:$A,0)),0,IF(LK$1&lt;INDEX('Valo FX'!$R:$R,MATCH($A21,'Valo FX'!$A:$A,0)),INDEX(Base!$U:$U,MATCH($A21,Base!$A:$A,0)),IF(LK$1=INDEX('Valo FX'!$R:$R,MATCH($A21,'Valo FX'!$A:$A,0)),INDEX(Base!$V:$V,MATCH($A21,Base!$A:$A,0)),0)))</f>
        <v>11.726136</v>
      </c>
      <c r="LL21" s="21">
        <f>IF(LL$1&lt;INDEX('Valo FX'!$Q:$Q,MATCH($A21,'Valo FX'!$A:$A,0)),0,IF(LL$1&lt;INDEX('Valo FX'!$R:$R,MATCH($A21,'Valo FX'!$A:$A,0)),INDEX(Base!$U:$U,MATCH($A21,Base!$A:$A,0)),IF(LL$1=INDEX('Valo FX'!$R:$R,MATCH($A21,'Valo FX'!$A:$A,0)),INDEX(Base!$V:$V,MATCH($A21,Base!$A:$A,0)),0)))</f>
        <v>11.726136</v>
      </c>
      <c r="LM21" s="21">
        <f>IF(LM$1&lt;INDEX('Valo FX'!$Q:$Q,MATCH($A21,'Valo FX'!$A:$A,0)),0,IF(LM$1&lt;INDEX('Valo FX'!$R:$R,MATCH($A21,'Valo FX'!$A:$A,0)),INDEX(Base!$U:$U,MATCH($A21,Base!$A:$A,0)),IF(LM$1=INDEX('Valo FX'!$R:$R,MATCH($A21,'Valo FX'!$A:$A,0)),INDEX(Base!$V:$V,MATCH($A21,Base!$A:$A,0)),0)))</f>
        <v>11.726136</v>
      </c>
      <c r="LN21" s="21">
        <f>IF(LN$1&lt;INDEX('Valo FX'!$Q:$Q,MATCH($A21,'Valo FX'!$A:$A,0)),0,IF(LN$1&lt;INDEX('Valo FX'!$R:$R,MATCH($A21,'Valo FX'!$A:$A,0)),INDEX(Base!$U:$U,MATCH($A21,Base!$A:$A,0)),IF(LN$1=INDEX('Valo FX'!$R:$R,MATCH($A21,'Valo FX'!$A:$A,0)),INDEX(Base!$V:$V,MATCH($A21,Base!$A:$A,0)),0)))</f>
        <v>11.726136</v>
      </c>
      <c r="LO21" s="21">
        <f>IF(LO$1&lt;INDEX('Valo FX'!$Q:$Q,MATCH($A21,'Valo FX'!$A:$A,0)),0,IF(LO$1&lt;INDEX('Valo FX'!$R:$R,MATCH($A21,'Valo FX'!$A:$A,0)),INDEX(Base!$U:$U,MATCH($A21,Base!$A:$A,0)),IF(LO$1=INDEX('Valo FX'!$R:$R,MATCH($A21,'Valo FX'!$A:$A,0)),INDEX(Base!$V:$V,MATCH($A21,Base!$A:$A,0)),0)))</f>
        <v>11.726136</v>
      </c>
      <c r="LP21" s="21">
        <f>IF(LP$1&lt;INDEX('Valo FX'!$Q:$Q,MATCH($A21,'Valo FX'!$A:$A,0)),0,IF(LP$1&lt;INDEX('Valo FX'!$R:$R,MATCH($A21,'Valo FX'!$A:$A,0)),INDEX(Base!$U:$U,MATCH($A21,Base!$A:$A,0)),IF(LP$1=INDEX('Valo FX'!$R:$R,MATCH($A21,'Valo FX'!$A:$A,0)),INDEX(Base!$V:$V,MATCH($A21,Base!$A:$A,0)),0)))</f>
        <v>11.726136</v>
      </c>
      <c r="LQ21" s="21">
        <f>IF(LQ$1&lt;INDEX('Valo FX'!$Q:$Q,MATCH($A21,'Valo FX'!$A:$A,0)),0,IF(LQ$1&lt;INDEX('Valo FX'!$R:$R,MATCH($A21,'Valo FX'!$A:$A,0)),INDEX(Base!$U:$U,MATCH($A21,Base!$A:$A,0)),IF(LQ$1=INDEX('Valo FX'!$R:$R,MATCH($A21,'Valo FX'!$A:$A,0)),INDEX(Base!$V:$V,MATCH($A21,Base!$A:$A,0)),0)))</f>
        <v>11.726136</v>
      </c>
      <c r="LR21" s="21">
        <f>IF(LR$1&lt;INDEX('Valo FX'!$Q:$Q,MATCH($A21,'Valo FX'!$A:$A,0)),0,IF(LR$1&lt;INDEX('Valo FX'!$R:$R,MATCH($A21,'Valo FX'!$A:$A,0)),INDEX(Base!$U:$U,MATCH($A21,Base!$A:$A,0)),IF(LR$1=INDEX('Valo FX'!$R:$R,MATCH($A21,'Valo FX'!$A:$A,0)),INDEX(Base!$V:$V,MATCH($A21,Base!$A:$A,0)),0)))</f>
        <v>11.726136</v>
      </c>
      <c r="LS21" s="21">
        <f>IF(LS$1&lt;INDEX('Valo FX'!$Q:$Q,MATCH($A21,'Valo FX'!$A:$A,0)),0,IF(LS$1&lt;INDEX('Valo FX'!$R:$R,MATCH($A21,'Valo FX'!$A:$A,0)),INDEX(Base!$U:$U,MATCH($A21,Base!$A:$A,0)),IF(LS$1=INDEX('Valo FX'!$R:$R,MATCH($A21,'Valo FX'!$A:$A,0)),INDEX(Base!$V:$V,MATCH($A21,Base!$A:$A,0)),0)))</f>
        <v>11.726136</v>
      </c>
      <c r="LT21" s="21">
        <f>IF(LT$1&lt;INDEX('Valo FX'!$Q:$Q,MATCH($A21,'Valo FX'!$A:$A,0)),0,IF(LT$1&lt;INDEX('Valo FX'!$R:$R,MATCH($A21,'Valo FX'!$A:$A,0)),INDEX(Base!$U:$U,MATCH($A21,Base!$A:$A,0)),IF(LT$1=INDEX('Valo FX'!$R:$R,MATCH($A21,'Valo FX'!$A:$A,0)),INDEX(Base!$V:$V,MATCH($A21,Base!$A:$A,0)),0)))</f>
        <v>11.726136</v>
      </c>
      <c r="LU21" s="21">
        <f>IF(LU$1&lt;INDEX('Valo FX'!$Q:$Q,MATCH($A21,'Valo FX'!$A:$A,0)),0,IF(LU$1&lt;INDEX('Valo FX'!$R:$R,MATCH($A21,'Valo FX'!$A:$A,0)),INDEX(Base!$U:$U,MATCH($A21,Base!$A:$A,0)),IF(LU$1=INDEX('Valo FX'!$R:$R,MATCH($A21,'Valo FX'!$A:$A,0)),INDEX(Base!$V:$V,MATCH($A21,Base!$A:$A,0)),0)))</f>
        <v>11.726136</v>
      </c>
      <c r="LV21" s="21">
        <f>IF(LV$1&lt;INDEX('Valo FX'!$Q:$Q,MATCH($A21,'Valo FX'!$A:$A,0)),0,IF(LV$1&lt;INDEX('Valo FX'!$R:$R,MATCH($A21,'Valo FX'!$A:$A,0)),INDEX(Base!$U:$U,MATCH($A21,Base!$A:$A,0)),IF(LV$1=INDEX('Valo FX'!$R:$R,MATCH($A21,'Valo FX'!$A:$A,0)),INDEX(Base!$V:$V,MATCH($A21,Base!$A:$A,0)),0)))</f>
        <v>11.726136</v>
      </c>
      <c r="LW21" s="21">
        <f>IF(LW$1&lt;INDEX('Valo FX'!$Q:$Q,MATCH($A21,'Valo FX'!$A:$A,0)),0,IF(LW$1&lt;INDEX('Valo FX'!$R:$R,MATCH($A21,'Valo FX'!$A:$A,0)),INDEX(Base!$U:$U,MATCH($A21,Base!$A:$A,0)),IF(LW$1=INDEX('Valo FX'!$R:$R,MATCH($A21,'Valo FX'!$A:$A,0)),INDEX(Base!$V:$V,MATCH($A21,Base!$A:$A,0)),0)))</f>
        <v>11.726136</v>
      </c>
      <c r="LX21" s="21">
        <f>IF(LX$1&lt;INDEX('Valo FX'!$Q:$Q,MATCH($A21,'Valo FX'!$A:$A,0)),0,IF(LX$1&lt;INDEX('Valo FX'!$R:$R,MATCH($A21,'Valo FX'!$A:$A,0)),INDEX(Base!$U:$U,MATCH($A21,Base!$A:$A,0)),IF(LX$1=INDEX('Valo FX'!$R:$R,MATCH($A21,'Valo FX'!$A:$A,0)),INDEX(Base!$V:$V,MATCH($A21,Base!$A:$A,0)),0)))</f>
        <v>11.726136</v>
      </c>
      <c r="LY21" s="21">
        <f>IF(LY$1&lt;INDEX('Valo FX'!$Q:$Q,MATCH($A21,'Valo FX'!$A:$A,0)),0,IF(LY$1&lt;INDEX('Valo FX'!$R:$R,MATCH($A21,'Valo FX'!$A:$A,0)),INDEX(Base!$U:$U,MATCH($A21,Base!$A:$A,0)),IF(LY$1=INDEX('Valo FX'!$R:$R,MATCH($A21,'Valo FX'!$A:$A,0)),INDEX(Base!$V:$V,MATCH($A21,Base!$A:$A,0)),0)))</f>
        <v>11.726136</v>
      </c>
      <c r="LZ21" s="21">
        <f>IF(LZ$1&lt;INDEX('Valo FX'!$Q:$Q,MATCH($A21,'Valo FX'!$A:$A,0)),0,IF(LZ$1&lt;INDEX('Valo FX'!$R:$R,MATCH($A21,'Valo FX'!$A:$A,0)),INDEX(Base!$U:$U,MATCH($A21,Base!$A:$A,0)),IF(LZ$1=INDEX('Valo FX'!$R:$R,MATCH($A21,'Valo FX'!$A:$A,0)),INDEX(Base!$V:$V,MATCH($A21,Base!$A:$A,0)),0)))</f>
        <v>11.726136</v>
      </c>
      <c r="MA21" s="21">
        <f>IF(MA$1&lt;INDEX('Valo FX'!$Q:$Q,MATCH($A21,'Valo FX'!$A:$A,0)),0,IF(MA$1&lt;INDEX('Valo FX'!$R:$R,MATCH($A21,'Valo FX'!$A:$A,0)),INDEX(Base!$U:$U,MATCH($A21,Base!$A:$A,0)),IF(MA$1=INDEX('Valo FX'!$R:$R,MATCH($A21,'Valo FX'!$A:$A,0)),INDEX(Base!$V:$V,MATCH($A21,Base!$A:$A,0)),0)))</f>
        <v>11.726136</v>
      </c>
      <c r="MB21" s="21">
        <f>IF(MB$1&lt;INDEX('Valo FX'!$Q:$Q,MATCH($A21,'Valo FX'!$A:$A,0)),0,IF(MB$1&lt;INDEX('Valo FX'!$R:$R,MATCH($A21,'Valo FX'!$A:$A,0)),INDEX(Base!$U:$U,MATCH($A21,Base!$A:$A,0)),IF(MB$1=INDEX('Valo FX'!$R:$R,MATCH($A21,'Valo FX'!$A:$A,0)),INDEX(Base!$V:$V,MATCH($A21,Base!$A:$A,0)),0)))</f>
        <v>11.726136</v>
      </c>
      <c r="MC21" s="21">
        <f>IF(MC$1&lt;INDEX('Valo FX'!$Q:$Q,MATCH($A21,'Valo FX'!$A:$A,0)),0,IF(MC$1&lt;INDEX('Valo FX'!$R:$R,MATCH($A21,'Valo FX'!$A:$A,0)),INDEX(Base!$U:$U,MATCH($A21,Base!$A:$A,0)),IF(MC$1=INDEX('Valo FX'!$R:$R,MATCH($A21,'Valo FX'!$A:$A,0)),INDEX(Base!$V:$V,MATCH($A21,Base!$A:$A,0)),0)))</f>
        <v>11.726136</v>
      </c>
      <c r="MD21" s="21">
        <f>IF(MD$1&lt;INDEX('Valo FX'!$Q:$Q,MATCH($A21,'Valo FX'!$A:$A,0)),0,IF(MD$1&lt;INDEX('Valo FX'!$R:$R,MATCH($A21,'Valo FX'!$A:$A,0)),INDEX(Base!$U:$U,MATCH($A21,Base!$A:$A,0)),IF(MD$1=INDEX('Valo FX'!$R:$R,MATCH($A21,'Valo FX'!$A:$A,0)),INDEX(Base!$V:$V,MATCH($A21,Base!$A:$A,0)),0)))</f>
        <v>11.726136</v>
      </c>
      <c r="ME21" s="21">
        <f>IF(ME$1&lt;INDEX('Valo FX'!$Q:$Q,MATCH($A21,'Valo FX'!$A:$A,0)),0,IF(ME$1&lt;INDEX('Valo FX'!$R:$R,MATCH($A21,'Valo FX'!$A:$A,0)),INDEX(Base!$U:$U,MATCH($A21,Base!$A:$A,0)),IF(ME$1=INDEX('Valo FX'!$R:$R,MATCH($A21,'Valo FX'!$A:$A,0)),INDEX(Base!$V:$V,MATCH($A21,Base!$A:$A,0)),0)))</f>
        <v>11.726136</v>
      </c>
      <c r="MF21" s="21">
        <f>IF(MF$1&lt;INDEX('Valo FX'!$Q:$Q,MATCH($A21,'Valo FX'!$A:$A,0)),0,IF(MF$1&lt;INDEX('Valo FX'!$R:$R,MATCH($A21,'Valo FX'!$A:$A,0)),INDEX(Base!$U:$U,MATCH($A21,Base!$A:$A,0)),IF(MF$1=INDEX('Valo FX'!$R:$R,MATCH($A21,'Valo FX'!$A:$A,0)),INDEX(Base!$V:$V,MATCH($A21,Base!$A:$A,0)),0)))</f>
        <v>11.726136</v>
      </c>
      <c r="MG21" s="21">
        <f>IF(MG$1&lt;INDEX('Valo FX'!$Q:$Q,MATCH($A21,'Valo FX'!$A:$A,0)),0,IF(MG$1&lt;INDEX('Valo FX'!$R:$R,MATCH($A21,'Valo FX'!$A:$A,0)),INDEX(Base!$U:$U,MATCH($A21,Base!$A:$A,0)),IF(MG$1=INDEX('Valo FX'!$R:$R,MATCH($A21,'Valo FX'!$A:$A,0)),INDEX(Base!$V:$V,MATCH($A21,Base!$A:$A,0)),0)))</f>
        <v>11.726136</v>
      </c>
      <c r="MH21" s="21">
        <f>IF(MH$1&lt;INDEX('Valo FX'!$Q:$Q,MATCH($A21,'Valo FX'!$A:$A,0)),0,IF(MH$1&lt;INDEX('Valo FX'!$R:$R,MATCH($A21,'Valo FX'!$A:$A,0)),INDEX(Base!$U:$U,MATCH($A21,Base!$A:$A,0)),IF(MH$1=INDEX('Valo FX'!$R:$R,MATCH($A21,'Valo FX'!$A:$A,0)),INDEX(Base!$V:$V,MATCH($A21,Base!$A:$A,0)),0)))</f>
        <v>11.726136</v>
      </c>
      <c r="MI21" s="21">
        <f>IF(MI$1&lt;INDEX('Valo FX'!$Q:$Q,MATCH($A21,'Valo FX'!$A:$A,0)),0,IF(MI$1&lt;INDEX('Valo FX'!$R:$R,MATCH($A21,'Valo FX'!$A:$A,0)),INDEX(Base!$U:$U,MATCH($A21,Base!$A:$A,0)),IF(MI$1=INDEX('Valo FX'!$R:$R,MATCH($A21,'Valo FX'!$A:$A,0)),INDEX(Base!$V:$V,MATCH($A21,Base!$A:$A,0)),0)))</f>
        <v>11.726136</v>
      </c>
      <c r="MJ21" s="21">
        <f>IF(MJ$1&lt;INDEX('Valo FX'!$Q:$Q,MATCH($A21,'Valo FX'!$A:$A,0)),0,IF(MJ$1&lt;INDEX('Valo FX'!$R:$R,MATCH($A21,'Valo FX'!$A:$A,0)),INDEX(Base!$U:$U,MATCH($A21,Base!$A:$A,0)),IF(MJ$1=INDEX('Valo FX'!$R:$R,MATCH($A21,'Valo FX'!$A:$A,0)),INDEX(Base!$V:$V,MATCH($A21,Base!$A:$A,0)),0)))</f>
        <v>11.726136</v>
      </c>
      <c r="MK21" s="21">
        <f>IF(MK$1&lt;INDEX('Valo FX'!$Q:$Q,MATCH($A21,'Valo FX'!$A:$A,0)),0,IF(MK$1&lt;INDEX('Valo FX'!$R:$R,MATCH($A21,'Valo FX'!$A:$A,0)),INDEX(Base!$U:$U,MATCH($A21,Base!$A:$A,0)),IF(MK$1=INDEX('Valo FX'!$R:$R,MATCH($A21,'Valo FX'!$A:$A,0)),INDEX(Base!$V:$V,MATCH($A21,Base!$A:$A,0)),0)))</f>
        <v>11.726136</v>
      </c>
      <c r="ML21" s="21">
        <f>IF(ML$1&lt;INDEX('Valo FX'!$Q:$Q,MATCH($A21,'Valo FX'!$A:$A,0)),0,IF(ML$1&lt;INDEX('Valo FX'!$R:$R,MATCH($A21,'Valo FX'!$A:$A,0)),INDEX(Base!$U:$U,MATCH($A21,Base!$A:$A,0)),IF(ML$1=INDEX('Valo FX'!$R:$R,MATCH($A21,'Valo FX'!$A:$A,0)),INDEX(Base!$V:$V,MATCH($A21,Base!$A:$A,0)),0)))</f>
        <v>11.726136</v>
      </c>
      <c r="MM21" s="21">
        <f>IF(MM$1&lt;INDEX('Valo FX'!$Q:$Q,MATCH($A21,'Valo FX'!$A:$A,0)),0,IF(MM$1&lt;INDEX('Valo FX'!$R:$R,MATCH($A21,'Valo FX'!$A:$A,0)),INDEX(Base!$U:$U,MATCH($A21,Base!$A:$A,0)),IF(MM$1=INDEX('Valo FX'!$R:$R,MATCH($A21,'Valo FX'!$A:$A,0)),INDEX(Base!$V:$V,MATCH($A21,Base!$A:$A,0)),0)))</f>
        <v>11.726136</v>
      </c>
      <c r="MN21" s="21">
        <f>IF(MN$1&lt;INDEX('Valo FX'!$Q:$Q,MATCH($A21,'Valo FX'!$A:$A,0)),0,IF(MN$1&lt;INDEX('Valo FX'!$R:$R,MATCH($A21,'Valo FX'!$A:$A,0)),INDEX(Base!$U:$U,MATCH($A21,Base!$A:$A,0)),IF(MN$1=INDEX('Valo FX'!$R:$R,MATCH($A21,'Valo FX'!$A:$A,0)),INDEX(Base!$V:$V,MATCH($A21,Base!$A:$A,0)),0)))</f>
        <v>11.726136</v>
      </c>
      <c r="MO21" s="21">
        <f>IF(MO$1&lt;INDEX('Valo FX'!$Q:$Q,MATCH($A21,'Valo FX'!$A:$A,0)),0,IF(MO$1&lt;INDEX('Valo FX'!$R:$R,MATCH($A21,'Valo FX'!$A:$A,0)),INDEX(Base!$U:$U,MATCH($A21,Base!$A:$A,0)),IF(MO$1=INDEX('Valo FX'!$R:$R,MATCH($A21,'Valo FX'!$A:$A,0)),INDEX(Base!$V:$V,MATCH($A21,Base!$A:$A,0)),0)))</f>
        <v>11.726136</v>
      </c>
      <c r="MP21" s="21">
        <f>IF(MP$1&lt;INDEX('Valo FX'!$Q:$Q,MATCH($A21,'Valo FX'!$A:$A,0)),0,IF(MP$1&lt;INDEX('Valo FX'!$R:$R,MATCH($A21,'Valo FX'!$A:$A,0)),INDEX(Base!$U:$U,MATCH($A21,Base!$A:$A,0)),IF(MP$1=INDEX('Valo FX'!$R:$R,MATCH($A21,'Valo FX'!$A:$A,0)),INDEX(Base!$V:$V,MATCH($A21,Base!$A:$A,0)),0)))</f>
        <v>11.726136</v>
      </c>
      <c r="MQ21" s="21">
        <f>IF(MQ$1&lt;INDEX('Valo FX'!$Q:$Q,MATCH($A21,'Valo FX'!$A:$A,0)),0,IF(MQ$1&lt;INDEX('Valo FX'!$R:$R,MATCH($A21,'Valo FX'!$A:$A,0)),INDEX(Base!$U:$U,MATCH($A21,Base!$A:$A,0)),IF(MQ$1=INDEX('Valo FX'!$R:$R,MATCH($A21,'Valo FX'!$A:$A,0)),INDEX(Base!$V:$V,MATCH($A21,Base!$A:$A,0)),0)))</f>
        <v>11.726136</v>
      </c>
      <c r="MR21" s="21">
        <f>IF(MR$1&lt;INDEX('Valo FX'!$Q:$Q,MATCH($A21,'Valo FX'!$A:$A,0)),0,IF(MR$1&lt;INDEX('Valo FX'!$R:$R,MATCH($A21,'Valo FX'!$A:$A,0)),INDEX(Base!$U:$U,MATCH($A21,Base!$A:$A,0)),IF(MR$1=INDEX('Valo FX'!$R:$R,MATCH($A21,'Valo FX'!$A:$A,0)),INDEX(Base!$V:$V,MATCH($A21,Base!$A:$A,0)),0)))</f>
        <v>11.726136</v>
      </c>
      <c r="MS21" s="21">
        <f>IF(MS$1&lt;INDEX('Valo FX'!$Q:$Q,MATCH($A21,'Valo FX'!$A:$A,0)),0,IF(MS$1&lt;INDEX('Valo FX'!$R:$R,MATCH($A21,'Valo FX'!$A:$A,0)),INDEX(Base!$U:$U,MATCH($A21,Base!$A:$A,0)),IF(MS$1=INDEX('Valo FX'!$R:$R,MATCH($A21,'Valo FX'!$A:$A,0)),INDEX(Base!$V:$V,MATCH($A21,Base!$A:$A,0)),0)))</f>
        <v>11.726136</v>
      </c>
      <c r="MT21" s="21">
        <f>IF(MT$1&lt;INDEX('Valo FX'!$Q:$Q,MATCH($A21,'Valo FX'!$A:$A,0)),0,IF(MT$1&lt;INDEX('Valo FX'!$R:$R,MATCH($A21,'Valo FX'!$A:$A,0)),INDEX(Base!$U:$U,MATCH($A21,Base!$A:$A,0)),IF(MT$1=INDEX('Valo FX'!$R:$R,MATCH($A21,'Valo FX'!$A:$A,0)),INDEX(Base!$V:$V,MATCH($A21,Base!$A:$A,0)),0)))</f>
        <v>11.726136</v>
      </c>
      <c r="MU21" s="21">
        <f>IF(MU$1&lt;INDEX('Valo FX'!$Q:$Q,MATCH($A21,'Valo FX'!$A:$A,0)),0,IF(MU$1&lt;INDEX('Valo FX'!$R:$R,MATCH($A21,'Valo FX'!$A:$A,0)),INDEX(Base!$U:$U,MATCH($A21,Base!$A:$A,0)),IF(MU$1=INDEX('Valo FX'!$R:$R,MATCH($A21,'Valo FX'!$A:$A,0)),INDEX(Base!$V:$V,MATCH($A21,Base!$A:$A,0)),0)))</f>
        <v>11.726136</v>
      </c>
      <c r="MV21" s="21">
        <f>IF(MV$1&lt;INDEX('Valo FX'!$Q:$Q,MATCH($A21,'Valo FX'!$A:$A,0)),0,IF(MV$1&lt;INDEX('Valo FX'!$R:$R,MATCH($A21,'Valo FX'!$A:$A,0)),INDEX(Base!$U:$U,MATCH($A21,Base!$A:$A,0)),IF(MV$1=INDEX('Valo FX'!$R:$R,MATCH($A21,'Valo FX'!$A:$A,0)),INDEX(Base!$V:$V,MATCH($A21,Base!$A:$A,0)),0)))</f>
        <v>11.726136</v>
      </c>
      <c r="MW21" s="21">
        <f>IF(MW$1&lt;INDEX('Valo FX'!$Q:$Q,MATCH($A21,'Valo FX'!$A:$A,0)),0,IF(MW$1&lt;INDEX('Valo FX'!$R:$R,MATCH($A21,'Valo FX'!$A:$A,0)),INDEX(Base!$U:$U,MATCH($A21,Base!$A:$A,0)),IF(MW$1=INDEX('Valo FX'!$R:$R,MATCH($A21,'Valo FX'!$A:$A,0)),INDEX(Base!$V:$V,MATCH($A21,Base!$A:$A,0)),0)))</f>
        <v>11.726136</v>
      </c>
      <c r="MX21" s="21">
        <f>IF(MX$1&lt;INDEX('Valo FX'!$Q:$Q,MATCH($A21,'Valo FX'!$A:$A,0)),0,IF(MX$1&lt;INDEX('Valo FX'!$R:$R,MATCH($A21,'Valo FX'!$A:$A,0)),INDEX(Base!$U:$U,MATCH($A21,Base!$A:$A,0)),IF(MX$1=INDEX('Valo FX'!$R:$R,MATCH($A21,'Valo FX'!$A:$A,0)),INDEX(Base!$V:$V,MATCH($A21,Base!$A:$A,0)),0)))</f>
        <v>11.726136</v>
      </c>
      <c r="MY21" s="21">
        <f>IF(MY$1&lt;INDEX('Valo FX'!$Q:$Q,MATCH($A21,'Valo FX'!$A:$A,0)),0,IF(MY$1&lt;INDEX('Valo FX'!$R:$R,MATCH($A21,'Valo FX'!$A:$A,0)),INDEX(Base!$U:$U,MATCH($A21,Base!$A:$A,0)),IF(MY$1=INDEX('Valo FX'!$R:$R,MATCH($A21,'Valo FX'!$A:$A,0)),INDEX(Base!$V:$V,MATCH($A21,Base!$A:$A,0)),0)))</f>
        <v>12.037464</v>
      </c>
    </row>
    <row r="22" spans="1:363" x14ac:dyDescent="0.2">
      <c r="A22" s="7">
        <f>+'Valo FX'!A23</f>
        <v>20</v>
      </c>
      <c r="B22" s="58">
        <f>-'Valo FX'!T23</f>
        <v>-1933.573423663732</v>
      </c>
      <c r="C22" s="21">
        <f>IF(C$1&lt;INDEX('Valo FX'!$Q:$Q,MATCH($A22,'Valo FX'!$A:$A,0)),0,IF(C$1&lt;INDEX('Valo FX'!$R:$R,MATCH($A22,'Valo FX'!$A:$A,0)),INDEX(Base!$U:$U,MATCH($A22,Base!$A:$A,0)),IF(C$1=INDEX('Valo FX'!$R:$R,MATCH($A22,'Valo FX'!$A:$A,0)),INDEX(Base!$V:$V,MATCH($A22,Base!$A:$A,0)),0)))</f>
        <v>0</v>
      </c>
      <c r="D22" s="21">
        <f>IF(D$1&lt;INDEX('Valo FX'!$Q:$Q,MATCH($A22,'Valo FX'!$A:$A,0)),0,IF(D$1&lt;INDEX('Valo FX'!$R:$R,MATCH($A22,'Valo FX'!$A:$A,0)),INDEX(Base!$U:$U,MATCH($A22,Base!$A:$A,0)),IF(D$1=INDEX('Valo FX'!$R:$R,MATCH($A22,'Valo FX'!$A:$A,0)),INDEX(Base!$V:$V,MATCH($A22,Base!$A:$A,0)),0)))</f>
        <v>0</v>
      </c>
      <c r="E22" s="21">
        <f>IF(E$1&lt;INDEX('Valo FX'!$Q:$Q,MATCH($A22,'Valo FX'!$A:$A,0)),0,IF(E$1&lt;INDEX('Valo FX'!$R:$R,MATCH($A22,'Valo FX'!$A:$A,0)),INDEX(Base!$U:$U,MATCH($A22,Base!$A:$A,0)),IF(E$1=INDEX('Valo FX'!$R:$R,MATCH($A22,'Valo FX'!$A:$A,0)),INDEX(Base!$V:$V,MATCH($A22,Base!$A:$A,0)),0)))</f>
        <v>0</v>
      </c>
      <c r="F22" s="21">
        <f>IF(F$1&lt;INDEX('Valo FX'!$Q:$Q,MATCH($A22,'Valo FX'!$A:$A,0)),0,IF(F$1&lt;INDEX('Valo FX'!$R:$R,MATCH($A22,'Valo FX'!$A:$A,0)),INDEX(Base!$U:$U,MATCH($A22,Base!$A:$A,0)),IF(F$1=INDEX('Valo FX'!$R:$R,MATCH($A22,'Valo FX'!$A:$A,0)),INDEX(Base!$V:$V,MATCH($A22,Base!$A:$A,0)),0)))</f>
        <v>0</v>
      </c>
      <c r="G22" s="21">
        <f>IF(G$1&lt;INDEX('Valo FX'!$Q:$Q,MATCH($A22,'Valo FX'!$A:$A,0)),0,IF(G$1&lt;INDEX('Valo FX'!$R:$R,MATCH($A22,'Valo FX'!$A:$A,0)),INDEX(Base!$U:$U,MATCH($A22,Base!$A:$A,0)),IF(G$1=INDEX('Valo FX'!$R:$R,MATCH($A22,'Valo FX'!$A:$A,0)),INDEX(Base!$V:$V,MATCH($A22,Base!$A:$A,0)),0)))</f>
        <v>0</v>
      </c>
      <c r="H22" s="21">
        <f>IF(H$1&lt;INDEX('Valo FX'!$Q:$Q,MATCH($A22,'Valo FX'!$A:$A,0)),0,IF(H$1&lt;INDEX('Valo FX'!$R:$R,MATCH($A22,'Valo FX'!$A:$A,0)),INDEX(Base!$U:$U,MATCH($A22,Base!$A:$A,0)),IF(H$1=INDEX('Valo FX'!$R:$R,MATCH($A22,'Valo FX'!$A:$A,0)),INDEX(Base!$V:$V,MATCH($A22,Base!$A:$A,0)),0)))</f>
        <v>0</v>
      </c>
      <c r="I22" s="21">
        <f>IF(I$1&lt;INDEX('Valo FX'!$Q:$Q,MATCH($A22,'Valo FX'!$A:$A,0)),0,IF(I$1&lt;INDEX('Valo FX'!$R:$R,MATCH($A22,'Valo FX'!$A:$A,0)),INDEX(Base!$U:$U,MATCH($A22,Base!$A:$A,0)),IF(I$1=INDEX('Valo FX'!$R:$R,MATCH($A22,'Valo FX'!$A:$A,0)),INDEX(Base!$V:$V,MATCH($A22,Base!$A:$A,0)),0)))</f>
        <v>13.17</v>
      </c>
      <c r="J22" s="21">
        <f>IF(J$1&lt;INDEX('Valo FX'!$Q:$Q,MATCH($A22,'Valo FX'!$A:$A,0)),0,IF(J$1&lt;INDEX('Valo FX'!$R:$R,MATCH($A22,'Valo FX'!$A:$A,0)),INDEX(Base!$U:$U,MATCH($A22,Base!$A:$A,0)),IF(J$1=INDEX('Valo FX'!$R:$R,MATCH($A22,'Valo FX'!$A:$A,0)),INDEX(Base!$V:$V,MATCH($A22,Base!$A:$A,0)),0)))</f>
        <v>13.17</v>
      </c>
      <c r="K22" s="21">
        <f>IF(K$1&lt;INDEX('Valo FX'!$Q:$Q,MATCH($A22,'Valo FX'!$A:$A,0)),0,IF(K$1&lt;INDEX('Valo FX'!$R:$R,MATCH($A22,'Valo FX'!$A:$A,0)),INDEX(Base!$U:$U,MATCH($A22,Base!$A:$A,0)),IF(K$1=INDEX('Valo FX'!$R:$R,MATCH($A22,'Valo FX'!$A:$A,0)),INDEX(Base!$V:$V,MATCH($A22,Base!$A:$A,0)),0)))</f>
        <v>13.17</v>
      </c>
      <c r="L22" s="21">
        <f>IF(L$1&lt;INDEX('Valo FX'!$Q:$Q,MATCH($A22,'Valo FX'!$A:$A,0)),0,IF(L$1&lt;INDEX('Valo FX'!$R:$R,MATCH($A22,'Valo FX'!$A:$A,0)),INDEX(Base!$U:$U,MATCH($A22,Base!$A:$A,0)),IF(L$1=INDEX('Valo FX'!$R:$R,MATCH($A22,'Valo FX'!$A:$A,0)),INDEX(Base!$V:$V,MATCH($A22,Base!$A:$A,0)),0)))</f>
        <v>13.17</v>
      </c>
      <c r="M22" s="21">
        <f>IF(M$1&lt;INDEX('Valo FX'!$Q:$Q,MATCH($A22,'Valo FX'!$A:$A,0)),0,IF(M$1&lt;INDEX('Valo FX'!$R:$R,MATCH($A22,'Valo FX'!$A:$A,0)),INDEX(Base!$U:$U,MATCH($A22,Base!$A:$A,0)),IF(M$1=INDEX('Valo FX'!$R:$R,MATCH($A22,'Valo FX'!$A:$A,0)),INDEX(Base!$V:$V,MATCH($A22,Base!$A:$A,0)),0)))</f>
        <v>13.17</v>
      </c>
      <c r="N22" s="21">
        <f>IF(N$1&lt;INDEX('Valo FX'!$Q:$Q,MATCH($A22,'Valo FX'!$A:$A,0)),0,IF(N$1&lt;INDEX('Valo FX'!$R:$R,MATCH($A22,'Valo FX'!$A:$A,0)),INDEX(Base!$U:$U,MATCH($A22,Base!$A:$A,0)),IF(N$1=INDEX('Valo FX'!$R:$R,MATCH($A22,'Valo FX'!$A:$A,0)),INDEX(Base!$V:$V,MATCH($A22,Base!$A:$A,0)),0)))</f>
        <v>13.17</v>
      </c>
      <c r="O22" s="21">
        <f>IF(O$1&lt;INDEX('Valo FX'!$Q:$Q,MATCH($A22,'Valo FX'!$A:$A,0)),0,IF(O$1&lt;INDEX('Valo FX'!$R:$R,MATCH($A22,'Valo FX'!$A:$A,0)),INDEX(Base!$U:$U,MATCH($A22,Base!$A:$A,0)),IF(O$1=INDEX('Valo FX'!$R:$R,MATCH($A22,'Valo FX'!$A:$A,0)),INDEX(Base!$V:$V,MATCH($A22,Base!$A:$A,0)),0)))</f>
        <v>13.17</v>
      </c>
      <c r="P22" s="21">
        <f>IF(P$1&lt;INDEX('Valo FX'!$Q:$Q,MATCH($A22,'Valo FX'!$A:$A,0)),0,IF(P$1&lt;INDEX('Valo FX'!$R:$R,MATCH($A22,'Valo FX'!$A:$A,0)),INDEX(Base!$U:$U,MATCH($A22,Base!$A:$A,0)),IF(P$1=INDEX('Valo FX'!$R:$R,MATCH($A22,'Valo FX'!$A:$A,0)),INDEX(Base!$V:$V,MATCH($A22,Base!$A:$A,0)),0)))</f>
        <v>13.17</v>
      </c>
      <c r="Q22" s="21">
        <f>IF(Q$1&lt;INDEX('Valo FX'!$Q:$Q,MATCH($A22,'Valo FX'!$A:$A,0)),0,IF(Q$1&lt;INDEX('Valo FX'!$R:$R,MATCH($A22,'Valo FX'!$A:$A,0)),INDEX(Base!$U:$U,MATCH($A22,Base!$A:$A,0)),IF(Q$1=INDEX('Valo FX'!$R:$R,MATCH($A22,'Valo FX'!$A:$A,0)),INDEX(Base!$V:$V,MATCH($A22,Base!$A:$A,0)),0)))</f>
        <v>13.17</v>
      </c>
      <c r="R22" s="21">
        <f>IF(R$1&lt;INDEX('Valo FX'!$Q:$Q,MATCH($A22,'Valo FX'!$A:$A,0)),0,IF(R$1&lt;INDEX('Valo FX'!$R:$R,MATCH($A22,'Valo FX'!$A:$A,0)),INDEX(Base!$U:$U,MATCH($A22,Base!$A:$A,0)),IF(R$1=INDEX('Valo FX'!$R:$R,MATCH($A22,'Valo FX'!$A:$A,0)),INDEX(Base!$V:$V,MATCH($A22,Base!$A:$A,0)),0)))</f>
        <v>13.17</v>
      </c>
      <c r="S22" s="21">
        <f>IF(S$1&lt;INDEX('Valo FX'!$Q:$Q,MATCH($A22,'Valo FX'!$A:$A,0)),0,IF(S$1&lt;INDEX('Valo FX'!$R:$R,MATCH($A22,'Valo FX'!$A:$A,0)),INDEX(Base!$U:$U,MATCH($A22,Base!$A:$A,0)),IF(S$1=INDEX('Valo FX'!$R:$R,MATCH($A22,'Valo FX'!$A:$A,0)),INDEX(Base!$V:$V,MATCH($A22,Base!$A:$A,0)),0)))</f>
        <v>13.17</v>
      </c>
      <c r="T22" s="21">
        <f>IF(T$1&lt;INDEX('Valo FX'!$Q:$Q,MATCH($A22,'Valo FX'!$A:$A,0)),0,IF(T$1&lt;INDEX('Valo FX'!$R:$R,MATCH($A22,'Valo FX'!$A:$A,0)),INDEX(Base!$U:$U,MATCH($A22,Base!$A:$A,0)),IF(T$1=INDEX('Valo FX'!$R:$R,MATCH($A22,'Valo FX'!$A:$A,0)),INDEX(Base!$V:$V,MATCH($A22,Base!$A:$A,0)),0)))</f>
        <v>13.17</v>
      </c>
      <c r="U22" s="21">
        <f>IF(U$1&lt;INDEX('Valo FX'!$Q:$Q,MATCH($A22,'Valo FX'!$A:$A,0)),0,IF(U$1&lt;INDEX('Valo FX'!$R:$R,MATCH($A22,'Valo FX'!$A:$A,0)),INDEX(Base!$U:$U,MATCH($A22,Base!$A:$A,0)),IF(U$1=INDEX('Valo FX'!$R:$R,MATCH($A22,'Valo FX'!$A:$A,0)),INDEX(Base!$V:$V,MATCH($A22,Base!$A:$A,0)),0)))</f>
        <v>13.17</v>
      </c>
      <c r="V22" s="21">
        <f>IF(V$1&lt;INDEX('Valo FX'!$Q:$Q,MATCH($A22,'Valo FX'!$A:$A,0)),0,IF(V$1&lt;INDEX('Valo FX'!$R:$R,MATCH($A22,'Valo FX'!$A:$A,0)),INDEX(Base!$U:$U,MATCH($A22,Base!$A:$A,0)),IF(V$1=INDEX('Valo FX'!$R:$R,MATCH($A22,'Valo FX'!$A:$A,0)),INDEX(Base!$V:$V,MATCH($A22,Base!$A:$A,0)),0)))</f>
        <v>13.17</v>
      </c>
      <c r="W22" s="21">
        <f>IF(W$1&lt;INDEX('Valo FX'!$Q:$Q,MATCH($A22,'Valo FX'!$A:$A,0)),0,IF(W$1&lt;INDEX('Valo FX'!$R:$R,MATCH($A22,'Valo FX'!$A:$A,0)),INDEX(Base!$U:$U,MATCH($A22,Base!$A:$A,0)),IF(W$1=INDEX('Valo FX'!$R:$R,MATCH($A22,'Valo FX'!$A:$A,0)),INDEX(Base!$V:$V,MATCH($A22,Base!$A:$A,0)),0)))</f>
        <v>13.17</v>
      </c>
      <c r="X22" s="21">
        <f>IF(X$1&lt;INDEX('Valo FX'!$Q:$Q,MATCH($A22,'Valo FX'!$A:$A,0)),0,IF(X$1&lt;INDEX('Valo FX'!$R:$R,MATCH($A22,'Valo FX'!$A:$A,0)),INDEX(Base!$U:$U,MATCH($A22,Base!$A:$A,0)),IF(X$1=INDEX('Valo FX'!$R:$R,MATCH($A22,'Valo FX'!$A:$A,0)),INDEX(Base!$V:$V,MATCH($A22,Base!$A:$A,0)),0)))</f>
        <v>13.17</v>
      </c>
      <c r="Y22" s="21">
        <f>IF(Y$1&lt;INDEX('Valo FX'!$Q:$Q,MATCH($A22,'Valo FX'!$A:$A,0)),0,IF(Y$1&lt;INDEX('Valo FX'!$R:$R,MATCH($A22,'Valo FX'!$A:$A,0)),INDEX(Base!$U:$U,MATCH($A22,Base!$A:$A,0)),IF(Y$1=INDEX('Valo FX'!$R:$R,MATCH($A22,'Valo FX'!$A:$A,0)),INDEX(Base!$V:$V,MATCH($A22,Base!$A:$A,0)),0)))</f>
        <v>13.17</v>
      </c>
      <c r="Z22" s="21">
        <f>IF(Z$1&lt;INDEX('Valo FX'!$Q:$Q,MATCH($A22,'Valo FX'!$A:$A,0)),0,IF(Z$1&lt;INDEX('Valo FX'!$R:$R,MATCH($A22,'Valo FX'!$A:$A,0)),INDEX(Base!$U:$U,MATCH($A22,Base!$A:$A,0)),IF(Z$1=INDEX('Valo FX'!$R:$R,MATCH($A22,'Valo FX'!$A:$A,0)),INDEX(Base!$V:$V,MATCH($A22,Base!$A:$A,0)),0)))</f>
        <v>13.17</v>
      </c>
      <c r="AA22" s="21">
        <f>IF(AA$1&lt;INDEX('Valo FX'!$Q:$Q,MATCH($A22,'Valo FX'!$A:$A,0)),0,IF(AA$1&lt;INDEX('Valo FX'!$R:$R,MATCH($A22,'Valo FX'!$A:$A,0)),INDEX(Base!$U:$U,MATCH($A22,Base!$A:$A,0)),IF(AA$1=INDEX('Valo FX'!$R:$R,MATCH($A22,'Valo FX'!$A:$A,0)),INDEX(Base!$V:$V,MATCH($A22,Base!$A:$A,0)),0)))</f>
        <v>13.17</v>
      </c>
      <c r="AB22" s="21">
        <f>IF(AB$1&lt;INDEX('Valo FX'!$Q:$Q,MATCH($A22,'Valo FX'!$A:$A,0)),0,IF(AB$1&lt;INDEX('Valo FX'!$R:$R,MATCH($A22,'Valo FX'!$A:$A,0)),INDEX(Base!$U:$U,MATCH($A22,Base!$A:$A,0)),IF(AB$1=INDEX('Valo FX'!$R:$R,MATCH($A22,'Valo FX'!$A:$A,0)),INDEX(Base!$V:$V,MATCH($A22,Base!$A:$A,0)),0)))</f>
        <v>13.17</v>
      </c>
      <c r="AC22" s="21">
        <f>IF(AC$1&lt;INDEX('Valo FX'!$Q:$Q,MATCH($A22,'Valo FX'!$A:$A,0)),0,IF(AC$1&lt;INDEX('Valo FX'!$R:$R,MATCH($A22,'Valo FX'!$A:$A,0)),INDEX(Base!$U:$U,MATCH($A22,Base!$A:$A,0)),IF(AC$1=INDEX('Valo FX'!$R:$R,MATCH($A22,'Valo FX'!$A:$A,0)),INDEX(Base!$V:$V,MATCH($A22,Base!$A:$A,0)),0)))</f>
        <v>13.17</v>
      </c>
      <c r="AD22" s="21">
        <f>IF(AD$1&lt;INDEX('Valo FX'!$Q:$Q,MATCH($A22,'Valo FX'!$A:$A,0)),0,IF(AD$1&lt;INDEX('Valo FX'!$R:$R,MATCH($A22,'Valo FX'!$A:$A,0)),INDEX(Base!$U:$U,MATCH($A22,Base!$A:$A,0)),IF(AD$1=INDEX('Valo FX'!$R:$R,MATCH($A22,'Valo FX'!$A:$A,0)),INDEX(Base!$V:$V,MATCH($A22,Base!$A:$A,0)),0)))</f>
        <v>13.17</v>
      </c>
      <c r="AE22" s="21">
        <f>IF(AE$1&lt;INDEX('Valo FX'!$Q:$Q,MATCH($A22,'Valo FX'!$A:$A,0)),0,IF(AE$1&lt;INDEX('Valo FX'!$R:$R,MATCH($A22,'Valo FX'!$A:$A,0)),INDEX(Base!$U:$U,MATCH($A22,Base!$A:$A,0)),IF(AE$1=INDEX('Valo FX'!$R:$R,MATCH($A22,'Valo FX'!$A:$A,0)),INDEX(Base!$V:$V,MATCH($A22,Base!$A:$A,0)),0)))</f>
        <v>13.17</v>
      </c>
      <c r="AF22" s="21">
        <f>IF(AF$1&lt;INDEX('Valo FX'!$Q:$Q,MATCH($A22,'Valo FX'!$A:$A,0)),0,IF(AF$1&lt;INDEX('Valo FX'!$R:$R,MATCH($A22,'Valo FX'!$A:$A,0)),INDEX(Base!$U:$U,MATCH($A22,Base!$A:$A,0)),IF(AF$1=INDEX('Valo FX'!$R:$R,MATCH($A22,'Valo FX'!$A:$A,0)),INDEX(Base!$V:$V,MATCH($A22,Base!$A:$A,0)),0)))</f>
        <v>13.17</v>
      </c>
      <c r="AG22" s="21">
        <f>IF(AG$1&lt;INDEX('Valo FX'!$Q:$Q,MATCH($A22,'Valo FX'!$A:$A,0)),0,IF(AG$1&lt;INDEX('Valo FX'!$R:$R,MATCH($A22,'Valo FX'!$A:$A,0)),INDEX(Base!$U:$U,MATCH($A22,Base!$A:$A,0)),IF(AG$1=INDEX('Valo FX'!$R:$R,MATCH($A22,'Valo FX'!$A:$A,0)),INDEX(Base!$V:$V,MATCH($A22,Base!$A:$A,0)),0)))</f>
        <v>13.17</v>
      </c>
      <c r="AH22" s="21">
        <f>IF(AH$1&lt;INDEX('Valo FX'!$Q:$Q,MATCH($A22,'Valo FX'!$A:$A,0)),0,IF(AH$1&lt;INDEX('Valo FX'!$R:$R,MATCH($A22,'Valo FX'!$A:$A,0)),INDEX(Base!$U:$U,MATCH($A22,Base!$A:$A,0)),IF(AH$1=INDEX('Valo FX'!$R:$R,MATCH($A22,'Valo FX'!$A:$A,0)),INDEX(Base!$V:$V,MATCH($A22,Base!$A:$A,0)),0)))</f>
        <v>13.17</v>
      </c>
      <c r="AI22" s="21">
        <f>IF(AI$1&lt;INDEX('Valo FX'!$Q:$Q,MATCH($A22,'Valo FX'!$A:$A,0)),0,IF(AI$1&lt;INDEX('Valo FX'!$R:$R,MATCH($A22,'Valo FX'!$A:$A,0)),INDEX(Base!$U:$U,MATCH($A22,Base!$A:$A,0)),IF(AI$1=INDEX('Valo FX'!$R:$R,MATCH($A22,'Valo FX'!$A:$A,0)),INDEX(Base!$V:$V,MATCH($A22,Base!$A:$A,0)),0)))</f>
        <v>13.17</v>
      </c>
      <c r="AJ22" s="21">
        <f>IF(AJ$1&lt;INDEX('Valo FX'!$Q:$Q,MATCH($A22,'Valo FX'!$A:$A,0)),0,IF(AJ$1&lt;INDEX('Valo FX'!$R:$R,MATCH($A22,'Valo FX'!$A:$A,0)),INDEX(Base!$U:$U,MATCH($A22,Base!$A:$A,0)),IF(AJ$1=INDEX('Valo FX'!$R:$R,MATCH($A22,'Valo FX'!$A:$A,0)),INDEX(Base!$V:$V,MATCH($A22,Base!$A:$A,0)),0)))</f>
        <v>13.17</v>
      </c>
      <c r="AK22" s="21">
        <f>IF(AK$1&lt;INDEX('Valo FX'!$Q:$Q,MATCH($A22,'Valo FX'!$A:$A,0)),0,IF(AK$1&lt;INDEX('Valo FX'!$R:$R,MATCH($A22,'Valo FX'!$A:$A,0)),INDEX(Base!$U:$U,MATCH($A22,Base!$A:$A,0)),IF(AK$1=INDEX('Valo FX'!$R:$R,MATCH($A22,'Valo FX'!$A:$A,0)),INDEX(Base!$V:$V,MATCH($A22,Base!$A:$A,0)),0)))</f>
        <v>13.17</v>
      </c>
      <c r="AL22" s="21">
        <f>IF(AL$1&lt;INDEX('Valo FX'!$Q:$Q,MATCH($A22,'Valo FX'!$A:$A,0)),0,IF(AL$1&lt;INDEX('Valo FX'!$R:$R,MATCH($A22,'Valo FX'!$A:$A,0)),INDEX(Base!$U:$U,MATCH($A22,Base!$A:$A,0)),IF(AL$1=INDEX('Valo FX'!$R:$R,MATCH($A22,'Valo FX'!$A:$A,0)),INDEX(Base!$V:$V,MATCH($A22,Base!$A:$A,0)),0)))</f>
        <v>13.17</v>
      </c>
      <c r="AM22" s="21">
        <f>IF(AM$1&lt;INDEX('Valo FX'!$Q:$Q,MATCH($A22,'Valo FX'!$A:$A,0)),0,IF(AM$1&lt;INDEX('Valo FX'!$R:$R,MATCH($A22,'Valo FX'!$A:$A,0)),INDEX(Base!$U:$U,MATCH($A22,Base!$A:$A,0)),IF(AM$1=INDEX('Valo FX'!$R:$R,MATCH($A22,'Valo FX'!$A:$A,0)),INDEX(Base!$V:$V,MATCH($A22,Base!$A:$A,0)),0)))</f>
        <v>13.17</v>
      </c>
      <c r="AN22" s="21">
        <f>IF(AN$1&lt;INDEX('Valo FX'!$Q:$Q,MATCH($A22,'Valo FX'!$A:$A,0)),0,IF(AN$1&lt;INDEX('Valo FX'!$R:$R,MATCH($A22,'Valo FX'!$A:$A,0)),INDEX(Base!$U:$U,MATCH($A22,Base!$A:$A,0)),IF(AN$1=INDEX('Valo FX'!$R:$R,MATCH($A22,'Valo FX'!$A:$A,0)),INDEX(Base!$V:$V,MATCH($A22,Base!$A:$A,0)),0)))</f>
        <v>13.17</v>
      </c>
      <c r="AO22" s="21">
        <f>IF(AO$1&lt;INDEX('Valo FX'!$Q:$Q,MATCH($A22,'Valo FX'!$A:$A,0)),0,IF(AO$1&lt;INDEX('Valo FX'!$R:$R,MATCH($A22,'Valo FX'!$A:$A,0)),INDEX(Base!$U:$U,MATCH($A22,Base!$A:$A,0)),IF(AO$1=INDEX('Valo FX'!$R:$R,MATCH($A22,'Valo FX'!$A:$A,0)),INDEX(Base!$V:$V,MATCH($A22,Base!$A:$A,0)),0)))</f>
        <v>13.17</v>
      </c>
      <c r="AP22" s="21">
        <f>IF(AP$1&lt;INDEX('Valo FX'!$Q:$Q,MATCH($A22,'Valo FX'!$A:$A,0)),0,IF(AP$1&lt;INDEX('Valo FX'!$R:$R,MATCH($A22,'Valo FX'!$A:$A,0)),INDEX(Base!$U:$U,MATCH($A22,Base!$A:$A,0)),IF(AP$1=INDEX('Valo FX'!$R:$R,MATCH($A22,'Valo FX'!$A:$A,0)),INDEX(Base!$V:$V,MATCH($A22,Base!$A:$A,0)),0)))</f>
        <v>13.17</v>
      </c>
      <c r="AQ22" s="21">
        <f>IF(AQ$1&lt;INDEX('Valo FX'!$Q:$Q,MATCH($A22,'Valo FX'!$A:$A,0)),0,IF(AQ$1&lt;INDEX('Valo FX'!$R:$R,MATCH($A22,'Valo FX'!$A:$A,0)),INDEX(Base!$U:$U,MATCH($A22,Base!$A:$A,0)),IF(AQ$1=INDEX('Valo FX'!$R:$R,MATCH($A22,'Valo FX'!$A:$A,0)),INDEX(Base!$V:$V,MATCH($A22,Base!$A:$A,0)),0)))</f>
        <v>13.17</v>
      </c>
      <c r="AR22" s="21">
        <f>IF(AR$1&lt;INDEX('Valo FX'!$Q:$Q,MATCH($A22,'Valo FX'!$A:$A,0)),0,IF(AR$1&lt;INDEX('Valo FX'!$R:$R,MATCH($A22,'Valo FX'!$A:$A,0)),INDEX(Base!$U:$U,MATCH($A22,Base!$A:$A,0)),IF(AR$1=INDEX('Valo FX'!$R:$R,MATCH($A22,'Valo FX'!$A:$A,0)),INDEX(Base!$V:$V,MATCH($A22,Base!$A:$A,0)),0)))</f>
        <v>13.17</v>
      </c>
      <c r="AS22" s="21">
        <f>IF(AS$1&lt;INDEX('Valo FX'!$Q:$Q,MATCH($A22,'Valo FX'!$A:$A,0)),0,IF(AS$1&lt;INDEX('Valo FX'!$R:$R,MATCH($A22,'Valo FX'!$A:$A,0)),INDEX(Base!$U:$U,MATCH($A22,Base!$A:$A,0)),IF(AS$1=INDEX('Valo FX'!$R:$R,MATCH($A22,'Valo FX'!$A:$A,0)),INDEX(Base!$V:$V,MATCH($A22,Base!$A:$A,0)),0)))</f>
        <v>13.17</v>
      </c>
      <c r="AT22" s="21">
        <f>IF(AT$1&lt;INDEX('Valo FX'!$Q:$Q,MATCH($A22,'Valo FX'!$A:$A,0)),0,IF(AT$1&lt;INDEX('Valo FX'!$R:$R,MATCH($A22,'Valo FX'!$A:$A,0)),INDEX(Base!$U:$U,MATCH($A22,Base!$A:$A,0)),IF(AT$1=INDEX('Valo FX'!$R:$R,MATCH($A22,'Valo FX'!$A:$A,0)),INDEX(Base!$V:$V,MATCH($A22,Base!$A:$A,0)),0)))</f>
        <v>13.17</v>
      </c>
      <c r="AU22" s="21">
        <f>IF(AU$1&lt;INDEX('Valo FX'!$Q:$Q,MATCH($A22,'Valo FX'!$A:$A,0)),0,IF(AU$1&lt;INDEX('Valo FX'!$R:$R,MATCH($A22,'Valo FX'!$A:$A,0)),INDEX(Base!$U:$U,MATCH($A22,Base!$A:$A,0)),IF(AU$1=INDEX('Valo FX'!$R:$R,MATCH($A22,'Valo FX'!$A:$A,0)),INDEX(Base!$V:$V,MATCH($A22,Base!$A:$A,0)),0)))</f>
        <v>13.17</v>
      </c>
      <c r="AV22" s="21">
        <f>IF(AV$1&lt;INDEX('Valo FX'!$Q:$Q,MATCH($A22,'Valo FX'!$A:$A,0)),0,IF(AV$1&lt;INDEX('Valo FX'!$R:$R,MATCH($A22,'Valo FX'!$A:$A,0)),INDEX(Base!$U:$U,MATCH($A22,Base!$A:$A,0)),IF(AV$1=INDEX('Valo FX'!$R:$R,MATCH($A22,'Valo FX'!$A:$A,0)),INDEX(Base!$V:$V,MATCH($A22,Base!$A:$A,0)),0)))</f>
        <v>13.17</v>
      </c>
      <c r="AW22" s="21">
        <f>IF(AW$1&lt;INDEX('Valo FX'!$Q:$Q,MATCH($A22,'Valo FX'!$A:$A,0)),0,IF(AW$1&lt;INDEX('Valo FX'!$R:$R,MATCH($A22,'Valo FX'!$A:$A,0)),INDEX(Base!$U:$U,MATCH($A22,Base!$A:$A,0)),IF(AW$1=INDEX('Valo FX'!$R:$R,MATCH($A22,'Valo FX'!$A:$A,0)),INDEX(Base!$V:$V,MATCH($A22,Base!$A:$A,0)),0)))</f>
        <v>13.17</v>
      </c>
      <c r="AX22" s="21">
        <f>IF(AX$1&lt;INDEX('Valo FX'!$Q:$Q,MATCH($A22,'Valo FX'!$A:$A,0)),0,IF(AX$1&lt;INDEX('Valo FX'!$R:$R,MATCH($A22,'Valo FX'!$A:$A,0)),INDEX(Base!$U:$U,MATCH($A22,Base!$A:$A,0)),IF(AX$1=INDEX('Valo FX'!$R:$R,MATCH($A22,'Valo FX'!$A:$A,0)),INDEX(Base!$V:$V,MATCH($A22,Base!$A:$A,0)),0)))</f>
        <v>13.17</v>
      </c>
      <c r="AY22" s="21">
        <f>IF(AY$1&lt;INDEX('Valo FX'!$Q:$Q,MATCH($A22,'Valo FX'!$A:$A,0)),0,IF(AY$1&lt;INDEX('Valo FX'!$R:$R,MATCH($A22,'Valo FX'!$A:$A,0)),INDEX(Base!$U:$U,MATCH($A22,Base!$A:$A,0)),IF(AY$1=INDEX('Valo FX'!$R:$R,MATCH($A22,'Valo FX'!$A:$A,0)),INDEX(Base!$V:$V,MATCH($A22,Base!$A:$A,0)),0)))</f>
        <v>13.17</v>
      </c>
      <c r="AZ22" s="21">
        <f>IF(AZ$1&lt;INDEX('Valo FX'!$Q:$Q,MATCH($A22,'Valo FX'!$A:$A,0)),0,IF(AZ$1&lt;INDEX('Valo FX'!$R:$R,MATCH($A22,'Valo FX'!$A:$A,0)),INDEX(Base!$U:$U,MATCH($A22,Base!$A:$A,0)),IF(AZ$1=INDEX('Valo FX'!$R:$R,MATCH($A22,'Valo FX'!$A:$A,0)),INDEX(Base!$V:$V,MATCH($A22,Base!$A:$A,0)),0)))</f>
        <v>13.17</v>
      </c>
      <c r="BA22" s="21">
        <f>IF(BA$1&lt;INDEX('Valo FX'!$Q:$Q,MATCH($A22,'Valo FX'!$A:$A,0)),0,IF(BA$1&lt;INDEX('Valo FX'!$R:$R,MATCH($A22,'Valo FX'!$A:$A,0)),INDEX(Base!$U:$U,MATCH($A22,Base!$A:$A,0)),IF(BA$1=INDEX('Valo FX'!$R:$R,MATCH($A22,'Valo FX'!$A:$A,0)),INDEX(Base!$V:$V,MATCH($A22,Base!$A:$A,0)),0)))</f>
        <v>13.17</v>
      </c>
      <c r="BB22" s="21">
        <f>IF(BB$1&lt;INDEX('Valo FX'!$Q:$Q,MATCH($A22,'Valo FX'!$A:$A,0)),0,IF(BB$1&lt;INDEX('Valo FX'!$R:$R,MATCH($A22,'Valo FX'!$A:$A,0)),INDEX(Base!$U:$U,MATCH($A22,Base!$A:$A,0)),IF(BB$1=INDEX('Valo FX'!$R:$R,MATCH($A22,'Valo FX'!$A:$A,0)),INDEX(Base!$V:$V,MATCH($A22,Base!$A:$A,0)),0)))</f>
        <v>13.17</v>
      </c>
      <c r="BC22" s="21">
        <f>IF(BC$1&lt;INDEX('Valo FX'!$Q:$Q,MATCH($A22,'Valo FX'!$A:$A,0)),0,IF(BC$1&lt;INDEX('Valo FX'!$R:$R,MATCH($A22,'Valo FX'!$A:$A,0)),INDEX(Base!$U:$U,MATCH($A22,Base!$A:$A,0)),IF(BC$1=INDEX('Valo FX'!$R:$R,MATCH($A22,'Valo FX'!$A:$A,0)),INDEX(Base!$V:$V,MATCH($A22,Base!$A:$A,0)),0)))</f>
        <v>13.17</v>
      </c>
      <c r="BD22" s="21">
        <f>IF(BD$1&lt;INDEX('Valo FX'!$Q:$Q,MATCH($A22,'Valo FX'!$A:$A,0)),0,IF(BD$1&lt;INDEX('Valo FX'!$R:$R,MATCH($A22,'Valo FX'!$A:$A,0)),INDEX(Base!$U:$U,MATCH($A22,Base!$A:$A,0)),IF(BD$1=INDEX('Valo FX'!$R:$R,MATCH($A22,'Valo FX'!$A:$A,0)),INDEX(Base!$V:$V,MATCH($A22,Base!$A:$A,0)),0)))</f>
        <v>13.17</v>
      </c>
      <c r="BE22" s="21">
        <f>IF(BE$1&lt;INDEX('Valo FX'!$Q:$Q,MATCH($A22,'Valo FX'!$A:$A,0)),0,IF(BE$1&lt;INDEX('Valo FX'!$R:$R,MATCH($A22,'Valo FX'!$A:$A,0)),INDEX(Base!$U:$U,MATCH($A22,Base!$A:$A,0)),IF(BE$1=INDEX('Valo FX'!$R:$R,MATCH($A22,'Valo FX'!$A:$A,0)),INDEX(Base!$V:$V,MATCH($A22,Base!$A:$A,0)),0)))</f>
        <v>13.17</v>
      </c>
      <c r="BF22" s="21">
        <f>IF(BF$1&lt;INDEX('Valo FX'!$Q:$Q,MATCH($A22,'Valo FX'!$A:$A,0)),0,IF(BF$1&lt;INDEX('Valo FX'!$R:$R,MATCH($A22,'Valo FX'!$A:$A,0)),INDEX(Base!$U:$U,MATCH($A22,Base!$A:$A,0)),IF(BF$1=INDEX('Valo FX'!$R:$R,MATCH($A22,'Valo FX'!$A:$A,0)),INDEX(Base!$V:$V,MATCH($A22,Base!$A:$A,0)),0)))</f>
        <v>13.17</v>
      </c>
      <c r="BG22" s="21">
        <f>IF(BG$1&lt;INDEX('Valo FX'!$Q:$Q,MATCH($A22,'Valo FX'!$A:$A,0)),0,IF(BG$1&lt;INDEX('Valo FX'!$R:$R,MATCH($A22,'Valo FX'!$A:$A,0)),INDEX(Base!$U:$U,MATCH($A22,Base!$A:$A,0)),IF(BG$1=INDEX('Valo FX'!$R:$R,MATCH($A22,'Valo FX'!$A:$A,0)),INDEX(Base!$V:$V,MATCH($A22,Base!$A:$A,0)),0)))</f>
        <v>13.17</v>
      </c>
      <c r="BH22" s="21">
        <f>IF(BH$1&lt;INDEX('Valo FX'!$Q:$Q,MATCH($A22,'Valo FX'!$A:$A,0)),0,IF(BH$1&lt;INDEX('Valo FX'!$R:$R,MATCH($A22,'Valo FX'!$A:$A,0)),INDEX(Base!$U:$U,MATCH($A22,Base!$A:$A,0)),IF(BH$1=INDEX('Valo FX'!$R:$R,MATCH($A22,'Valo FX'!$A:$A,0)),INDEX(Base!$V:$V,MATCH($A22,Base!$A:$A,0)),0)))</f>
        <v>13.17</v>
      </c>
      <c r="BI22" s="21">
        <f>IF(BI$1&lt;INDEX('Valo FX'!$Q:$Q,MATCH($A22,'Valo FX'!$A:$A,0)),0,IF(BI$1&lt;INDEX('Valo FX'!$R:$R,MATCH($A22,'Valo FX'!$A:$A,0)),INDEX(Base!$U:$U,MATCH($A22,Base!$A:$A,0)),IF(BI$1=INDEX('Valo FX'!$R:$R,MATCH($A22,'Valo FX'!$A:$A,0)),INDEX(Base!$V:$V,MATCH($A22,Base!$A:$A,0)),0)))</f>
        <v>13.17</v>
      </c>
      <c r="BJ22" s="21">
        <f>IF(BJ$1&lt;INDEX('Valo FX'!$Q:$Q,MATCH($A22,'Valo FX'!$A:$A,0)),0,IF(BJ$1&lt;INDEX('Valo FX'!$R:$R,MATCH($A22,'Valo FX'!$A:$A,0)),INDEX(Base!$U:$U,MATCH($A22,Base!$A:$A,0)),IF(BJ$1=INDEX('Valo FX'!$R:$R,MATCH($A22,'Valo FX'!$A:$A,0)),INDEX(Base!$V:$V,MATCH($A22,Base!$A:$A,0)),0)))</f>
        <v>13.17</v>
      </c>
      <c r="BK22" s="21">
        <f>IF(BK$1&lt;INDEX('Valo FX'!$Q:$Q,MATCH($A22,'Valo FX'!$A:$A,0)),0,IF(BK$1&lt;INDEX('Valo FX'!$R:$R,MATCH($A22,'Valo FX'!$A:$A,0)),INDEX(Base!$U:$U,MATCH($A22,Base!$A:$A,0)),IF(BK$1=INDEX('Valo FX'!$R:$R,MATCH($A22,'Valo FX'!$A:$A,0)),INDEX(Base!$V:$V,MATCH($A22,Base!$A:$A,0)),0)))</f>
        <v>13.17</v>
      </c>
      <c r="BL22" s="21">
        <f>IF(BL$1&lt;INDEX('Valo FX'!$Q:$Q,MATCH($A22,'Valo FX'!$A:$A,0)),0,IF(BL$1&lt;INDEX('Valo FX'!$R:$R,MATCH($A22,'Valo FX'!$A:$A,0)),INDEX(Base!$U:$U,MATCH($A22,Base!$A:$A,0)),IF(BL$1=INDEX('Valo FX'!$R:$R,MATCH($A22,'Valo FX'!$A:$A,0)),INDEX(Base!$V:$V,MATCH($A22,Base!$A:$A,0)),0)))</f>
        <v>13.17</v>
      </c>
      <c r="BM22" s="21">
        <f>IF(BM$1&lt;INDEX('Valo FX'!$Q:$Q,MATCH($A22,'Valo FX'!$A:$A,0)),0,IF(BM$1&lt;INDEX('Valo FX'!$R:$R,MATCH($A22,'Valo FX'!$A:$A,0)),INDEX(Base!$U:$U,MATCH($A22,Base!$A:$A,0)),IF(BM$1=INDEX('Valo FX'!$R:$R,MATCH($A22,'Valo FX'!$A:$A,0)),INDEX(Base!$V:$V,MATCH($A22,Base!$A:$A,0)),0)))</f>
        <v>13.17</v>
      </c>
      <c r="BN22" s="21">
        <f>IF(BN$1&lt;INDEX('Valo FX'!$Q:$Q,MATCH($A22,'Valo FX'!$A:$A,0)),0,IF(BN$1&lt;INDEX('Valo FX'!$R:$R,MATCH($A22,'Valo FX'!$A:$A,0)),INDEX(Base!$U:$U,MATCH($A22,Base!$A:$A,0)),IF(BN$1=INDEX('Valo FX'!$R:$R,MATCH($A22,'Valo FX'!$A:$A,0)),INDEX(Base!$V:$V,MATCH($A22,Base!$A:$A,0)),0)))</f>
        <v>13.17</v>
      </c>
      <c r="BO22" s="21">
        <f>IF(BO$1&lt;INDEX('Valo FX'!$Q:$Q,MATCH($A22,'Valo FX'!$A:$A,0)),0,IF(BO$1&lt;INDEX('Valo FX'!$R:$R,MATCH($A22,'Valo FX'!$A:$A,0)),INDEX(Base!$U:$U,MATCH($A22,Base!$A:$A,0)),IF(BO$1=INDEX('Valo FX'!$R:$R,MATCH($A22,'Valo FX'!$A:$A,0)),INDEX(Base!$V:$V,MATCH($A22,Base!$A:$A,0)),0)))</f>
        <v>13.17</v>
      </c>
      <c r="BP22" s="21">
        <f>IF(BP$1&lt;INDEX('Valo FX'!$Q:$Q,MATCH($A22,'Valo FX'!$A:$A,0)),0,IF(BP$1&lt;INDEX('Valo FX'!$R:$R,MATCH($A22,'Valo FX'!$A:$A,0)),INDEX(Base!$U:$U,MATCH($A22,Base!$A:$A,0)),IF(BP$1=INDEX('Valo FX'!$R:$R,MATCH($A22,'Valo FX'!$A:$A,0)),INDEX(Base!$V:$V,MATCH($A22,Base!$A:$A,0)),0)))</f>
        <v>13.17</v>
      </c>
      <c r="BQ22" s="21">
        <f>IF(BQ$1&lt;INDEX('Valo FX'!$Q:$Q,MATCH($A22,'Valo FX'!$A:$A,0)),0,IF(BQ$1&lt;INDEX('Valo FX'!$R:$R,MATCH($A22,'Valo FX'!$A:$A,0)),INDEX(Base!$U:$U,MATCH($A22,Base!$A:$A,0)),IF(BQ$1=INDEX('Valo FX'!$R:$R,MATCH($A22,'Valo FX'!$A:$A,0)),INDEX(Base!$V:$V,MATCH($A22,Base!$A:$A,0)),0)))</f>
        <v>13.17</v>
      </c>
      <c r="BR22" s="21">
        <f>IF(BR$1&lt;INDEX('Valo FX'!$Q:$Q,MATCH($A22,'Valo FX'!$A:$A,0)),0,IF(BR$1&lt;INDEX('Valo FX'!$R:$R,MATCH($A22,'Valo FX'!$A:$A,0)),INDEX(Base!$U:$U,MATCH($A22,Base!$A:$A,0)),IF(BR$1=INDEX('Valo FX'!$R:$R,MATCH($A22,'Valo FX'!$A:$A,0)),INDEX(Base!$V:$V,MATCH($A22,Base!$A:$A,0)),0)))</f>
        <v>13.17</v>
      </c>
      <c r="BS22" s="21">
        <f>IF(BS$1&lt;INDEX('Valo FX'!$Q:$Q,MATCH($A22,'Valo FX'!$A:$A,0)),0,IF(BS$1&lt;INDEX('Valo FX'!$R:$R,MATCH($A22,'Valo FX'!$A:$A,0)),INDEX(Base!$U:$U,MATCH($A22,Base!$A:$A,0)),IF(BS$1=INDEX('Valo FX'!$R:$R,MATCH($A22,'Valo FX'!$A:$A,0)),INDEX(Base!$V:$V,MATCH($A22,Base!$A:$A,0)),0)))</f>
        <v>13.17</v>
      </c>
      <c r="BT22" s="21">
        <f>IF(BT$1&lt;INDEX('Valo FX'!$Q:$Q,MATCH($A22,'Valo FX'!$A:$A,0)),0,IF(BT$1&lt;INDEX('Valo FX'!$R:$R,MATCH($A22,'Valo FX'!$A:$A,0)),INDEX(Base!$U:$U,MATCH($A22,Base!$A:$A,0)),IF(BT$1=INDEX('Valo FX'!$R:$R,MATCH($A22,'Valo FX'!$A:$A,0)),INDEX(Base!$V:$V,MATCH($A22,Base!$A:$A,0)),0)))</f>
        <v>13.17</v>
      </c>
      <c r="BU22" s="21">
        <f>IF(BU$1&lt;INDEX('Valo FX'!$Q:$Q,MATCH($A22,'Valo FX'!$A:$A,0)),0,IF(BU$1&lt;INDEX('Valo FX'!$R:$R,MATCH($A22,'Valo FX'!$A:$A,0)),INDEX(Base!$U:$U,MATCH($A22,Base!$A:$A,0)),IF(BU$1=INDEX('Valo FX'!$R:$R,MATCH($A22,'Valo FX'!$A:$A,0)),INDEX(Base!$V:$V,MATCH($A22,Base!$A:$A,0)),0)))</f>
        <v>13.17</v>
      </c>
      <c r="BV22" s="21">
        <f>IF(BV$1&lt;INDEX('Valo FX'!$Q:$Q,MATCH($A22,'Valo FX'!$A:$A,0)),0,IF(BV$1&lt;INDEX('Valo FX'!$R:$R,MATCH($A22,'Valo FX'!$A:$A,0)),INDEX(Base!$U:$U,MATCH($A22,Base!$A:$A,0)),IF(BV$1=INDEX('Valo FX'!$R:$R,MATCH($A22,'Valo FX'!$A:$A,0)),INDEX(Base!$V:$V,MATCH($A22,Base!$A:$A,0)),0)))</f>
        <v>13.17</v>
      </c>
      <c r="BW22" s="21">
        <f>IF(BW$1&lt;INDEX('Valo FX'!$Q:$Q,MATCH($A22,'Valo FX'!$A:$A,0)),0,IF(BW$1&lt;INDEX('Valo FX'!$R:$R,MATCH($A22,'Valo FX'!$A:$A,0)),INDEX(Base!$U:$U,MATCH($A22,Base!$A:$A,0)),IF(BW$1=INDEX('Valo FX'!$R:$R,MATCH($A22,'Valo FX'!$A:$A,0)),INDEX(Base!$V:$V,MATCH($A22,Base!$A:$A,0)),0)))</f>
        <v>13.17</v>
      </c>
      <c r="BX22" s="21">
        <f>IF(BX$1&lt;INDEX('Valo FX'!$Q:$Q,MATCH($A22,'Valo FX'!$A:$A,0)),0,IF(BX$1&lt;INDEX('Valo FX'!$R:$R,MATCH($A22,'Valo FX'!$A:$A,0)),INDEX(Base!$U:$U,MATCH($A22,Base!$A:$A,0)),IF(BX$1=INDEX('Valo FX'!$R:$R,MATCH($A22,'Valo FX'!$A:$A,0)),INDEX(Base!$V:$V,MATCH($A22,Base!$A:$A,0)),0)))</f>
        <v>13.17</v>
      </c>
      <c r="BY22" s="21">
        <f>IF(BY$1&lt;INDEX('Valo FX'!$Q:$Q,MATCH($A22,'Valo FX'!$A:$A,0)),0,IF(BY$1&lt;INDEX('Valo FX'!$R:$R,MATCH($A22,'Valo FX'!$A:$A,0)),INDEX(Base!$U:$U,MATCH($A22,Base!$A:$A,0)),IF(BY$1=INDEX('Valo FX'!$R:$R,MATCH($A22,'Valo FX'!$A:$A,0)),INDEX(Base!$V:$V,MATCH($A22,Base!$A:$A,0)),0)))</f>
        <v>13.17</v>
      </c>
      <c r="BZ22" s="21">
        <f>IF(BZ$1&lt;INDEX('Valo FX'!$Q:$Q,MATCH($A22,'Valo FX'!$A:$A,0)),0,IF(BZ$1&lt;INDEX('Valo FX'!$R:$R,MATCH($A22,'Valo FX'!$A:$A,0)),INDEX(Base!$U:$U,MATCH($A22,Base!$A:$A,0)),IF(BZ$1=INDEX('Valo FX'!$R:$R,MATCH($A22,'Valo FX'!$A:$A,0)),INDEX(Base!$V:$V,MATCH($A22,Base!$A:$A,0)),0)))</f>
        <v>13.17</v>
      </c>
      <c r="CA22" s="21">
        <f>IF(CA$1&lt;INDEX('Valo FX'!$Q:$Q,MATCH($A22,'Valo FX'!$A:$A,0)),0,IF(CA$1&lt;INDEX('Valo FX'!$R:$R,MATCH($A22,'Valo FX'!$A:$A,0)),INDEX(Base!$U:$U,MATCH($A22,Base!$A:$A,0)),IF(CA$1=INDEX('Valo FX'!$R:$R,MATCH($A22,'Valo FX'!$A:$A,0)),INDEX(Base!$V:$V,MATCH($A22,Base!$A:$A,0)),0)))</f>
        <v>13.17</v>
      </c>
      <c r="CB22" s="21">
        <f>IF(CB$1&lt;INDEX('Valo FX'!$Q:$Q,MATCH($A22,'Valo FX'!$A:$A,0)),0,IF(CB$1&lt;INDEX('Valo FX'!$R:$R,MATCH($A22,'Valo FX'!$A:$A,0)),INDEX(Base!$U:$U,MATCH($A22,Base!$A:$A,0)),IF(CB$1=INDEX('Valo FX'!$R:$R,MATCH($A22,'Valo FX'!$A:$A,0)),INDEX(Base!$V:$V,MATCH($A22,Base!$A:$A,0)),0)))</f>
        <v>13.17</v>
      </c>
      <c r="CC22" s="21">
        <f>IF(CC$1&lt;INDEX('Valo FX'!$Q:$Q,MATCH($A22,'Valo FX'!$A:$A,0)),0,IF(CC$1&lt;INDEX('Valo FX'!$R:$R,MATCH($A22,'Valo FX'!$A:$A,0)),INDEX(Base!$U:$U,MATCH($A22,Base!$A:$A,0)),IF(CC$1=INDEX('Valo FX'!$R:$R,MATCH($A22,'Valo FX'!$A:$A,0)),INDEX(Base!$V:$V,MATCH($A22,Base!$A:$A,0)),0)))</f>
        <v>13.17</v>
      </c>
      <c r="CD22" s="21">
        <f>IF(CD$1&lt;INDEX('Valo FX'!$Q:$Q,MATCH($A22,'Valo FX'!$A:$A,0)),0,IF(CD$1&lt;INDEX('Valo FX'!$R:$R,MATCH($A22,'Valo FX'!$A:$A,0)),INDEX(Base!$U:$U,MATCH($A22,Base!$A:$A,0)),IF(CD$1=INDEX('Valo FX'!$R:$R,MATCH($A22,'Valo FX'!$A:$A,0)),INDEX(Base!$V:$V,MATCH($A22,Base!$A:$A,0)),0)))</f>
        <v>13.17</v>
      </c>
      <c r="CE22" s="21">
        <f>IF(CE$1&lt;INDEX('Valo FX'!$Q:$Q,MATCH($A22,'Valo FX'!$A:$A,0)),0,IF(CE$1&lt;INDEX('Valo FX'!$R:$R,MATCH($A22,'Valo FX'!$A:$A,0)),INDEX(Base!$U:$U,MATCH($A22,Base!$A:$A,0)),IF(CE$1=INDEX('Valo FX'!$R:$R,MATCH($A22,'Valo FX'!$A:$A,0)),INDEX(Base!$V:$V,MATCH($A22,Base!$A:$A,0)),0)))</f>
        <v>13.17</v>
      </c>
      <c r="CF22" s="21">
        <f>IF(CF$1&lt;INDEX('Valo FX'!$Q:$Q,MATCH($A22,'Valo FX'!$A:$A,0)),0,IF(CF$1&lt;INDEX('Valo FX'!$R:$R,MATCH($A22,'Valo FX'!$A:$A,0)),INDEX(Base!$U:$U,MATCH($A22,Base!$A:$A,0)),IF(CF$1=INDEX('Valo FX'!$R:$R,MATCH($A22,'Valo FX'!$A:$A,0)),INDEX(Base!$V:$V,MATCH($A22,Base!$A:$A,0)),0)))</f>
        <v>13.17</v>
      </c>
      <c r="CG22" s="21">
        <f>IF(CG$1&lt;INDEX('Valo FX'!$Q:$Q,MATCH($A22,'Valo FX'!$A:$A,0)),0,IF(CG$1&lt;INDEX('Valo FX'!$R:$R,MATCH($A22,'Valo FX'!$A:$A,0)),INDEX(Base!$U:$U,MATCH($A22,Base!$A:$A,0)),IF(CG$1=INDEX('Valo FX'!$R:$R,MATCH($A22,'Valo FX'!$A:$A,0)),INDEX(Base!$V:$V,MATCH($A22,Base!$A:$A,0)),0)))</f>
        <v>13.17</v>
      </c>
      <c r="CH22" s="21">
        <f>IF(CH$1&lt;INDEX('Valo FX'!$Q:$Q,MATCH($A22,'Valo FX'!$A:$A,0)),0,IF(CH$1&lt;INDEX('Valo FX'!$R:$R,MATCH($A22,'Valo FX'!$A:$A,0)),INDEX(Base!$U:$U,MATCH($A22,Base!$A:$A,0)),IF(CH$1=INDEX('Valo FX'!$R:$R,MATCH($A22,'Valo FX'!$A:$A,0)),INDEX(Base!$V:$V,MATCH($A22,Base!$A:$A,0)),0)))</f>
        <v>13.17</v>
      </c>
      <c r="CI22" s="21">
        <f>IF(CI$1&lt;INDEX('Valo FX'!$Q:$Q,MATCH($A22,'Valo FX'!$A:$A,0)),0,IF(CI$1&lt;INDEX('Valo FX'!$R:$R,MATCH($A22,'Valo FX'!$A:$A,0)),INDEX(Base!$U:$U,MATCH($A22,Base!$A:$A,0)),IF(CI$1=INDEX('Valo FX'!$R:$R,MATCH($A22,'Valo FX'!$A:$A,0)),INDEX(Base!$V:$V,MATCH($A22,Base!$A:$A,0)),0)))</f>
        <v>13.17</v>
      </c>
      <c r="CJ22" s="21">
        <f>IF(CJ$1&lt;INDEX('Valo FX'!$Q:$Q,MATCH($A22,'Valo FX'!$A:$A,0)),0,IF(CJ$1&lt;INDEX('Valo FX'!$R:$R,MATCH($A22,'Valo FX'!$A:$A,0)),INDEX(Base!$U:$U,MATCH($A22,Base!$A:$A,0)),IF(CJ$1=INDEX('Valo FX'!$R:$R,MATCH($A22,'Valo FX'!$A:$A,0)),INDEX(Base!$V:$V,MATCH($A22,Base!$A:$A,0)),0)))</f>
        <v>13.17</v>
      </c>
      <c r="CK22" s="21">
        <f>IF(CK$1&lt;INDEX('Valo FX'!$Q:$Q,MATCH($A22,'Valo FX'!$A:$A,0)),0,IF(CK$1&lt;INDEX('Valo FX'!$R:$R,MATCH($A22,'Valo FX'!$A:$A,0)),INDEX(Base!$U:$U,MATCH($A22,Base!$A:$A,0)),IF(CK$1=INDEX('Valo FX'!$R:$R,MATCH($A22,'Valo FX'!$A:$A,0)),INDEX(Base!$V:$V,MATCH($A22,Base!$A:$A,0)),0)))</f>
        <v>13.17</v>
      </c>
      <c r="CL22" s="21">
        <f>IF(CL$1&lt;INDEX('Valo FX'!$Q:$Q,MATCH($A22,'Valo FX'!$A:$A,0)),0,IF(CL$1&lt;INDEX('Valo FX'!$R:$R,MATCH($A22,'Valo FX'!$A:$A,0)),INDEX(Base!$U:$U,MATCH($A22,Base!$A:$A,0)),IF(CL$1=INDEX('Valo FX'!$R:$R,MATCH($A22,'Valo FX'!$A:$A,0)),INDEX(Base!$V:$V,MATCH($A22,Base!$A:$A,0)),0)))</f>
        <v>13.17</v>
      </c>
      <c r="CM22" s="21">
        <f>IF(CM$1&lt;INDEX('Valo FX'!$Q:$Q,MATCH($A22,'Valo FX'!$A:$A,0)),0,IF(CM$1&lt;INDEX('Valo FX'!$R:$R,MATCH($A22,'Valo FX'!$A:$A,0)),INDEX(Base!$U:$U,MATCH($A22,Base!$A:$A,0)),IF(CM$1=INDEX('Valo FX'!$R:$R,MATCH($A22,'Valo FX'!$A:$A,0)),INDEX(Base!$V:$V,MATCH($A22,Base!$A:$A,0)),0)))</f>
        <v>13.17</v>
      </c>
      <c r="CN22" s="21">
        <f>IF(CN$1&lt;INDEX('Valo FX'!$Q:$Q,MATCH($A22,'Valo FX'!$A:$A,0)),0,IF(CN$1&lt;INDEX('Valo FX'!$R:$R,MATCH($A22,'Valo FX'!$A:$A,0)),INDEX(Base!$U:$U,MATCH($A22,Base!$A:$A,0)),IF(CN$1=INDEX('Valo FX'!$R:$R,MATCH($A22,'Valo FX'!$A:$A,0)),INDEX(Base!$V:$V,MATCH($A22,Base!$A:$A,0)),0)))</f>
        <v>13.17</v>
      </c>
      <c r="CO22" s="21">
        <f>IF(CO$1&lt;INDEX('Valo FX'!$Q:$Q,MATCH($A22,'Valo FX'!$A:$A,0)),0,IF(CO$1&lt;INDEX('Valo FX'!$R:$R,MATCH($A22,'Valo FX'!$A:$A,0)),INDEX(Base!$U:$U,MATCH($A22,Base!$A:$A,0)),IF(CO$1=INDEX('Valo FX'!$R:$R,MATCH($A22,'Valo FX'!$A:$A,0)),INDEX(Base!$V:$V,MATCH($A22,Base!$A:$A,0)),0)))</f>
        <v>13.17</v>
      </c>
      <c r="CP22" s="21">
        <f>IF(CP$1&lt;INDEX('Valo FX'!$Q:$Q,MATCH($A22,'Valo FX'!$A:$A,0)),0,IF(CP$1&lt;INDEX('Valo FX'!$R:$R,MATCH($A22,'Valo FX'!$A:$A,0)),INDEX(Base!$U:$U,MATCH($A22,Base!$A:$A,0)),IF(CP$1=INDEX('Valo FX'!$R:$R,MATCH($A22,'Valo FX'!$A:$A,0)),INDEX(Base!$V:$V,MATCH($A22,Base!$A:$A,0)),0)))</f>
        <v>13.17</v>
      </c>
      <c r="CQ22" s="21">
        <f>IF(CQ$1&lt;INDEX('Valo FX'!$Q:$Q,MATCH($A22,'Valo FX'!$A:$A,0)),0,IF(CQ$1&lt;INDEX('Valo FX'!$R:$R,MATCH($A22,'Valo FX'!$A:$A,0)),INDEX(Base!$U:$U,MATCH($A22,Base!$A:$A,0)),IF(CQ$1=INDEX('Valo FX'!$R:$R,MATCH($A22,'Valo FX'!$A:$A,0)),INDEX(Base!$V:$V,MATCH($A22,Base!$A:$A,0)),0)))</f>
        <v>13.17</v>
      </c>
      <c r="CR22" s="21">
        <f>IF(CR$1&lt;INDEX('Valo FX'!$Q:$Q,MATCH($A22,'Valo FX'!$A:$A,0)),0,IF(CR$1&lt;INDEX('Valo FX'!$R:$R,MATCH($A22,'Valo FX'!$A:$A,0)),INDEX(Base!$U:$U,MATCH($A22,Base!$A:$A,0)),IF(CR$1=INDEX('Valo FX'!$R:$R,MATCH($A22,'Valo FX'!$A:$A,0)),INDEX(Base!$V:$V,MATCH($A22,Base!$A:$A,0)),0)))</f>
        <v>13.17</v>
      </c>
      <c r="CS22" s="21">
        <f>IF(CS$1&lt;INDEX('Valo FX'!$Q:$Q,MATCH($A22,'Valo FX'!$A:$A,0)),0,IF(CS$1&lt;INDEX('Valo FX'!$R:$R,MATCH($A22,'Valo FX'!$A:$A,0)),INDEX(Base!$U:$U,MATCH($A22,Base!$A:$A,0)),IF(CS$1=INDEX('Valo FX'!$R:$R,MATCH($A22,'Valo FX'!$A:$A,0)),INDEX(Base!$V:$V,MATCH($A22,Base!$A:$A,0)),0)))</f>
        <v>13.17</v>
      </c>
      <c r="CT22" s="21">
        <f>IF(CT$1&lt;INDEX('Valo FX'!$Q:$Q,MATCH($A22,'Valo FX'!$A:$A,0)),0,IF(CT$1&lt;INDEX('Valo FX'!$R:$R,MATCH($A22,'Valo FX'!$A:$A,0)),INDEX(Base!$U:$U,MATCH($A22,Base!$A:$A,0)),IF(CT$1=INDEX('Valo FX'!$R:$R,MATCH($A22,'Valo FX'!$A:$A,0)),INDEX(Base!$V:$V,MATCH($A22,Base!$A:$A,0)),0)))</f>
        <v>13.17</v>
      </c>
      <c r="CU22" s="21">
        <f>IF(CU$1&lt;INDEX('Valo FX'!$Q:$Q,MATCH($A22,'Valo FX'!$A:$A,0)),0,IF(CU$1&lt;INDEX('Valo FX'!$R:$R,MATCH($A22,'Valo FX'!$A:$A,0)),INDEX(Base!$U:$U,MATCH($A22,Base!$A:$A,0)),IF(CU$1=INDEX('Valo FX'!$R:$R,MATCH($A22,'Valo FX'!$A:$A,0)),INDEX(Base!$V:$V,MATCH($A22,Base!$A:$A,0)),0)))</f>
        <v>13.17</v>
      </c>
      <c r="CV22" s="21">
        <f>IF(CV$1&lt;INDEX('Valo FX'!$Q:$Q,MATCH($A22,'Valo FX'!$A:$A,0)),0,IF(CV$1&lt;INDEX('Valo FX'!$R:$R,MATCH($A22,'Valo FX'!$A:$A,0)),INDEX(Base!$U:$U,MATCH($A22,Base!$A:$A,0)),IF(CV$1=INDEX('Valo FX'!$R:$R,MATCH($A22,'Valo FX'!$A:$A,0)),INDEX(Base!$V:$V,MATCH($A22,Base!$A:$A,0)),0)))</f>
        <v>13.17</v>
      </c>
      <c r="CW22" s="21">
        <f>IF(CW$1&lt;INDEX('Valo FX'!$Q:$Q,MATCH($A22,'Valo FX'!$A:$A,0)),0,IF(CW$1&lt;INDEX('Valo FX'!$R:$R,MATCH($A22,'Valo FX'!$A:$A,0)),INDEX(Base!$U:$U,MATCH($A22,Base!$A:$A,0)),IF(CW$1=INDEX('Valo FX'!$R:$R,MATCH($A22,'Valo FX'!$A:$A,0)),INDEX(Base!$V:$V,MATCH($A22,Base!$A:$A,0)),0)))</f>
        <v>13.17</v>
      </c>
      <c r="CX22" s="21">
        <f>IF(CX$1&lt;INDEX('Valo FX'!$Q:$Q,MATCH($A22,'Valo FX'!$A:$A,0)),0,IF(CX$1&lt;INDEX('Valo FX'!$R:$R,MATCH($A22,'Valo FX'!$A:$A,0)),INDEX(Base!$U:$U,MATCH($A22,Base!$A:$A,0)),IF(CX$1=INDEX('Valo FX'!$R:$R,MATCH($A22,'Valo FX'!$A:$A,0)),INDEX(Base!$V:$V,MATCH($A22,Base!$A:$A,0)),0)))</f>
        <v>13.17</v>
      </c>
      <c r="CY22" s="21">
        <f>IF(CY$1&lt;INDEX('Valo FX'!$Q:$Q,MATCH($A22,'Valo FX'!$A:$A,0)),0,IF(CY$1&lt;INDEX('Valo FX'!$R:$R,MATCH($A22,'Valo FX'!$A:$A,0)),INDEX(Base!$U:$U,MATCH($A22,Base!$A:$A,0)),IF(CY$1=INDEX('Valo FX'!$R:$R,MATCH($A22,'Valo FX'!$A:$A,0)),INDEX(Base!$V:$V,MATCH($A22,Base!$A:$A,0)),0)))</f>
        <v>13.17</v>
      </c>
      <c r="CZ22" s="21">
        <f>IF(CZ$1&lt;INDEX('Valo FX'!$Q:$Q,MATCH($A22,'Valo FX'!$A:$A,0)),0,IF(CZ$1&lt;INDEX('Valo FX'!$R:$R,MATCH($A22,'Valo FX'!$A:$A,0)),INDEX(Base!$U:$U,MATCH($A22,Base!$A:$A,0)),IF(CZ$1=INDEX('Valo FX'!$R:$R,MATCH($A22,'Valo FX'!$A:$A,0)),INDEX(Base!$V:$V,MATCH($A22,Base!$A:$A,0)),0)))</f>
        <v>13.17</v>
      </c>
      <c r="DA22" s="21">
        <f>IF(DA$1&lt;INDEX('Valo FX'!$Q:$Q,MATCH($A22,'Valo FX'!$A:$A,0)),0,IF(DA$1&lt;INDEX('Valo FX'!$R:$R,MATCH($A22,'Valo FX'!$A:$A,0)),INDEX(Base!$U:$U,MATCH($A22,Base!$A:$A,0)),IF(DA$1=INDEX('Valo FX'!$R:$R,MATCH($A22,'Valo FX'!$A:$A,0)),INDEX(Base!$V:$V,MATCH($A22,Base!$A:$A,0)),0)))</f>
        <v>13.17</v>
      </c>
      <c r="DB22" s="21">
        <f>IF(DB$1&lt;INDEX('Valo FX'!$Q:$Q,MATCH($A22,'Valo FX'!$A:$A,0)),0,IF(DB$1&lt;INDEX('Valo FX'!$R:$R,MATCH($A22,'Valo FX'!$A:$A,0)),INDEX(Base!$U:$U,MATCH($A22,Base!$A:$A,0)),IF(DB$1=INDEX('Valo FX'!$R:$R,MATCH($A22,'Valo FX'!$A:$A,0)),INDEX(Base!$V:$V,MATCH($A22,Base!$A:$A,0)),0)))</f>
        <v>13.17</v>
      </c>
      <c r="DC22" s="21">
        <f>IF(DC$1&lt;INDEX('Valo FX'!$Q:$Q,MATCH($A22,'Valo FX'!$A:$A,0)),0,IF(DC$1&lt;INDEX('Valo FX'!$R:$R,MATCH($A22,'Valo FX'!$A:$A,0)),INDEX(Base!$U:$U,MATCH($A22,Base!$A:$A,0)),IF(DC$1=INDEX('Valo FX'!$R:$R,MATCH($A22,'Valo FX'!$A:$A,0)),INDEX(Base!$V:$V,MATCH($A22,Base!$A:$A,0)),0)))</f>
        <v>13.17</v>
      </c>
      <c r="DD22" s="21">
        <f>IF(DD$1&lt;INDEX('Valo FX'!$Q:$Q,MATCH($A22,'Valo FX'!$A:$A,0)),0,IF(DD$1&lt;INDEX('Valo FX'!$R:$R,MATCH($A22,'Valo FX'!$A:$A,0)),INDEX(Base!$U:$U,MATCH($A22,Base!$A:$A,0)),IF(DD$1=INDEX('Valo FX'!$R:$R,MATCH($A22,'Valo FX'!$A:$A,0)),INDEX(Base!$V:$V,MATCH($A22,Base!$A:$A,0)),0)))</f>
        <v>13.17</v>
      </c>
      <c r="DE22" s="21">
        <f>IF(DE$1&lt;INDEX('Valo FX'!$Q:$Q,MATCH($A22,'Valo FX'!$A:$A,0)),0,IF(DE$1&lt;INDEX('Valo FX'!$R:$R,MATCH($A22,'Valo FX'!$A:$A,0)),INDEX(Base!$U:$U,MATCH($A22,Base!$A:$A,0)),IF(DE$1=INDEX('Valo FX'!$R:$R,MATCH($A22,'Valo FX'!$A:$A,0)),INDEX(Base!$V:$V,MATCH($A22,Base!$A:$A,0)),0)))</f>
        <v>13.17</v>
      </c>
      <c r="DF22" s="21">
        <f>IF(DF$1&lt;INDEX('Valo FX'!$Q:$Q,MATCH($A22,'Valo FX'!$A:$A,0)),0,IF(DF$1&lt;INDEX('Valo FX'!$R:$R,MATCH($A22,'Valo FX'!$A:$A,0)),INDEX(Base!$U:$U,MATCH($A22,Base!$A:$A,0)),IF(DF$1=INDEX('Valo FX'!$R:$R,MATCH($A22,'Valo FX'!$A:$A,0)),INDEX(Base!$V:$V,MATCH($A22,Base!$A:$A,0)),0)))</f>
        <v>13.17</v>
      </c>
      <c r="DG22" s="21">
        <f>IF(DG$1&lt;INDEX('Valo FX'!$Q:$Q,MATCH($A22,'Valo FX'!$A:$A,0)),0,IF(DG$1&lt;INDEX('Valo FX'!$R:$R,MATCH($A22,'Valo FX'!$A:$A,0)),INDEX(Base!$U:$U,MATCH($A22,Base!$A:$A,0)),IF(DG$1=INDEX('Valo FX'!$R:$R,MATCH($A22,'Valo FX'!$A:$A,0)),INDEX(Base!$V:$V,MATCH($A22,Base!$A:$A,0)),0)))</f>
        <v>13.17</v>
      </c>
      <c r="DH22" s="21">
        <f>IF(DH$1&lt;INDEX('Valo FX'!$Q:$Q,MATCH($A22,'Valo FX'!$A:$A,0)),0,IF(DH$1&lt;INDEX('Valo FX'!$R:$R,MATCH($A22,'Valo FX'!$A:$A,0)),INDEX(Base!$U:$U,MATCH($A22,Base!$A:$A,0)),IF(DH$1=INDEX('Valo FX'!$R:$R,MATCH($A22,'Valo FX'!$A:$A,0)),INDEX(Base!$V:$V,MATCH($A22,Base!$A:$A,0)),0)))</f>
        <v>13.17</v>
      </c>
      <c r="DI22" s="21">
        <f>IF(DI$1&lt;INDEX('Valo FX'!$Q:$Q,MATCH($A22,'Valo FX'!$A:$A,0)),0,IF(DI$1&lt;INDEX('Valo FX'!$R:$R,MATCH($A22,'Valo FX'!$A:$A,0)),INDEX(Base!$U:$U,MATCH($A22,Base!$A:$A,0)),IF(DI$1=INDEX('Valo FX'!$R:$R,MATCH($A22,'Valo FX'!$A:$A,0)),INDEX(Base!$V:$V,MATCH($A22,Base!$A:$A,0)),0)))</f>
        <v>13.17</v>
      </c>
      <c r="DJ22" s="21">
        <f>IF(DJ$1&lt;INDEX('Valo FX'!$Q:$Q,MATCH($A22,'Valo FX'!$A:$A,0)),0,IF(DJ$1&lt;INDEX('Valo FX'!$R:$R,MATCH($A22,'Valo FX'!$A:$A,0)),INDEX(Base!$U:$U,MATCH($A22,Base!$A:$A,0)),IF(DJ$1=INDEX('Valo FX'!$R:$R,MATCH($A22,'Valo FX'!$A:$A,0)),INDEX(Base!$V:$V,MATCH($A22,Base!$A:$A,0)),0)))</f>
        <v>13.17</v>
      </c>
      <c r="DK22" s="21">
        <f>IF(DK$1&lt;INDEX('Valo FX'!$Q:$Q,MATCH($A22,'Valo FX'!$A:$A,0)),0,IF(DK$1&lt;INDEX('Valo FX'!$R:$R,MATCH($A22,'Valo FX'!$A:$A,0)),INDEX(Base!$U:$U,MATCH($A22,Base!$A:$A,0)),IF(DK$1=INDEX('Valo FX'!$R:$R,MATCH($A22,'Valo FX'!$A:$A,0)),INDEX(Base!$V:$V,MATCH($A22,Base!$A:$A,0)),0)))</f>
        <v>13.17</v>
      </c>
      <c r="DL22" s="21">
        <f>IF(DL$1&lt;INDEX('Valo FX'!$Q:$Q,MATCH($A22,'Valo FX'!$A:$A,0)),0,IF(DL$1&lt;INDEX('Valo FX'!$R:$R,MATCH($A22,'Valo FX'!$A:$A,0)),INDEX(Base!$U:$U,MATCH($A22,Base!$A:$A,0)),IF(DL$1=INDEX('Valo FX'!$R:$R,MATCH($A22,'Valo FX'!$A:$A,0)),INDEX(Base!$V:$V,MATCH($A22,Base!$A:$A,0)),0)))</f>
        <v>13.17</v>
      </c>
      <c r="DM22" s="21">
        <f>IF(DM$1&lt;INDEX('Valo FX'!$Q:$Q,MATCH($A22,'Valo FX'!$A:$A,0)),0,IF(DM$1&lt;INDEX('Valo FX'!$R:$R,MATCH($A22,'Valo FX'!$A:$A,0)),INDEX(Base!$U:$U,MATCH($A22,Base!$A:$A,0)),IF(DM$1=INDEX('Valo FX'!$R:$R,MATCH($A22,'Valo FX'!$A:$A,0)),INDEX(Base!$V:$V,MATCH($A22,Base!$A:$A,0)),0)))</f>
        <v>13.17</v>
      </c>
      <c r="DN22" s="21">
        <f>IF(DN$1&lt;INDEX('Valo FX'!$Q:$Q,MATCH($A22,'Valo FX'!$A:$A,0)),0,IF(DN$1&lt;INDEX('Valo FX'!$R:$R,MATCH($A22,'Valo FX'!$A:$A,0)),INDEX(Base!$U:$U,MATCH($A22,Base!$A:$A,0)),IF(DN$1=INDEX('Valo FX'!$R:$R,MATCH($A22,'Valo FX'!$A:$A,0)),INDEX(Base!$V:$V,MATCH($A22,Base!$A:$A,0)),0)))</f>
        <v>13.17</v>
      </c>
      <c r="DO22" s="21">
        <f>IF(DO$1&lt;INDEX('Valo FX'!$Q:$Q,MATCH($A22,'Valo FX'!$A:$A,0)),0,IF(DO$1&lt;INDEX('Valo FX'!$R:$R,MATCH($A22,'Valo FX'!$A:$A,0)),INDEX(Base!$U:$U,MATCH($A22,Base!$A:$A,0)),IF(DO$1=INDEX('Valo FX'!$R:$R,MATCH($A22,'Valo FX'!$A:$A,0)),INDEX(Base!$V:$V,MATCH($A22,Base!$A:$A,0)),0)))</f>
        <v>13.17</v>
      </c>
      <c r="DP22" s="21">
        <f>IF(DP$1&lt;INDEX('Valo FX'!$Q:$Q,MATCH($A22,'Valo FX'!$A:$A,0)),0,IF(DP$1&lt;INDEX('Valo FX'!$R:$R,MATCH($A22,'Valo FX'!$A:$A,0)),INDEX(Base!$U:$U,MATCH($A22,Base!$A:$A,0)),IF(DP$1=INDEX('Valo FX'!$R:$R,MATCH($A22,'Valo FX'!$A:$A,0)),INDEX(Base!$V:$V,MATCH($A22,Base!$A:$A,0)),0)))</f>
        <v>13.17</v>
      </c>
      <c r="DQ22" s="21">
        <f>IF(DQ$1&lt;INDEX('Valo FX'!$Q:$Q,MATCH($A22,'Valo FX'!$A:$A,0)),0,IF(DQ$1&lt;INDEX('Valo FX'!$R:$R,MATCH($A22,'Valo FX'!$A:$A,0)),INDEX(Base!$U:$U,MATCH($A22,Base!$A:$A,0)),IF(DQ$1=INDEX('Valo FX'!$R:$R,MATCH($A22,'Valo FX'!$A:$A,0)),INDEX(Base!$V:$V,MATCH($A22,Base!$A:$A,0)),0)))</f>
        <v>13.17</v>
      </c>
      <c r="DR22" s="21">
        <f>IF(DR$1&lt;INDEX('Valo FX'!$Q:$Q,MATCH($A22,'Valo FX'!$A:$A,0)),0,IF(DR$1&lt;INDEX('Valo FX'!$R:$R,MATCH($A22,'Valo FX'!$A:$A,0)),INDEX(Base!$U:$U,MATCH($A22,Base!$A:$A,0)),IF(DR$1=INDEX('Valo FX'!$R:$R,MATCH($A22,'Valo FX'!$A:$A,0)),INDEX(Base!$V:$V,MATCH($A22,Base!$A:$A,0)),0)))</f>
        <v>13.17</v>
      </c>
      <c r="DS22" s="21">
        <f>IF(DS$1&lt;INDEX('Valo FX'!$Q:$Q,MATCH($A22,'Valo FX'!$A:$A,0)),0,IF(DS$1&lt;INDEX('Valo FX'!$R:$R,MATCH($A22,'Valo FX'!$A:$A,0)),INDEX(Base!$U:$U,MATCH($A22,Base!$A:$A,0)),IF(DS$1=INDEX('Valo FX'!$R:$R,MATCH($A22,'Valo FX'!$A:$A,0)),INDEX(Base!$V:$V,MATCH($A22,Base!$A:$A,0)),0)))</f>
        <v>13.17</v>
      </c>
      <c r="DT22" s="21">
        <f>IF(DT$1&lt;INDEX('Valo FX'!$Q:$Q,MATCH($A22,'Valo FX'!$A:$A,0)),0,IF(DT$1&lt;INDEX('Valo FX'!$R:$R,MATCH($A22,'Valo FX'!$A:$A,0)),INDEX(Base!$U:$U,MATCH($A22,Base!$A:$A,0)),IF(DT$1=INDEX('Valo FX'!$R:$R,MATCH($A22,'Valo FX'!$A:$A,0)),INDEX(Base!$V:$V,MATCH($A22,Base!$A:$A,0)),0)))</f>
        <v>13.17</v>
      </c>
      <c r="DU22" s="21">
        <f>IF(DU$1&lt;INDEX('Valo FX'!$Q:$Q,MATCH($A22,'Valo FX'!$A:$A,0)),0,IF(DU$1&lt;INDEX('Valo FX'!$R:$R,MATCH($A22,'Valo FX'!$A:$A,0)),INDEX(Base!$U:$U,MATCH($A22,Base!$A:$A,0)),IF(DU$1=INDEX('Valo FX'!$R:$R,MATCH($A22,'Valo FX'!$A:$A,0)),INDEX(Base!$V:$V,MATCH($A22,Base!$A:$A,0)),0)))</f>
        <v>13.17</v>
      </c>
      <c r="DV22" s="21">
        <f>IF(DV$1&lt;INDEX('Valo FX'!$Q:$Q,MATCH($A22,'Valo FX'!$A:$A,0)),0,IF(DV$1&lt;INDEX('Valo FX'!$R:$R,MATCH($A22,'Valo FX'!$A:$A,0)),INDEX(Base!$U:$U,MATCH($A22,Base!$A:$A,0)),IF(DV$1=INDEX('Valo FX'!$R:$R,MATCH($A22,'Valo FX'!$A:$A,0)),INDEX(Base!$V:$V,MATCH($A22,Base!$A:$A,0)),0)))</f>
        <v>13.17</v>
      </c>
      <c r="DW22" s="21">
        <f>IF(DW$1&lt;INDEX('Valo FX'!$Q:$Q,MATCH($A22,'Valo FX'!$A:$A,0)),0,IF(DW$1&lt;INDEX('Valo FX'!$R:$R,MATCH($A22,'Valo FX'!$A:$A,0)),INDEX(Base!$U:$U,MATCH($A22,Base!$A:$A,0)),IF(DW$1=INDEX('Valo FX'!$R:$R,MATCH($A22,'Valo FX'!$A:$A,0)),INDEX(Base!$V:$V,MATCH($A22,Base!$A:$A,0)),0)))</f>
        <v>13.17</v>
      </c>
      <c r="DX22" s="21">
        <f>IF(DX$1&lt;INDEX('Valo FX'!$Q:$Q,MATCH($A22,'Valo FX'!$A:$A,0)),0,IF(DX$1&lt;INDEX('Valo FX'!$R:$R,MATCH($A22,'Valo FX'!$A:$A,0)),INDEX(Base!$U:$U,MATCH($A22,Base!$A:$A,0)),IF(DX$1=INDEX('Valo FX'!$R:$R,MATCH($A22,'Valo FX'!$A:$A,0)),INDEX(Base!$V:$V,MATCH($A22,Base!$A:$A,0)),0)))</f>
        <v>13.17</v>
      </c>
      <c r="DY22" s="21">
        <f>IF(DY$1&lt;INDEX('Valo FX'!$Q:$Q,MATCH($A22,'Valo FX'!$A:$A,0)),0,IF(DY$1&lt;INDEX('Valo FX'!$R:$R,MATCH($A22,'Valo FX'!$A:$A,0)),INDEX(Base!$U:$U,MATCH($A22,Base!$A:$A,0)),IF(DY$1=INDEX('Valo FX'!$R:$R,MATCH($A22,'Valo FX'!$A:$A,0)),INDEX(Base!$V:$V,MATCH($A22,Base!$A:$A,0)),0)))</f>
        <v>13.17</v>
      </c>
      <c r="DZ22" s="21">
        <f>IF(DZ$1&lt;INDEX('Valo FX'!$Q:$Q,MATCH($A22,'Valo FX'!$A:$A,0)),0,IF(DZ$1&lt;INDEX('Valo FX'!$R:$R,MATCH($A22,'Valo FX'!$A:$A,0)),INDEX(Base!$U:$U,MATCH($A22,Base!$A:$A,0)),IF(DZ$1=INDEX('Valo FX'!$R:$R,MATCH($A22,'Valo FX'!$A:$A,0)),INDEX(Base!$V:$V,MATCH($A22,Base!$A:$A,0)),0)))</f>
        <v>13.17</v>
      </c>
      <c r="EA22" s="21">
        <f>IF(EA$1&lt;INDEX('Valo FX'!$Q:$Q,MATCH($A22,'Valo FX'!$A:$A,0)),0,IF(EA$1&lt;INDEX('Valo FX'!$R:$R,MATCH($A22,'Valo FX'!$A:$A,0)),INDEX(Base!$U:$U,MATCH($A22,Base!$A:$A,0)),IF(EA$1=INDEX('Valo FX'!$R:$R,MATCH($A22,'Valo FX'!$A:$A,0)),INDEX(Base!$V:$V,MATCH($A22,Base!$A:$A,0)),0)))</f>
        <v>13.17</v>
      </c>
      <c r="EB22" s="21">
        <f>IF(EB$1&lt;INDEX('Valo FX'!$Q:$Q,MATCH($A22,'Valo FX'!$A:$A,0)),0,IF(EB$1&lt;INDEX('Valo FX'!$R:$R,MATCH($A22,'Valo FX'!$A:$A,0)),INDEX(Base!$U:$U,MATCH($A22,Base!$A:$A,0)),IF(EB$1=INDEX('Valo FX'!$R:$R,MATCH($A22,'Valo FX'!$A:$A,0)),INDEX(Base!$V:$V,MATCH($A22,Base!$A:$A,0)),0)))</f>
        <v>13.17</v>
      </c>
      <c r="EC22" s="21">
        <f>IF(EC$1&lt;INDEX('Valo FX'!$Q:$Q,MATCH($A22,'Valo FX'!$A:$A,0)),0,IF(EC$1&lt;INDEX('Valo FX'!$R:$R,MATCH($A22,'Valo FX'!$A:$A,0)),INDEX(Base!$U:$U,MATCH($A22,Base!$A:$A,0)),IF(EC$1=INDEX('Valo FX'!$R:$R,MATCH($A22,'Valo FX'!$A:$A,0)),INDEX(Base!$V:$V,MATCH($A22,Base!$A:$A,0)),0)))</f>
        <v>13.17</v>
      </c>
      <c r="ED22" s="21">
        <f>IF(ED$1&lt;INDEX('Valo FX'!$Q:$Q,MATCH($A22,'Valo FX'!$A:$A,0)),0,IF(ED$1&lt;INDEX('Valo FX'!$R:$R,MATCH($A22,'Valo FX'!$A:$A,0)),INDEX(Base!$U:$U,MATCH($A22,Base!$A:$A,0)),IF(ED$1=INDEX('Valo FX'!$R:$R,MATCH($A22,'Valo FX'!$A:$A,0)),INDEX(Base!$V:$V,MATCH($A22,Base!$A:$A,0)),0)))</f>
        <v>13.17</v>
      </c>
      <c r="EE22" s="21">
        <f>IF(EE$1&lt;INDEX('Valo FX'!$Q:$Q,MATCH($A22,'Valo FX'!$A:$A,0)),0,IF(EE$1&lt;INDEX('Valo FX'!$R:$R,MATCH($A22,'Valo FX'!$A:$A,0)),INDEX(Base!$U:$U,MATCH($A22,Base!$A:$A,0)),IF(EE$1=INDEX('Valo FX'!$R:$R,MATCH($A22,'Valo FX'!$A:$A,0)),INDEX(Base!$V:$V,MATCH($A22,Base!$A:$A,0)),0)))</f>
        <v>13.17</v>
      </c>
      <c r="EF22" s="21">
        <f>IF(EF$1&lt;INDEX('Valo FX'!$Q:$Q,MATCH($A22,'Valo FX'!$A:$A,0)),0,IF(EF$1&lt;INDEX('Valo FX'!$R:$R,MATCH($A22,'Valo FX'!$A:$A,0)),INDEX(Base!$U:$U,MATCH($A22,Base!$A:$A,0)),IF(EF$1=INDEX('Valo FX'!$R:$R,MATCH($A22,'Valo FX'!$A:$A,0)),INDEX(Base!$V:$V,MATCH($A22,Base!$A:$A,0)),0)))</f>
        <v>13.17</v>
      </c>
      <c r="EG22" s="21">
        <f>IF(EG$1&lt;INDEX('Valo FX'!$Q:$Q,MATCH($A22,'Valo FX'!$A:$A,0)),0,IF(EG$1&lt;INDEX('Valo FX'!$R:$R,MATCH($A22,'Valo FX'!$A:$A,0)),INDEX(Base!$U:$U,MATCH($A22,Base!$A:$A,0)),IF(EG$1=INDEX('Valo FX'!$R:$R,MATCH($A22,'Valo FX'!$A:$A,0)),INDEX(Base!$V:$V,MATCH($A22,Base!$A:$A,0)),0)))</f>
        <v>13.17</v>
      </c>
      <c r="EH22" s="21">
        <f>IF(EH$1&lt;INDEX('Valo FX'!$Q:$Q,MATCH($A22,'Valo FX'!$A:$A,0)),0,IF(EH$1&lt;INDEX('Valo FX'!$R:$R,MATCH($A22,'Valo FX'!$A:$A,0)),INDEX(Base!$U:$U,MATCH($A22,Base!$A:$A,0)),IF(EH$1=INDEX('Valo FX'!$R:$R,MATCH($A22,'Valo FX'!$A:$A,0)),INDEX(Base!$V:$V,MATCH($A22,Base!$A:$A,0)),0)))</f>
        <v>13.17</v>
      </c>
      <c r="EI22" s="21">
        <f>IF(EI$1&lt;INDEX('Valo FX'!$Q:$Q,MATCH($A22,'Valo FX'!$A:$A,0)),0,IF(EI$1&lt;INDEX('Valo FX'!$R:$R,MATCH($A22,'Valo FX'!$A:$A,0)),INDEX(Base!$U:$U,MATCH($A22,Base!$A:$A,0)),IF(EI$1=INDEX('Valo FX'!$R:$R,MATCH($A22,'Valo FX'!$A:$A,0)),INDEX(Base!$V:$V,MATCH($A22,Base!$A:$A,0)),0)))</f>
        <v>13.17</v>
      </c>
      <c r="EJ22" s="21">
        <f>IF(EJ$1&lt;INDEX('Valo FX'!$Q:$Q,MATCH($A22,'Valo FX'!$A:$A,0)),0,IF(EJ$1&lt;INDEX('Valo FX'!$R:$R,MATCH($A22,'Valo FX'!$A:$A,0)),INDEX(Base!$U:$U,MATCH($A22,Base!$A:$A,0)),IF(EJ$1=INDEX('Valo FX'!$R:$R,MATCH($A22,'Valo FX'!$A:$A,0)),INDEX(Base!$V:$V,MATCH($A22,Base!$A:$A,0)),0)))</f>
        <v>13.17</v>
      </c>
      <c r="EK22" s="21">
        <f>IF(EK$1&lt;INDEX('Valo FX'!$Q:$Q,MATCH($A22,'Valo FX'!$A:$A,0)),0,IF(EK$1&lt;INDEX('Valo FX'!$R:$R,MATCH($A22,'Valo FX'!$A:$A,0)),INDEX(Base!$U:$U,MATCH($A22,Base!$A:$A,0)),IF(EK$1=INDEX('Valo FX'!$R:$R,MATCH($A22,'Valo FX'!$A:$A,0)),INDEX(Base!$V:$V,MATCH($A22,Base!$A:$A,0)),0)))</f>
        <v>13.17</v>
      </c>
      <c r="EL22" s="21">
        <f>IF(EL$1&lt;INDEX('Valo FX'!$Q:$Q,MATCH($A22,'Valo FX'!$A:$A,0)),0,IF(EL$1&lt;INDEX('Valo FX'!$R:$R,MATCH($A22,'Valo FX'!$A:$A,0)),INDEX(Base!$U:$U,MATCH($A22,Base!$A:$A,0)),IF(EL$1=INDEX('Valo FX'!$R:$R,MATCH($A22,'Valo FX'!$A:$A,0)),INDEX(Base!$V:$V,MATCH($A22,Base!$A:$A,0)),0)))</f>
        <v>13.17</v>
      </c>
      <c r="EM22" s="21">
        <f>IF(EM$1&lt;INDEX('Valo FX'!$Q:$Q,MATCH($A22,'Valo FX'!$A:$A,0)),0,IF(EM$1&lt;INDEX('Valo FX'!$R:$R,MATCH($A22,'Valo FX'!$A:$A,0)),INDEX(Base!$U:$U,MATCH($A22,Base!$A:$A,0)),IF(EM$1=INDEX('Valo FX'!$R:$R,MATCH($A22,'Valo FX'!$A:$A,0)),INDEX(Base!$V:$V,MATCH($A22,Base!$A:$A,0)),0)))</f>
        <v>13.17</v>
      </c>
      <c r="EN22" s="21">
        <f>IF(EN$1&lt;INDEX('Valo FX'!$Q:$Q,MATCH($A22,'Valo FX'!$A:$A,0)),0,IF(EN$1&lt;INDEX('Valo FX'!$R:$R,MATCH($A22,'Valo FX'!$A:$A,0)),INDEX(Base!$U:$U,MATCH($A22,Base!$A:$A,0)),IF(EN$1=INDEX('Valo FX'!$R:$R,MATCH($A22,'Valo FX'!$A:$A,0)),INDEX(Base!$V:$V,MATCH($A22,Base!$A:$A,0)),0)))</f>
        <v>13.17</v>
      </c>
      <c r="EO22" s="21">
        <f>IF(EO$1&lt;INDEX('Valo FX'!$Q:$Q,MATCH($A22,'Valo FX'!$A:$A,0)),0,IF(EO$1&lt;INDEX('Valo FX'!$R:$R,MATCH($A22,'Valo FX'!$A:$A,0)),INDEX(Base!$U:$U,MATCH($A22,Base!$A:$A,0)),IF(EO$1=INDEX('Valo FX'!$R:$R,MATCH($A22,'Valo FX'!$A:$A,0)),INDEX(Base!$V:$V,MATCH($A22,Base!$A:$A,0)),0)))</f>
        <v>13.17</v>
      </c>
      <c r="EP22" s="21">
        <f>IF(EP$1&lt;INDEX('Valo FX'!$Q:$Q,MATCH($A22,'Valo FX'!$A:$A,0)),0,IF(EP$1&lt;INDEX('Valo FX'!$R:$R,MATCH($A22,'Valo FX'!$A:$A,0)),INDEX(Base!$U:$U,MATCH($A22,Base!$A:$A,0)),IF(EP$1=INDEX('Valo FX'!$R:$R,MATCH($A22,'Valo FX'!$A:$A,0)),INDEX(Base!$V:$V,MATCH($A22,Base!$A:$A,0)),0)))</f>
        <v>13.17</v>
      </c>
      <c r="EQ22" s="21">
        <f>IF(EQ$1&lt;INDEX('Valo FX'!$Q:$Q,MATCH($A22,'Valo FX'!$A:$A,0)),0,IF(EQ$1&lt;INDEX('Valo FX'!$R:$R,MATCH($A22,'Valo FX'!$A:$A,0)),INDEX(Base!$U:$U,MATCH($A22,Base!$A:$A,0)),IF(EQ$1=INDEX('Valo FX'!$R:$R,MATCH($A22,'Valo FX'!$A:$A,0)),INDEX(Base!$V:$V,MATCH($A22,Base!$A:$A,0)),0)))</f>
        <v>13.17</v>
      </c>
      <c r="ER22" s="21">
        <f>IF(ER$1&lt;INDEX('Valo FX'!$Q:$Q,MATCH($A22,'Valo FX'!$A:$A,0)),0,IF(ER$1&lt;INDEX('Valo FX'!$R:$R,MATCH($A22,'Valo FX'!$A:$A,0)),INDEX(Base!$U:$U,MATCH($A22,Base!$A:$A,0)),IF(ER$1=INDEX('Valo FX'!$R:$R,MATCH($A22,'Valo FX'!$A:$A,0)),INDEX(Base!$V:$V,MATCH($A22,Base!$A:$A,0)),0)))</f>
        <v>13.17</v>
      </c>
      <c r="ES22" s="21">
        <f>IF(ES$1&lt;INDEX('Valo FX'!$Q:$Q,MATCH($A22,'Valo FX'!$A:$A,0)),0,IF(ES$1&lt;INDEX('Valo FX'!$R:$R,MATCH($A22,'Valo FX'!$A:$A,0)),INDEX(Base!$U:$U,MATCH($A22,Base!$A:$A,0)),IF(ES$1=INDEX('Valo FX'!$R:$R,MATCH($A22,'Valo FX'!$A:$A,0)),INDEX(Base!$V:$V,MATCH($A22,Base!$A:$A,0)),0)))</f>
        <v>13.17</v>
      </c>
      <c r="ET22" s="21">
        <f>IF(ET$1&lt;INDEX('Valo FX'!$Q:$Q,MATCH($A22,'Valo FX'!$A:$A,0)),0,IF(ET$1&lt;INDEX('Valo FX'!$R:$R,MATCH($A22,'Valo FX'!$A:$A,0)),INDEX(Base!$U:$U,MATCH($A22,Base!$A:$A,0)),IF(ET$1=INDEX('Valo FX'!$R:$R,MATCH($A22,'Valo FX'!$A:$A,0)),INDEX(Base!$V:$V,MATCH($A22,Base!$A:$A,0)),0)))</f>
        <v>13.17</v>
      </c>
      <c r="EU22" s="21">
        <f>IF(EU$1&lt;INDEX('Valo FX'!$Q:$Q,MATCH($A22,'Valo FX'!$A:$A,0)),0,IF(EU$1&lt;INDEX('Valo FX'!$R:$R,MATCH($A22,'Valo FX'!$A:$A,0)),INDEX(Base!$U:$U,MATCH($A22,Base!$A:$A,0)),IF(EU$1=INDEX('Valo FX'!$R:$R,MATCH($A22,'Valo FX'!$A:$A,0)),INDEX(Base!$V:$V,MATCH($A22,Base!$A:$A,0)),0)))</f>
        <v>13.17</v>
      </c>
      <c r="EV22" s="21">
        <f>IF(EV$1&lt;INDEX('Valo FX'!$Q:$Q,MATCH($A22,'Valo FX'!$A:$A,0)),0,IF(EV$1&lt;INDEX('Valo FX'!$R:$R,MATCH($A22,'Valo FX'!$A:$A,0)),INDEX(Base!$U:$U,MATCH($A22,Base!$A:$A,0)),IF(EV$1=INDEX('Valo FX'!$R:$R,MATCH($A22,'Valo FX'!$A:$A,0)),INDEX(Base!$V:$V,MATCH($A22,Base!$A:$A,0)),0)))</f>
        <v>13.17</v>
      </c>
      <c r="EW22" s="21">
        <f>IF(EW$1&lt;INDEX('Valo FX'!$Q:$Q,MATCH($A22,'Valo FX'!$A:$A,0)),0,IF(EW$1&lt;INDEX('Valo FX'!$R:$R,MATCH($A22,'Valo FX'!$A:$A,0)),INDEX(Base!$U:$U,MATCH($A22,Base!$A:$A,0)),IF(EW$1=INDEX('Valo FX'!$R:$R,MATCH($A22,'Valo FX'!$A:$A,0)),INDEX(Base!$V:$V,MATCH($A22,Base!$A:$A,0)),0)))</f>
        <v>13.17</v>
      </c>
      <c r="EX22" s="21">
        <f>IF(EX$1&lt;INDEX('Valo FX'!$Q:$Q,MATCH($A22,'Valo FX'!$A:$A,0)),0,IF(EX$1&lt;INDEX('Valo FX'!$R:$R,MATCH($A22,'Valo FX'!$A:$A,0)),INDEX(Base!$U:$U,MATCH($A22,Base!$A:$A,0)),IF(EX$1=INDEX('Valo FX'!$R:$R,MATCH($A22,'Valo FX'!$A:$A,0)),INDEX(Base!$V:$V,MATCH($A22,Base!$A:$A,0)),0)))</f>
        <v>13.17</v>
      </c>
      <c r="EY22" s="21">
        <f>IF(EY$1&lt;INDEX('Valo FX'!$Q:$Q,MATCH($A22,'Valo FX'!$A:$A,0)),0,IF(EY$1&lt;INDEX('Valo FX'!$R:$R,MATCH($A22,'Valo FX'!$A:$A,0)),INDEX(Base!$U:$U,MATCH($A22,Base!$A:$A,0)),IF(EY$1=INDEX('Valo FX'!$R:$R,MATCH($A22,'Valo FX'!$A:$A,0)),INDEX(Base!$V:$V,MATCH($A22,Base!$A:$A,0)),0)))</f>
        <v>13.17</v>
      </c>
      <c r="EZ22" s="21">
        <f>IF(EZ$1&lt;INDEX('Valo FX'!$Q:$Q,MATCH($A22,'Valo FX'!$A:$A,0)),0,IF(EZ$1&lt;INDEX('Valo FX'!$R:$R,MATCH($A22,'Valo FX'!$A:$A,0)),INDEX(Base!$U:$U,MATCH($A22,Base!$A:$A,0)),IF(EZ$1=INDEX('Valo FX'!$R:$R,MATCH($A22,'Valo FX'!$A:$A,0)),INDEX(Base!$V:$V,MATCH($A22,Base!$A:$A,0)),0)))</f>
        <v>13.17</v>
      </c>
      <c r="FA22" s="21">
        <f>IF(FA$1&lt;INDEX('Valo FX'!$Q:$Q,MATCH($A22,'Valo FX'!$A:$A,0)),0,IF(FA$1&lt;INDEX('Valo FX'!$R:$R,MATCH($A22,'Valo FX'!$A:$A,0)),INDEX(Base!$U:$U,MATCH($A22,Base!$A:$A,0)),IF(FA$1=INDEX('Valo FX'!$R:$R,MATCH($A22,'Valo FX'!$A:$A,0)),INDEX(Base!$V:$V,MATCH($A22,Base!$A:$A,0)),0)))</f>
        <v>13.17</v>
      </c>
      <c r="FB22" s="21">
        <f>IF(FB$1&lt;INDEX('Valo FX'!$Q:$Q,MATCH($A22,'Valo FX'!$A:$A,0)),0,IF(FB$1&lt;INDEX('Valo FX'!$R:$R,MATCH($A22,'Valo FX'!$A:$A,0)),INDEX(Base!$U:$U,MATCH($A22,Base!$A:$A,0)),IF(FB$1=INDEX('Valo FX'!$R:$R,MATCH($A22,'Valo FX'!$A:$A,0)),INDEX(Base!$V:$V,MATCH($A22,Base!$A:$A,0)),0)))</f>
        <v>13.17</v>
      </c>
      <c r="FC22" s="21">
        <f>IF(FC$1&lt;INDEX('Valo FX'!$Q:$Q,MATCH($A22,'Valo FX'!$A:$A,0)),0,IF(FC$1&lt;INDEX('Valo FX'!$R:$R,MATCH($A22,'Valo FX'!$A:$A,0)),INDEX(Base!$U:$U,MATCH($A22,Base!$A:$A,0)),IF(FC$1=INDEX('Valo FX'!$R:$R,MATCH($A22,'Valo FX'!$A:$A,0)),INDEX(Base!$V:$V,MATCH($A22,Base!$A:$A,0)),0)))</f>
        <v>13.17</v>
      </c>
      <c r="FD22" s="21">
        <f>IF(FD$1&lt;INDEX('Valo FX'!$Q:$Q,MATCH($A22,'Valo FX'!$A:$A,0)),0,IF(FD$1&lt;INDEX('Valo FX'!$R:$R,MATCH($A22,'Valo FX'!$A:$A,0)),INDEX(Base!$U:$U,MATCH($A22,Base!$A:$A,0)),IF(FD$1=INDEX('Valo FX'!$R:$R,MATCH($A22,'Valo FX'!$A:$A,0)),INDEX(Base!$V:$V,MATCH($A22,Base!$A:$A,0)),0)))</f>
        <v>13.17</v>
      </c>
      <c r="FE22" s="21">
        <f>IF(FE$1&lt;INDEX('Valo FX'!$Q:$Q,MATCH($A22,'Valo FX'!$A:$A,0)),0,IF(FE$1&lt;INDEX('Valo FX'!$R:$R,MATCH($A22,'Valo FX'!$A:$A,0)),INDEX(Base!$U:$U,MATCH($A22,Base!$A:$A,0)),IF(FE$1=INDEX('Valo FX'!$R:$R,MATCH($A22,'Valo FX'!$A:$A,0)),INDEX(Base!$V:$V,MATCH($A22,Base!$A:$A,0)),0)))</f>
        <v>13.17</v>
      </c>
      <c r="FF22" s="21">
        <f>IF(FF$1&lt;INDEX('Valo FX'!$Q:$Q,MATCH($A22,'Valo FX'!$A:$A,0)),0,IF(FF$1&lt;INDEX('Valo FX'!$R:$R,MATCH($A22,'Valo FX'!$A:$A,0)),INDEX(Base!$U:$U,MATCH($A22,Base!$A:$A,0)),IF(FF$1=INDEX('Valo FX'!$R:$R,MATCH($A22,'Valo FX'!$A:$A,0)),INDEX(Base!$V:$V,MATCH($A22,Base!$A:$A,0)),0)))</f>
        <v>13.17</v>
      </c>
      <c r="FG22" s="21">
        <f>IF(FG$1&lt;INDEX('Valo FX'!$Q:$Q,MATCH($A22,'Valo FX'!$A:$A,0)),0,IF(FG$1&lt;INDEX('Valo FX'!$R:$R,MATCH($A22,'Valo FX'!$A:$A,0)),INDEX(Base!$U:$U,MATCH($A22,Base!$A:$A,0)),IF(FG$1=INDEX('Valo FX'!$R:$R,MATCH($A22,'Valo FX'!$A:$A,0)),INDEX(Base!$V:$V,MATCH($A22,Base!$A:$A,0)),0)))</f>
        <v>13.17</v>
      </c>
      <c r="FH22" s="21">
        <f>IF(FH$1&lt;INDEX('Valo FX'!$Q:$Q,MATCH($A22,'Valo FX'!$A:$A,0)),0,IF(FH$1&lt;INDEX('Valo FX'!$R:$R,MATCH($A22,'Valo FX'!$A:$A,0)),INDEX(Base!$U:$U,MATCH($A22,Base!$A:$A,0)),IF(FH$1=INDEX('Valo FX'!$R:$R,MATCH($A22,'Valo FX'!$A:$A,0)),INDEX(Base!$V:$V,MATCH($A22,Base!$A:$A,0)),0)))</f>
        <v>13.17</v>
      </c>
      <c r="FI22" s="21">
        <f>IF(FI$1&lt;INDEX('Valo FX'!$Q:$Q,MATCH($A22,'Valo FX'!$A:$A,0)),0,IF(FI$1&lt;INDEX('Valo FX'!$R:$R,MATCH($A22,'Valo FX'!$A:$A,0)),INDEX(Base!$U:$U,MATCH($A22,Base!$A:$A,0)),IF(FI$1=INDEX('Valo FX'!$R:$R,MATCH($A22,'Valo FX'!$A:$A,0)),INDEX(Base!$V:$V,MATCH($A22,Base!$A:$A,0)),0)))</f>
        <v>13.17</v>
      </c>
      <c r="FJ22" s="21">
        <f>IF(FJ$1&lt;INDEX('Valo FX'!$Q:$Q,MATCH($A22,'Valo FX'!$A:$A,0)),0,IF(FJ$1&lt;INDEX('Valo FX'!$R:$R,MATCH($A22,'Valo FX'!$A:$A,0)),INDEX(Base!$U:$U,MATCH($A22,Base!$A:$A,0)),IF(FJ$1=INDEX('Valo FX'!$R:$R,MATCH($A22,'Valo FX'!$A:$A,0)),INDEX(Base!$V:$V,MATCH($A22,Base!$A:$A,0)),0)))</f>
        <v>13.17</v>
      </c>
      <c r="FK22" s="21">
        <f>IF(FK$1&lt;INDEX('Valo FX'!$Q:$Q,MATCH($A22,'Valo FX'!$A:$A,0)),0,IF(FK$1&lt;INDEX('Valo FX'!$R:$R,MATCH($A22,'Valo FX'!$A:$A,0)),INDEX(Base!$U:$U,MATCH($A22,Base!$A:$A,0)),IF(FK$1=INDEX('Valo FX'!$R:$R,MATCH($A22,'Valo FX'!$A:$A,0)),INDEX(Base!$V:$V,MATCH($A22,Base!$A:$A,0)),0)))</f>
        <v>13.17</v>
      </c>
      <c r="FL22" s="21">
        <f>IF(FL$1&lt;INDEX('Valo FX'!$Q:$Q,MATCH($A22,'Valo FX'!$A:$A,0)),0,IF(FL$1&lt;INDEX('Valo FX'!$R:$R,MATCH($A22,'Valo FX'!$A:$A,0)),INDEX(Base!$U:$U,MATCH($A22,Base!$A:$A,0)),IF(FL$1=INDEX('Valo FX'!$R:$R,MATCH($A22,'Valo FX'!$A:$A,0)),INDEX(Base!$V:$V,MATCH($A22,Base!$A:$A,0)),0)))</f>
        <v>13.17</v>
      </c>
      <c r="FM22" s="21">
        <f>IF(FM$1&lt;INDEX('Valo FX'!$Q:$Q,MATCH($A22,'Valo FX'!$A:$A,0)),0,IF(FM$1&lt;INDEX('Valo FX'!$R:$R,MATCH($A22,'Valo FX'!$A:$A,0)),INDEX(Base!$U:$U,MATCH($A22,Base!$A:$A,0)),IF(FM$1=INDEX('Valo FX'!$R:$R,MATCH($A22,'Valo FX'!$A:$A,0)),INDEX(Base!$V:$V,MATCH($A22,Base!$A:$A,0)),0)))</f>
        <v>13.17</v>
      </c>
      <c r="FN22" s="21">
        <f>IF(FN$1&lt;INDEX('Valo FX'!$Q:$Q,MATCH($A22,'Valo FX'!$A:$A,0)),0,IF(FN$1&lt;INDEX('Valo FX'!$R:$R,MATCH($A22,'Valo FX'!$A:$A,0)),INDEX(Base!$U:$U,MATCH($A22,Base!$A:$A,0)),IF(FN$1=INDEX('Valo FX'!$R:$R,MATCH($A22,'Valo FX'!$A:$A,0)),INDEX(Base!$V:$V,MATCH($A22,Base!$A:$A,0)),0)))</f>
        <v>13.17</v>
      </c>
      <c r="FO22" s="21">
        <f>IF(FO$1&lt;INDEX('Valo FX'!$Q:$Q,MATCH($A22,'Valo FX'!$A:$A,0)),0,IF(FO$1&lt;INDEX('Valo FX'!$R:$R,MATCH($A22,'Valo FX'!$A:$A,0)),INDEX(Base!$U:$U,MATCH($A22,Base!$A:$A,0)),IF(FO$1=INDEX('Valo FX'!$R:$R,MATCH($A22,'Valo FX'!$A:$A,0)),INDEX(Base!$V:$V,MATCH($A22,Base!$A:$A,0)),0)))</f>
        <v>13.17</v>
      </c>
      <c r="FP22" s="21">
        <f>IF(FP$1&lt;INDEX('Valo FX'!$Q:$Q,MATCH($A22,'Valo FX'!$A:$A,0)),0,IF(FP$1&lt;INDEX('Valo FX'!$R:$R,MATCH($A22,'Valo FX'!$A:$A,0)),INDEX(Base!$U:$U,MATCH($A22,Base!$A:$A,0)),IF(FP$1=INDEX('Valo FX'!$R:$R,MATCH($A22,'Valo FX'!$A:$A,0)),INDEX(Base!$V:$V,MATCH($A22,Base!$A:$A,0)),0)))</f>
        <v>13.17</v>
      </c>
      <c r="FQ22" s="21">
        <f>IF(FQ$1&lt;INDEX('Valo FX'!$Q:$Q,MATCH($A22,'Valo FX'!$A:$A,0)),0,IF(FQ$1&lt;INDEX('Valo FX'!$R:$R,MATCH($A22,'Valo FX'!$A:$A,0)),INDEX(Base!$U:$U,MATCH($A22,Base!$A:$A,0)),IF(FQ$1=INDEX('Valo FX'!$R:$R,MATCH($A22,'Valo FX'!$A:$A,0)),INDEX(Base!$V:$V,MATCH($A22,Base!$A:$A,0)),0)))</f>
        <v>13.17</v>
      </c>
      <c r="FR22" s="21">
        <f>IF(FR$1&lt;INDEX('Valo FX'!$Q:$Q,MATCH($A22,'Valo FX'!$A:$A,0)),0,IF(FR$1&lt;INDEX('Valo FX'!$R:$R,MATCH($A22,'Valo FX'!$A:$A,0)),INDEX(Base!$U:$U,MATCH($A22,Base!$A:$A,0)),IF(FR$1=INDEX('Valo FX'!$R:$R,MATCH($A22,'Valo FX'!$A:$A,0)),INDEX(Base!$V:$V,MATCH($A22,Base!$A:$A,0)),0)))</f>
        <v>13.17</v>
      </c>
      <c r="FS22" s="21">
        <f>IF(FS$1&lt;INDEX('Valo FX'!$Q:$Q,MATCH($A22,'Valo FX'!$A:$A,0)),0,IF(FS$1&lt;INDEX('Valo FX'!$R:$R,MATCH($A22,'Valo FX'!$A:$A,0)),INDEX(Base!$U:$U,MATCH($A22,Base!$A:$A,0)),IF(FS$1=INDEX('Valo FX'!$R:$R,MATCH($A22,'Valo FX'!$A:$A,0)),INDEX(Base!$V:$V,MATCH($A22,Base!$A:$A,0)),0)))</f>
        <v>13.17</v>
      </c>
      <c r="FT22" s="21">
        <f>IF(FT$1&lt;INDEX('Valo FX'!$Q:$Q,MATCH($A22,'Valo FX'!$A:$A,0)),0,IF(FT$1&lt;INDEX('Valo FX'!$R:$R,MATCH($A22,'Valo FX'!$A:$A,0)),INDEX(Base!$U:$U,MATCH($A22,Base!$A:$A,0)),IF(FT$1=INDEX('Valo FX'!$R:$R,MATCH($A22,'Valo FX'!$A:$A,0)),INDEX(Base!$V:$V,MATCH($A22,Base!$A:$A,0)),0)))</f>
        <v>13.17</v>
      </c>
      <c r="FU22" s="21">
        <f>IF(FU$1&lt;INDEX('Valo FX'!$Q:$Q,MATCH($A22,'Valo FX'!$A:$A,0)),0,IF(FU$1&lt;INDEX('Valo FX'!$R:$R,MATCH($A22,'Valo FX'!$A:$A,0)),INDEX(Base!$U:$U,MATCH($A22,Base!$A:$A,0)),IF(FU$1=INDEX('Valo FX'!$R:$R,MATCH($A22,'Valo FX'!$A:$A,0)),INDEX(Base!$V:$V,MATCH($A22,Base!$A:$A,0)),0)))</f>
        <v>13.17</v>
      </c>
      <c r="FV22" s="21">
        <f>IF(FV$1&lt;INDEX('Valo FX'!$Q:$Q,MATCH($A22,'Valo FX'!$A:$A,0)),0,IF(FV$1&lt;INDEX('Valo FX'!$R:$R,MATCH($A22,'Valo FX'!$A:$A,0)),INDEX(Base!$U:$U,MATCH($A22,Base!$A:$A,0)),IF(FV$1=INDEX('Valo FX'!$R:$R,MATCH($A22,'Valo FX'!$A:$A,0)),INDEX(Base!$V:$V,MATCH($A22,Base!$A:$A,0)),0)))</f>
        <v>13.17</v>
      </c>
      <c r="FW22" s="21">
        <f>IF(FW$1&lt;INDEX('Valo FX'!$Q:$Q,MATCH($A22,'Valo FX'!$A:$A,0)),0,IF(FW$1&lt;INDEX('Valo FX'!$R:$R,MATCH($A22,'Valo FX'!$A:$A,0)),INDEX(Base!$U:$U,MATCH($A22,Base!$A:$A,0)),IF(FW$1=INDEX('Valo FX'!$R:$R,MATCH($A22,'Valo FX'!$A:$A,0)),INDEX(Base!$V:$V,MATCH($A22,Base!$A:$A,0)),0)))</f>
        <v>13.17</v>
      </c>
      <c r="FX22" s="21">
        <f>IF(FX$1&lt;INDEX('Valo FX'!$Q:$Q,MATCH($A22,'Valo FX'!$A:$A,0)),0,IF(FX$1&lt;INDEX('Valo FX'!$R:$R,MATCH($A22,'Valo FX'!$A:$A,0)),INDEX(Base!$U:$U,MATCH($A22,Base!$A:$A,0)),IF(FX$1=INDEX('Valo FX'!$R:$R,MATCH($A22,'Valo FX'!$A:$A,0)),INDEX(Base!$V:$V,MATCH($A22,Base!$A:$A,0)),0)))</f>
        <v>13.17</v>
      </c>
      <c r="FY22" s="21">
        <f>IF(FY$1&lt;INDEX('Valo FX'!$Q:$Q,MATCH($A22,'Valo FX'!$A:$A,0)),0,IF(FY$1&lt;INDEX('Valo FX'!$R:$R,MATCH($A22,'Valo FX'!$A:$A,0)),INDEX(Base!$U:$U,MATCH($A22,Base!$A:$A,0)),IF(FY$1=INDEX('Valo FX'!$R:$R,MATCH($A22,'Valo FX'!$A:$A,0)),INDEX(Base!$V:$V,MATCH($A22,Base!$A:$A,0)),0)))</f>
        <v>13.17</v>
      </c>
      <c r="FZ22" s="21">
        <f>IF(FZ$1&lt;INDEX('Valo FX'!$Q:$Q,MATCH($A22,'Valo FX'!$A:$A,0)),0,IF(FZ$1&lt;INDEX('Valo FX'!$R:$R,MATCH($A22,'Valo FX'!$A:$A,0)),INDEX(Base!$U:$U,MATCH($A22,Base!$A:$A,0)),IF(FZ$1=INDEX('Valo FX'!$R:$R,MATCH($A22,'Valo FX'!$A:$A,0)),INDEX(Base!$V:$V,MATCH($A22,Base!$A:$A,0)),0)))</f>
        <v>13.17</v>
      </c>
      <c r="GA22" s="21">
        <f>IF(GA$1&lt;INDEX('Valo FX'!$Q:$Q,MATCH($A22,'Valo FX'!$A:$A,0)),0,IF(GA$1&lt;INDEX('Valo FX'!$R:$R,MATCH($A22,'Valo FX'!$A:$A,0)),INDEX(Base!$U:$U,MATCH($A22,Base!$A:$A,0)),IF(GA$1=INDEX('Valo FX'!$R:$R,MATCH($A22,'Valo FX'!$A:$A,0)),INDEX(Base!$V:$V,MATCH($A22,Base!$A:$A,0)),0)))</f>
        <v>13.17</v>
      </c>
      <c r="GB22" s="21">
        <f>IF(GB$1&lt;INDEX('Valo FX'!$Q:$Q,MATCH($A22,'Valo FX'!$A:$A,0)),0,IF(GB$1&lt;INDEX('Valo FX'!$R:$R,MATCH($A22,'Valo FX'!$A:$A,0)),INDEX(Base!$U:$U,MATCH($A22,Base!$A:$A,0)),IF(GB$1=INDEX('Valo FX'!$R:$R,MATCH($A22,'Valo FX'!$A:$A,0)),INDEX(Base!$V:$V,MATCH($A22,Base!$A:$A,0)),0)))</f>
        <v>13.17</v>
      </c>
      <c r="GC22" s="21">
        <f>IF(GC$1&lt;INDEX('Valo FX'!$Q:$Q,MATCH($A22,'Valo FX'!$A:$A,0)),0,IF(GC$1&lt;INDEX('Valo FX'!$R:$R,MATCH($A22,'Valo FX'!$A:$A,0)),INDEX(Base!$U:$U,MATCH($A22,Base!$A:$A,0)),IF(GC$1=INDEX('Valo FX'!$R:$R,MATCH($A22,'Valo FX'!$A:$A,0)),INDEX(Base!$V:$V,MATCH($A22,Base!$A:$A,0)),0)))</f>
        <v>13.17</v>
      </c>
      <c r="GD22" s="21">
        <f>IF(GD$1&lt;INDEX('Valo FX'!$Q:$Q,MATCH($A22,'Valo FX'!$A:$A,0)),0,IF(GD$1&lt;INDEX('Valo FX'!$R:$R,MATCH($A22,'Valo FX'!$A:$A,0)),INDEX(Base!$U:$U,MATCH($A22,Base!$A:$A,0)),IF(GD$1=INDEX('Valo FX'!$R:$R,MATCH($A22,'Valo FX'!$A:$A,0)),INDEX(Base!$V:$V,MATCH($A22,Base!$A:$A,0)),0)))</f>
        <v>13.17</v>
      </c>
      <c r="GE22" s="21">
        <f>IF(GE$1&lt;INDEX('Valo FX'!$Q:$Q,MATCH($A22,'Valo FX'!$A:$A,0)),0,IF(GE$1&lt;INDEX('Valo FX'!$R:$R,MATCH($A22,'Valo FX'!$A:$A,0)),INDEX(Base!$U:$U,MATCH($A22,Base!$A:$A,0)),IF(GE$1=INDEX('Valo FX'!$R:$R,MATCH($A22,'Valo FX'!$A:$A,0)),INDEX(Base!$V:$V,MATCH($A22,Base!$A:$A,0)),0)))</f>
        <v>13.17</v>
      </c>
      <c r="GF22" s="21">
        <f>IF(GF$1&lt;INDEX('Valo FX'!$Q:$Q,MATCH($A22,'Valo FX'!$A:$A,0)),0,IF(GF$1&lt;INDEX('Valo FX'!$R:$R,MATCH($A22,'Valo FX'!$A:$A,0)),INDEX(Base!$U:$U,MATCH($A22,Base!$A:$A,0)),IF(GF$1=INDEX('Valo FX'!$R:$R,MATCH($A22,'Valo FX'!$A:$A,0)),INDEX(Base!$V:$V,MATCH($A22,Base!$A:$A,0)),0)))</f>
        <v>13.17</v>
      </c>
      <c r="GG22" s="21">
        <f>IF(GG$1&lt;INDEX('Valo FX'!$Q:$Q,MATCH($A22,'Valo FX'!$A:$A,0)),0,IF(GG$1&lt;INDEX('Valo FX'!$R:$R,MATCH($A22,'Valo FX'!$A:$A,0)),INDEX(Base!$U:$U,MATCH($A22,Base!$A:$A,0)),IF(GG$1=INDEX('Valo FX'!$R:$R,MATCH($A22,'Valo FX'!$A:$A,0)),INDEX(Base!$V:$V,MATCH($A22,Base!$A:$A,0)),0)))</f>
        <v>13.17</v>
      </c>
      <c r="GH22" s="21">
        <f>IF(GH$1&lt;INDEX('Valo FX'!$Q:$Q,MATCH($A22,'Valo FX'!$A:$A,0)),0,IF(GH$1&lt;INDEX('Valo FX'!$R:$R,MATCH($A22,'Valo FX'!$A:$A,0)),INDEX(Base!$U:$U,MATCH($A22,Base!$A:$A,0)),IF(GH$1=INDEX('Valo FX'!$R:$R,MATCH($A22,'Valo FX'!$A:$A,0)),INDEX(Base!$V:$V,MATCH($A22,Base!$A:$A,0)),0)))</f>
        <v>13.17</v>
      </c>
      <c r="GI22" s="21">
        <f>IF(GI$1&lt;INDEX('Valo FX'!$Q:$Q,MATCH($A22,'Valo FX'!$A:$A,0)),0,IF(GI$1&lt;INDEX('Valo FX'!$R:$R,MATCH($A22,'Valo FX'!$A:$A,0)),INDEX(Base!$U:$U,MATCH($A22,Base!$A:$A,0)),IF(GI$1=INDEX('Valo FX'!$R:$R,MATCH($A22,'Valo FX'!$A:$A,0)),INDEX(Base!$V:$V,MATCH($A22,Base!$A:$A,0)),0)))</f>
        <v>13.17</v>
      </c>
      <c r="GJ22" s="21">
        <f>IF(GJ$1&lt;INDEX('Valo FX'!$Q:$Q,MATCH($A22,'Valo FX'!$A:$A,0)),0,IF(GJ$1&lt;INDEX('Valo FX'!$R:$R,MATCH($A22,'Valo FX'!$A:$A,0)),INDEX(Base!$U:$U,MATCH($A22,Base!$A:$A,0)),IF(GJ$1=INDEX('Valo FX'!$R:$R,MATCH($A22,'Valo FX'!$A:$A,0)),INDEX(Base!$V:$V,MATCH($A22,Base!$A:$A,0)),0)))</f>
        <v>13.17</v>
      </c>
      <c r="GK22" s="21">
        <f>IF(GK$1&lt;INDEX('Valo FX'!$Q:$Q,MATCH($A22,'Valo FX'!$A:$A,0)),0,IF(GK$1&lt;INDEX('Valo FX'!$R:$R,MATCH($A22,'Valo FX'!$A:$A,0)),INDEX(Base!$U:$U,MATCH($A22,Base!$A:$A,0)),IF(GK$1=INDEX('Valo FX'!$R:$R,MATCH($A22,'Valo FX'!$A:$A,0)),INDEX(Base!$V:$V,MATCH($A22,Base!$A:$A,0)),0)))</f>
        <v>13.17</v>
      </c>
      <c r="GL22" s="21">
        <f>IF(GL$1&lt;INDEX('Valo FX'!$Q:$Q,MATCH($A22,'Valo FX'!$A:$A,0)),0,IF(GL$1&lt;INDEX('Valo FX'!$R:$R,MATCH($A22,'Valo FX'!$A:$A,0)),INDEX(Base!$U:$U,MATCH($A22,Base!$A:$A,0)),IF(GL$1=INDEX('Valo FX'!$R:$R,MATCH($A22,'Valo FX'!$A:$A,0)),INDEX(Base!$V:$V,MATCH($A22,Base!$A:$A,0)),0)))</f>
        <v>13.17</v>
      </c>
      <c r="GM22" s="21">
        <f>IF(GM$1&lt;INDEX('Valo FX'!$Q:$Q,MATCH($A22,'Valo FX'!$A:$A,0)),0,IF(GM$1&lt;INDEX('Valo FX'!$R:$R,MATCH($A22,'Valo FX'!$A:$A,0)),INDEX(Base!$U:$U,MATCH($A22,Base!$A:$A,0)),IF(GM$1=INDEX('Valo FX'!$R:$R,MATCH($A22,'Valo FX'!$A:$A,0)),INDEX(Base!$V:$V,MATCH($A22,Base!$A:$A,0)),0)))</f>
        <v>13.17</v>
      </c>
      <c r="GN22" s="21">
        <f>IF(GN$1&lt;INDEX('Valo FX'!$Q:$Q,MATCH($A22,'Valo FX'!$A:$A,0)),0,IF(GN$1&lt;INDEX('Valo FX'!$R:$R,MATCH($A22,'Valo FX'!$A:$A,0)),INDEX(Base!$U:$U,MATCH($A22,Base!$A:$A,0)),IF(GN$1=INDEX('Valo FX'!$R:$R,MATCH($A22,'Valo FX'!$A:$A,0)),INDEX(Base!$V:$V,MATCH($A22,Base!$A:$A,0)),0)))</f>
        <v>13.17</v>
      </c>
      <c r="GO22" s="21">
        <f>IF(GO$1&lt;INDEX('Valo FX'!$Q:$Q,MATCH($A22,'Valo FX'!$A:$A,0)),0,IF(GO$1&lt;INDEX('Valo FX'!$R:$R,MATCH($A22,'Valo FX'!$A:$A,0)),INDEX(Base!$U:$U,MATCH($A22,Base!$A:$A,0)),IF(GO$1=INDEX('Valo FX'!$R:$R,MATCH($A22,'Valo FX'!$A:$A,0)),INDEX(Base!$V:$V,MATCH($A22,Base!$A:$A,0)),0)))</f>
        <v>13.17</v>
      </c>
      <c r="GP22" s="21">
        <f>IF(GP$1&lt;INDEX('Valo FX'!$Q:$Q,MATCH($A22,'Valo FX'!$A:$A,0)),0,IF(GP$1&lt;INDEX('Valo FX'!$R:$R,MATCH($A22,'Valo FX'!$A:$A,0)),INDEX(Base!$U:$U,MATCH($A22,Base!$A:$A,0)),IF(GP$1=INDEX('Valo FX'!$R:$R,MATCH($A22,'Valo FX'!$A:$A,0)),INDEX(Base!$V:$V,MATCH($A22,Base!$A:$A,0)),0)))</f>
        <v>13.17</v>
      </c>
      <c r="GQ22" s="21">
        <f>IF(GQ$1&lt;INDEX('Valo FX'!$Q:$Q,MATCH($A22,'Valo FX'!$A:$A,0)),0,IF(GQ$1&lt;INDEX('Valo FX'!$R:$R,MATCH($A22,'Valo FX'!$A:$A,0)),INDEX(Base!$U:$U,MATCH($A22,Base!$A:$A,0)),IF(GQ$1=INDEX('Valo FX'!$R:$R,MATCH($A22,'Valo FX'!$A:$A,0)),INDEX(Base!$V:$V,MATCH($A22,Base!$A:$A,0)),0)))</f>
        <v>13.17</v>
      </c>
      <c r="GR22" s="21">
        <f>IF(GR$1&lt;INDEX('Valo FX'!$Q:$Q,MATCH($A22,'Valo FX'!$A:$A,0)),0,IF(GR$1&lt;INDEX('Valo FX'!$R:$R,MATCH($A22,'Valo FX'!$A:$A,0)),INDEX(Base!$U:$U,MATCH($A22,Base!$A:$A,0)),IF(GR$1=INDEX('Valo FX'!$R:$R,MATCH($A22,'Valo FX'!$A:$A,0)),INDEX(Base!$V:$V,MATCH($A22,Base!$A:$A,0)),0)))</f>
        <v>13.17</v>
      </c>
      <c r="GS22" s="21">
        <f>IF(GS$1&lt;INDEX('Valo FX'!$Q:$Q,MATCH($A22,'Valo FX'!$A:$A,0)),0,IF(GS$1&lt;INDEX('Valo FX'!$R:$R,MATCH($A22,'Valo FX'!$A:$A,0)),INDEX(Base!$U:$U,MATCH($A22,Base!$A:$A,0)),IF(GS$1=INDEX('Valo FX'!$R:$R,MATCH($A22,'Valo FX'!$A:$A,0)),INDEX(Base!$V:$V,MATCH($A22,Base!$A:$A,0)),0)))</f>
        <v>13.17</v>
      </c>
      <c r="GT22" s="21">
        <f>IF(GT$1&lt;INDEX('Valo FX'!$Q:$Q,MATCH($A22,'Valo FX'!$A:$A,0)),0,IF(GT$1&lt;INDEX('Valo FX'!$R:$R,MATCH($A22,'Valo FX'!$A:$A,0)),INDEX(Base!$U:$U,MATCH($A22,Base!$A:$A,0)),IF(GT$1=INDEX('Valo FX'!$R:$R,MATCH($A22,'Valo FX'!$A:$A,0)),INDEX(Base!$V:$V,MATCH($A22,Base!$A:$A,0)),0)))</f>
        <v>13.17</v>
      </c>
      <c r="GU22" s="21">
        <f>IF(GU$1&lt;INDEX('Valo FX'!$Q:$Q,MATCH($A22,'Valo FX'!$A:$A,0)),0,IF(GU$1&lt;INDEX('Valo FX'!$R:$R,MATCH($A22,'Valo FX'!$A:$A,0)),INDEX(Base!$U:$U,MATCH($A22,Base!$A:$A,0)),IF(GU$1=INDEX('Valo FX'!$R:$R,MATCH($A22,'Valo FX'!$A:$A,0)),INDEX(Base!$V:$V,MATCH($A22,Base!$A:$A,0)),0)))</f>
        <v>13.17</v>
      </c>
      <c r="GV22" s="21">
        <f>IF(GV$1&lt;INDEX('Valo FX'!$Q:$Q,MATCH($A22,'Valo FX'!$A:$A,0)),0,IF(GV$1&lt;INDEX('Valo FX'!$R:$R,MATCH($A22,'Valo FX'!$A:$A,0)),INDEX(Base!$U:$U,MATCH($A22,Base!$A:$A,0)),IF(GV$1=INDEX('Valo FX'!$R:$R,MATCH($A22,'Valo FX'!$A:$A,0)),INDEX(Base!$V:$V,MATCH($A22,Base!$A:$A,0)),0)))</f>
        <v>13.17</v>
      </c>
      <c r="GW22" s="21">
        <f>IF(GW$1&lt;INDEX('Valo FX'!$Q:$Q,MATCH($A22,'Valo FX'!$A:$A,0)),0,IF(GW$1&lt;INDEX('Valo FX'!$R:$R,MATCH($A22,'Valo FX'!$A:$A,0)),INDEX(Base!$U:$U,MATCH($A22,Base!$A:$A,0)),IF(GW$1=INDEX('Valo FX'!$R:$R,MATCH($A22,'Valo FX'!$A:$A,0)),INDEX(Base!$V:$V,MATCH($A22,Base!$A:$A,0)),0)))</f>
        <v>13.17</v>
      </c>
      <c r="GX22" s="21">
        <f>IF(GX$1&lt;INDEX('Valo FX'!$Q:$Q,MATCH($A22,'Valo FX'!$A:$A,0)),0,IF(GX$1&lt;INDEX('Valo FX'!$R:$R,MATCH($A22,'Valo FX'!$A:$A,0)),INDEX(Base!$U:$U,MATCH($A22,Base!$A:$A,0)),IF(GX$1=INDEX('Valo FX'!$R:$R,MATCH($A22,'Valo FX'!$A:$A,0)),INDEX(Base!$V:$V,MATCH($A22,Base!$A:$A,0)),0)))</f>
        <v>13.17</v>
      </c>
      <c r="GY22" s="21">
        <f>IF(GY$1&lt;INDEX('Valo FX'!$Q:$Q,MATCH($A22,'Valo FX'!$A:$A,0)),0,IF(GY$1&lt;INDEX('Valo FX'!$R:$R,MATCH($A22,'Valo FX'!$A:$A,0)),INDEX(Base!$U:$U,MATCH($A22,Base!$A:$A,0)),IF(GY$1=INDEX('Valo FX'!$R:$R,MATCH($A22,'Valo FX'!$A:$A,0)),INDEX(Base!$V:$V,MATCH($A22,Base!$A:$A,0)),0)))</f>
        <v>13.17</v>
      </c>
      <c r="GZ22" s="21">
        <f>IF(GZ$1&lt;INDEX('Valo FX'!$Q:$Q,MATCH($A22,'Valo FX'!$A:$A,0)),0,IF(GZ$1&lt;INDEX('Valo FX'!$R:$R,MATCH($A22,'Valo FX'!$A:$A,0)),INDEX(Base!$U:$U,MATCH($A22,Base!$A:$A,0)),IF(GZ$1=INDEX('Valo FX'!$R:$R,MATCH($A22,'Valo FX'!$A:$A,0)),INDEX(Base!$V:$V,MATCH($A22,Base!$A:$A,0)),0)))</f>
        <v>13.17</v>
      </c>
      <c r="HA22" s="21">
        <f>IF(HA$1&lt;INDEX('Valo FX'!$Q:$Q,MATCH($A22,'Valo FX'!$A:$A,0)),0,IF(HA$1&lt;INDEX('Valo FX'!$R:$R,MATCH($A22,'Valo FX'!$A:$A,0)),INDEX(Base!$U:$U,MATCH($A22,Base!$A:$A,0)),IF(HA$1=INDEX('Valo FX'!$R:$R,MATCH($A22,'Valo FX'!$A:$A,0)),INDEX(Base!$V:$V,MATCH($A22,Base!$A:$A,0)),0)))</f>
        <v>13.17</v>
      </c>
      <c r="HB22" s="21">
        <f>IF(HB$1&lt;INDEX('Valo FX'!$Q:$Q,MATCH($A22,'Valo FX'!$A:$A,0)),0,IF(HB$1&lt;INDEX('Valo FX'!$R:$R,MATCH($A22,'Valo FX'!$A:$A,0)),INDEX(Base!$U:$U,MATCH($A22,Base!$A:$A,0)),IF(HB$1=INDEX('Valo FX'!$R:$R,MATCH($A22,'Valo FX'!$A:$A,0)),INDEX(Base!$V:$V,MATCH($A22,Base!$A:$A,0)),0)))</f>
        <v>13.17</v>
      </c>
      <c r="HC22" s="21">
        <f>IF(HC$1&lt;INDEX('Valo FX'!$Q:$Q,MATCH($A22,'Valo FX'!$A:$A,0)),0,IF(HC$1&lt;INDEX('Valo FX'!$R:$R,MATCH($A22,'Valo FX'!$A:$A,0)),INDEX(Base!$U:$U,MATCH($A22,Base!$A:$A,0)),IF(HC$1=INDEX('Valo FX'!$R:$R,MATCH($A22,'Valo FX'!$A:$A,0)),INDEX(Base!$V:$V,MATCH($A22,Base!$A:$A,0)),0)))</f>
        <v>13.17</v>
      </c>
      <c r="HD22" s="21">
        <f>IF(HD$1&lt;INDEX('Valo FX'!$Q:$Q,MATCH($A22,'Valo FX'!$A:$A,0)),0,IF(HD$1&lt;INDEX('Valo FX'!$R:$R,MATCH($A22,'Valo FX'!$A:$A,0)),INDEX(Base!$U:$U,MATCH($A22,Base!$A:$A,0)),IF(HD$1=INDEX('Valo FX'!$R:$R,MATCH($A22,'Valo FX'!$A:$A,0)),INDEX(Base!$V:$V,MATCH($A22,Base!$A:$A,0)),0)))</f>
        <v>13.17</v>
      </c>
      <c r="HE22" s="21">
        <f>IF(HE$1&lt;INDEX('Valo FX'!$Q:$Q,MATCH($A22,'Valo FX'!$A:$A,0)),0,IF(HE$1&lt;INDEX('Valo FX'!$R:$R,MATCH($A22,'Valo FX'!$A:$A,0)),INDEX(Base!$U:$U,MATCH($A22,Base!$A:$A,0)),IF(HE$1=INDEX('Valo FX'!$R:$R,MATCH($A22,'Valo FX'!$A:$A,0)),INDEX(Base!$V:$V,MATCH($A22,Base!$A:$A,0)),0)))</f>
        <v>13.17</v>
      </c>
      <c r="HF22" s="21">
        <f>IF(HF$1&lt;INDEX('Valo FX'!$Q:$Q,MATCH($A22,'Valo FX'!$A:$A,0)),0,IF(HF$1&lt;INDEX('Valo FX'!$R:$R,MATCH($A22,'Valo FX'!$A:$A,0)),INDEX(Base!$U:$U,MATCH($A22,Base!$A:$A,0)),IF(HF$1=INDEX('Valo FX'!$R:$R,MATCH($A22,'Valo FX'!$A:$A,0)),INDEX(Base!$V:$V,MATCH($A22,Base!$A:$A,0)),0)))</f>
        <v>13.17</v>
      </c>
      <c r="HG22" s="21">
        <f>IF(HG$1&lt;INDEX('Valo FX'!$Q:$Q,MATCH($A22,'Valo FX'!$A:$A,0)),0,IF(HG$1&lt;INDEX('Valo FX'!$R:$R,MATCH($A22,'Valo FX'!$A:$A,0)),INDEX(Base!$U:$U,MATCH($A22,Base!$A:$A,0)),IF(HG$1=INDEX('Valo FX'!$R:$R,MATCH($A22,'Valo FX'!$A:$A,0)),INDEX(Base!$V:$V,MATCH($A22,Base!$A:$A,0)),0)))</f>
        <v>13.17</v>
      </c>
      <c r="HH22" s="21">
        <f>IF(HH$1&lt;INDEX('Valo FX'!$Q:$Q,MATCH($A22,'Valo FX'!$A:$A,0)),0,IF(HH$1&lt;INDEX('Valo FX'!$R:$R,MATCH($A22,'Valo FX'!$A:$A,0)),INDEX(Base!$U:$U,MATCH($A22,Base!$A:$A,0)),IF(HH$1=INDEX('Valo FX'!$R:$R,MATCH($A22,'Valo FX'!$A:$A,0)),INDEX(Base!$V:$V,MATCH($A22,Base!$A:$A,0)),0)))</f>
        <v>13.17</v>
      </c>
      <c r="HI22" s="21">
        <f>IF(HI$1&lt;INDEX('Valo FX'!$Q:$Q,MATCH($A22,'Valo FX'!$A:$A,0)),0,IF(HI$1&lt;INDEX('Valo FX'!$R:$R,MATCH($A22,'Valo FX'!$A:$A,0)),INDEX(Base!$U:$U,MATCH($A22,Base!$A:$A,0)),IF(HI$1=INDEX('Valo FX'!$R:$R,MATCH($A22,'Valo FX'!$A:$A,0)),INDEX(Base!$V:$V,MATCH($A22,Base!$A:$A,0)),0)))</f>
        <v>13.17</v>
      </c>
      <c r="HJ22" s="21">
        <f>IF(HJ$1&lt;INDEX('Valo FX'!$Q:$Q,MATCH($A22,'Valo FX'!$A:$A,0)),0,IF(HJ$1&lt;INDEX('Valo FX'!$R:$R,MATCH($A22,'Valo FX'!$A:$A,0)),INDEX(Base!$U:$U,MATCH($A22,Base!$A:$A,0)),IF(HJ$1=INDEX('Valo FX'!$R:$R,MATCH($A22,'Valo FX'!$A:$A,0)),INDEX(Base!$V:$V,MATCH($A22,Base!$A:$A,0)),0)))</f>
        <v>13.17</v>
      </c>
      <c r="HK22" s="21">
        <f>IF(HK$1&lt;INDEX('Valo FX'!$Q:$Q,MATCH($A22,'Valo FX'!$A:$A,0)),0,IF(HK$1&lt;INDEX('Valo FX'!$R:$R,MATCH($A22,'Valo FX'!$A:$A,0)),INDEX(Base!$U:$U,MATCH($A22,Base!$A:$A,0)),IF(HK$1=INDEX('Valo FX'!$R:$R,MATCH($A22,'Valo FX'!$A:$A,0)),INDEX(Base!$V:$V,MATCH($A22,Base!$A:$A,0)),0)))</f>
        <v>13.17</v>
      </c>
      <c r="HL22" s="21">
        <f>IF(HL$1&lt;INDEX('Valo FX'!$Q:$Q,MATCH($A22,'Valo FX'!$A:$A,0)),0,IF(HL$1&lt;INDEX('Valo FX'!$R:$R,MATCH($A22,'Valo FX'!$A:$A,0)),INDEX(Base!$U:$U,MATCH($A22,Base!$A:$A,0)),IF(HL$1=INDEX('Valo FX'!$R:$R,MATCH($A22,'Valo FX'!$A:$A,0)),INDEX(Base!$V:$V,MATCH($A22,Base!$A:$A,0)),0)))</f>
        <v>13.17</v>
      </c>
      <c r="HM22" s="21">
        <f>IF(HM$1&lt;INDEX('Valo FX'!$Q:$Q,MATCH($A22,'Valo FX'!$A:$A,0)),0,IF(HM$1&lt;INDEX('Valo FX'!$R:$R,MATCH($A22,'Valo FX'!$A:$A,0)),INDEX(Base!$U:$U,MATCH($A22,Base!$A:$A,0)),IF(HM$1=INDEX('Valo FX'!$R:$R,MATCH($A22,'Valo FX'!$A:$A,0)),INDEX(Base!$V:$V,MATCH($A22,Base!$A:$A,0)),0)))</f>
        <v>13.17</v>
      </c>
      <c r="HN22" s="21">
        <f>IF(HN$1&lt;INDEX('Valo FX'!$Q:$Q,MATCH($A22,'Valo FX'!$A:$A,0)),0,IF(HN$1&lt;INDEX('Valo FX'!$R:$R,MATCH($A22,'Valo FX'!$A:$A,0)),INDEX(Base!$U:$U,MATCH($A22,Base!$A:$A,0)),IF(HN$1=INDEX('Valo FX'!$R:$R,MATCH($A22,'Valo FX'!$A:$A,0)),INDEX(Base!$V:$V,MATCH($A22,Base!$A:$A,0)),0)))</f>
        <v>13.17</v>
      </c>
      <c r="HO22" s="21">
        <f>IF(HO$1&lt;INDEX('Valo FX'!$Q:$Q,MATCH($A22,'Valo FX'!$A:$A,0)),0,IF(HO$1&lt;INDEX('Valo FX'!$R:$R,MATCH($A22,'Valo FX'!$A:$A,0)),INDEX(Base!$U:$U,MATCH($A22,Base!$A:$A,0)),IF(HO$1=INDEX('Valo FX'!$R:$R,MATCH($A22,'Valo FX'!$A:$A,0)),INDEX(Base!$V:$V,MATCH($A22,Base!$A:$A,0)),0)))</f>
        <v>13.17</v>
      </c>
      <c r="HP22" s="21">
        <f>IF(HP$1&lt;INDEX('Valo FX'!$Q:$Q,MATCH($A22,'Valo FX'!$A:$A,0)),0,IF(HP$1&lt;INDEX('Valo FX'!$R:$R,MATCH($A22,'Valo FX'!$A:$A,0)),INDEX(Base!$U:$U,MATCH($A22,Base!$A:$A,0)),IF(HP$1=INDEX('Valo FX'!$R:$R,MATCH($A22,'Valo FX'!$A:$A,0)),INDEX(Base!$V:$V,MATCH($A22,Base!$A:$A,0)),0)))</f>
        <v>13.17</v>
      </c>
      <c r="HQ22" s="21">
        <f>IF(HQ$1&lt;INDEX('Valo FX'!$Q:$Q,MATCH($A22,'Valo FX'!$A:$A,0)),0,IF(HQ$1&lt;INDEX('Valo FX'!$R:$R,MATCH($A22,'Valo FX'!$A:$A,0)),INDEX(Base!$U:$U,MATCH($A22,Base!$A:$A,0)),IF(HQ$1=INDEX('Valo FX'!$R:$R,MATCH($A22,'Valo FX'!$A:$A,0)),INDEX(Base!$V:$V,MATCH($A22,Base!$A:$A,0)),0)))</f>
        <v>13.17</v>
      </c>
      <c r="HR22" s="21">
        <f>IF(HR$1&lt;INDEX('Valo FX'!$Q:$Q,MATCH($A22,'Valo FX'!$A:$A,0)),0,IF(HR$1&lt;INDEX('Valo FX'!$R:$R,MATCH($A22,'Valo FX'!$A:$A,0)),INDEX(Base!$U:$U,MATCH($A22,Base!$A:$A,0)),IF(HR$1=INDEX('Valo FX'!$R:$R,MATCH($A22,'Valo FX'!$A:$A,0)),INDEX(Base!$V:$V,MATCH($A22,Base!$A:$A,0)),0)))</f>
        <v>13.17</v>
      </c>
      <c r="HS22" s="21">
        <f>IF(HS$1&lt;INDEX('Valo FX'!$Q:$Q,MATCH($A22,'Valo FX'!$A:$A,0)),0,IF(HS$1&lt;INDEX('Valo FX'!$R:$R,MATCH($A22,'Valo FX'!$A:$A,0)),INDEX(Base!$U:$U,MATCH($A22,Base!$A:$A,0)),IF(HS$1=INDEX('Valo FX'!$R:$R,MATCH($A22,'Valo FX'!$A:$A,0)),INDEX(Base!$V:$V,MATCH($A22,Base!$A:$A,0)),0)))</f>
        <v>13.17</v>
      </c>
      <c r="HT22" s="21">
        <f>IF(HT$1&lt;INDEX('Valo FX'!$Q:$Q,MATCH($A22,'Valo FX'!$A:$A,0)),0,IF(HT$1&lt;INDEX('Valo FX'!$R:$R,MATCH($A22,'Valo FX'!$A:$A,0)),INDEX(Base!$U:$U,MATCH($A22,Base!$A:$A,0)),IF(HT$1=INDEX('Valo FX'!$R:$R,MATCH($A22,'Valo FX'!$A:$A,0)),INDEX(Base!$V:$V,MATCH($A22,Base!$A:$A,0)),0)))</f>
        <v>13.17</v>
      </c>
      <c r="HU22" s="21">
        <f>IF(HU$1&lt;INDEX('Valo FX'!$Q:$Q,MATCH($A22,'Valo FX'!$A:$A,0)),0,IF(HU$1&lt;INDEX('Valo FX'!$R:$R,MATCH($A22,'Valo FX'!$A:$A,0)),INDEX(Base!$U:$U,MATCH($A22,Base!$A:$A,0)),IF(HU$1=INDEX('Valo FX'!$R:$R,MATCH($A22,'Valo FX'!$A:$A,0)),INDEX(Base!$V:$V,MATCH($A22,Base!$A:$A,0)),0)))</f>
        <v>13.17</v>
      </c>
      <c r="HV22" s="21">
        <f>IF(HV$1&lt;INDEX('Valo FX'!$Q:$Q,MATCH($A22,'Valo FX'!$A:$A,0)),0,IF(HV$1&lt;INDEX('Valo FX'!$R:$R,MATCH($A22,'Valo FX'!$A:$A,0)),INDEX(Base!$U:$U,MATCH($A22,Base!$A:$A,0)),IF(HV$1=INDEX('Valo FX'!$R:$R,MATCH($A22,'Valo FX'!$A:$A,0)),INDEX(Base!$V:$V,MATCH($A22,Base!$A:$A,0)),0)))</f>
        <v>13.17</v>
      </c>
      <c r="HW22" s="21">
        <f>IF(HW$1&lt;INDEX('Valo FX'!$Q:$Q,MATCH($A22,'Valo FX'!$A:$A,0)),0,IF(HW$1&lt;INDEX('Valo FX'!$R:$R,MATCH($A22,'Valo FX'!$A:$A,0)),INDEX(Base!$U:$U,MATCH($A22,Base!$A:$A,0)),IF(HW$1=INDEX('Valo FX'!$R:$R,MATCH($A22,'Valo FX'!$A:$A,0)),INDEX(Base!$V:$V,MATCH($A22,Base!$A:$A,0)),0)))</f>
        <v>13.17</v>
      </c>
      <c r="HX22" s="21">
        <f>IF(HX$1&lt;INDEX('Valo FX'!$Q:$Q,MATCH($A22,'Valo FX'!$A:$A,0)),0,IF(HX$1&lt;INDEX('Valo FX'!$R:$R,MATCH($A22,'Valo FX'!$A:$A,0)),INDEX(Base!$U:$U,MATCH($A22,Base!$A:$A,0)),IF(HX$1=INDEX('Valo FX'!$R:$R,MATCH($A22,'Valo FX'!$A:$A,0)),INDEX(Base!$V:$V,MATCH($A22,Base!$A:$A,0)),0)))</f>
        <v>13.17</v>
      </c>
      <c r="HY22" s="21">
        <f>IF(HY$1&lt;INDEX('Valo FX'!$Q:$Q,MATCH($A22,'Valo FX'!$A:$A,0)),0,IF(HY$1&lt;INDEX('Valo FX'!$R:$R,MATCH($A22,'Valo FX'!$A:$A,0)),INDEX(Base!$U:$U,MATCH($A22,Base!$A:$A,0)),IF(HY$1=INDEX('Valo FX'!$R:$R,MATCH($A22,'Valo FX'!$A:$A,0)),INDEX(Base!$V:$V,MATCH($A22,Base!$A:$A,0)),0)))</f>
        <v>13.17</v>
      </c>
      <c r="HZ22" s="21">
        <f>IF(HZ$1&lt;INDEX('Valo FX'!$Q:$Q,MATCH($A22,'Valo FX'!$A:$A,0)),0,IF(HZ$1&lt;INDEX('Valo FX'!$R:$R,MATCH($A22,'Valo FX'!$A:$A,0)),INDEX(Base!$U:$U,MATCH($A22,Base!$A:$A,0)),IF(HZ$1=INDEX('Valo FX'!$R:$R,MATCH($A22,'Valo FX'!$A:$A,0)),INDEX(Base!$V:$V,MATCH($A22,Base!$A:$A,0)),0)))</f>
        <v>13.17</v>
      </c>
      <c r="IA22" s="21">
        <f>IF(IA$1&lt;INDEX('Valo FX'!$Q:$Q,MATCH($A22,'Valo FX'!$A:$A,0)),0,IF(IA$1&lt;INDEX('Valo FX'!$R:$R,MATCH($A22,'Valo FX'!$A:$A,0)),INDEX(Base!$U:$U,MATCH($A22,Base!$A:$A,0)),IF(IA$1=INDEX('Valo FX'!$R:$R,MATCH($A22,'Valo FX'!$A:$A,0)),INDEX(Base!$V:$V,MATCH($A22,Base!$A:$A,0)),0)))</f>
        <v>13.17</v>
      </c>
      <c r="IB22" s="21">
        <f>IF(IB$1&lt;INDEX('Valo FX'!$Q:$Q,MATCH($A22,'Valo FX'!$A:$A,0)),0,IF(IB$1&lt;INDEX('Valo FX'!$R:$R,MATCH($A22,'Valo FX'!$A:$A,0)),INDEX(Base!$U:$U,MATCH($A22,Base!$A:$A,0)),IF(IB$1=INDEX('Valo FX'!$R:$R,MATCH($A22,'Valo FX'!$A:$A,0)),INDEX(Base!$V:$V,MATCH($A22,Base!$A:$A,0)),0)))</f>
        <v>13.17</v>
      </c>
      <c r="IC22" s="21">
        <f>IF(IC$1&lt;INDEX('Valo FX'!$Q:$Q,MATCH($A22,'Valo FX'!$A:$A,0)),0,IF(IC$1&lt;INDEX('Valo FX'!$R:$R,MATCH($A22,'Valo FX'!$A:$A,0)),INDEX(Base!$U:$U,MATCH($A22,Base!$A:$A,0)),IF(IC$1=INDEX('Valo FX'!$R:$R,MATCH($A22,'Valo FX'!$A:$A,0)),INDEX(Base!$V:$V,MATCH($A22,Base!$A:$A,0)),0)))</f>
        <v>13.17</v>
      </c>
      <c r="ID22" s="21">
        <f>IF(ID$1&lt;INDEX('Valo FX'!$Q:$Q,MATCH($A22,'Valo FX'!$A:$A,0)),0,IF(ID$1&lt;INDEX('Valo FX'!$R:$R,MATCH($A22,'Valo FX'!$A:$A,0)),INDEX(Base!$U:$U,MATCH($A22,Base!$A:$A,0)),IF(ID$1=INDEX('Valo FX'!$R:$R,MATCH($A22,'Valo FX'!$A:$A,0)),INDEX(Base!$V:$V,MATCH($A22,Base!$A:$A,0)),0)))</f>
        <v>13.17</v>
      </c>
      <c r="IE22" s="21">
        <f>IF(IE$1&lt;INDEX('Valo FX'!$Q:$Q,MATCH($A22,'Valo FX'!$A:$A,0)),0,IF(IE$1&lt;INDEX('Valo FX'!$R:$R,MATCH($A22,'Valo FX'!$A:$A,0)),INDEX(Base!$U:$U,MATCH($A22,Base!$A:$A,0)),IF(IE$1=INDEX('Valo FX'!$R:$R,MATCH($A22,'Valo FX'!$A:$A,0)),INDEX(Base!$V:$V,MATCH($A22,Base!$A:$A,0)),0)))</f>
        <v>13.17</v>
      </c>
      <c r="IF22" s="21">
        <f>IF(IF$1&lt;INDEX('Valo FX'!$Q:$Q,MATCH($A22,'Valo FX'!$A:$A,0)),0,IF(IF$1&lt;INDEX('Valo FX'!$R:$R,MATCH($A22,'Valo FX'!$A:$A,0)),INDEX(Base!$U:$U,MATCH($A22,Base!$A:$A,0)),IF(IF$1=INDEX('Valo FX'!$R:$R,MATCH($A22,'Valo FX'!$A:$A,0)),INDEX(Base!$V:$V,MATCH($A22,Base!$A:$A,0)),0)))</f>
        <v>13.17</v>
      </c>
      <c r="IG22" s="21">
        <f>IF(IG$1&lt;INDEX('Valo FX'!$Q:$Q,MATCH($A22,'Valo FX'!$A:$A,0)),0,IF(IG$1&lt;INDEX('Valo FX'!$R:$R,MATCH($A22,'Valo FX'!$A:$A,0)),INDEX(Base!$U:$U,MATCH($A22,Base!$A:$A,0)),IF(IG$1=INDEX('Valo FX'!$R:$R,MATCH($A22,'Valo FX'!$A:$A,0)),INDEX(Base!$V:$V,MATCH($A22,Base!$A:$A,0)),0)))</f>
        <v>13.17</v>
      </c>
      <c r="IH22" s="21">
        <f>IF(IH$1&lt;INDEX('Valo FX'!$Q:$Q,MATCH($A22,'Valo FX'!$A:$A,0)),0,IF(IH$1&lt;INDEX('Valo FX'!$R:$R,MATCH($A22,'Valo FX'!$A:$A,0)),INDEX(Base!$U:$U,MATCH($A22,Base!$A:$A,0)),IF(IH$1=INDEX('Valo FX'!$R:$R,MATCH($A22,'Valo FX'!$A:$A,0)),INDEX(Base!$V:$V,MATCH($A22,Base!$A:$A,0)),0)))</f>
        <v>13.17</v>
      </c>
      <c r="II22" s="21">
        <f>IF(II$1&lt;INDEX('Valo FX'!$Q:$Q,MATCH($A22,'Valo FX'!$A:$A,0)),0,IF(II$1&lt;INDEX('Valo FX'!$R:$R,MATCH($A22,'Valo FX'!$A:$A,0)),INDEX(Base!$U:$U,MATCH($A22,Base!$A:$A,0)),IF(II$1=INDEX('Valo FX'!$R:$R,MATCH($A22,'Valo FX'!$A:$A,0)),INDEX(Base!$V:$V,MATCH($A22,Base!$A:$A,0)),0)))</f>
        <v>13.17</v>
      </c>
      <c r="IJ22" s="21">
        <f>IF(IJ$1&lt;INDEX('Valo FX'!$Q:$Q,MATCH($A22,'Valo FX'!$A:$A,0)),0,IF(IJ$1&lt;INDEX('Valo FX'!$R:$R,MATCH($A22,'Valo FX'!$A:$A,0)),INDEX(Base!$U:$U,MATCH($A22,Base!$A:$A,0)),IF(IJ$1=INDEX('Valo FX'!$R:$R,MATCH($A22,'Valo FX'!$A:$A,0)),INDEX(Base!$V:$V,MATCH($A22,Base!$A:$A,0)),0)))</f>
        <v>13.17</v>
      </c>
      <c r="IK22" s="21">
        <f>IF(IK$1&lt;INDEX('Valo FX'!$Q:$Q,MATCH($A22,'Valo FX'!$A:$A,0)),0,IF(IK$1&lt;INDEX('Valo FX'!$R:$R,MATCH($A22,'Valo FX'!$A:$A,0)),INDEX(Base!$U:$U,MATCH($A22,Base!$A:$A,0)),IF(IK$1=INDEX('Valo FX'!$R:$R,MATCH($A22,'Valo FX'!$A:$A,0)),INDEX(Base!$V:$V,MATCH($A22,Base!$A:$A,0)),0)))</f>
        <v>13.17</v>
      </c>
      <c r="IL22" s="21">
        <f>IF(IL$1&lt;INDEX('Valo FX'!$Q:$Q,MATCH($A22,'Valo FX'!$A:$A,0)),0,IF(IL$1&lt;INDEX('Valo FX'!$R:$R,MATCH($A22,'Valo FX'!$A:$A,0)),INDEX(Base!$U:$U,MATCH($A22,Base!$A:$A,0)),IF(IL$1=INDEX('Valo FX'!$R:$R,MATCH($A22,'Valo FX'!$A:$A,0)),INDEX(Base!$V:$V,MATCH($A22,Base!$A:$A,0)),0)))</f>
        <v>13.17</v>
      </c>
      <c r="IM22" s="21">
        <f>IF(IM$1&lt;INDEX('Valo FX'!$Q:$Q,MATCH($A22,'Valo FX'!$A:$A,0)),0,IF(IM$1&lt;INDEX('Valo FX'!$R:$R,MATCH($A22,'Valo FX'!$A:$A,0)),INDEX(Base!$U:$U,MATCH($A22,Base!$A:$A,0)),IF(IM$1=INDEX('Valo FX'!$R:$R,MATCH($A22,'Valo FX'!$A:$A,0)),INDEX(Base!$V:$V,MATCH($A22,Base!$A:$A,0)),0)))</f>
        <v>13.17</v>
      </c>
      <c r="IN22" s="21">
        <f>IF(IN$1&lt;INDEX('Valo FX'!$Q:$Q,MATCH($A22,'Valo FX'!$A:$A,0)),0,IF(IN$1&lt;INDEX('Valo FX'!$R:$R,MATCH($A22,'Valo FX'!$A:$A,0)),INDEX(Base!$U:$U,MATCH($A22,Base!$A:$A,0)),IF(IN$1=INDEX('Valo FX'!$R:$R,MATCH($A22,'Valo FX'!$A:$A,0)),INDEX(Base!$V:$V,MATCH($A22,Base!$A:$A,0)),0)))</f>
        <v>13.17</v>
      </c>
      <c r="IO22" s="21">
        <f>IF(IO$1&lt;INDEX('Valo FX'!$Q:$Q,MATCH($A22,'Valo FX'!$A:$A,0)),0,IF(IO$1&lt;INDEX('Valo FX'!$R:$R,MATCH($A22,'Valo FX'!$A:$A,0)),INDEX(Base!$U:$U,MATCH($A22,Base!$A:$A,0)),IF(IO$1=INDEX('Valo FX'!$R:$R,MATCH($A22,'Valo FX'!$A:$A,0)),INDEX(Base!$V:$V,MATCH($A22,Base!$A:$A,0)),0)))</f>
        <v>13.17</v>
      </c>
      <c r="IP22" s="21">
        <f>IF(IP$1&lt;INDEX('Valo FX'!$Q:$Q,MATCH($A22,'Valo FX'!$A:$A,0)),0,IF(IP$1&lt;INDEX('Valo FX'!$R:$R,MATCH($A22,'Valo FX'!$A:$A,0)),INDEX(Base!$U:$U,MATCH($A22,Base!$A:$A,0)),IF(IP$1=INDEX('Valo FX'!$R:$R,MATCH($A22,'Valo FX'!$A:$A,0)),INDEX(Base!$V:$V,MATCH($A22,Base!$A:$A,0)),0)))</f>
        <v>13.17</v>
      </c>
      <c r="IQ22" s="21">
        <f>IF(IQ$1&lt;INDEX('Valo FX'!$Q:$Q,MATCH($A22,'Valo FX'!$A:$A,0)),0,IF(IQ$1&lt;INDEX('Valo FX'!$R:$R,MATCH($A22,'Valo FX'!$A:$A,0)),INDEX(Base!$U:$U,MATCH($A22,Base!$A:$A,0)),IF(IQ$1=INDEX('Valo FX'!$R:$R,MATCH($A22,'Valo FX'!$A:$A,0)),INDEX(Base!$V:$V,MATCH($A22,Base!$A:$A,0)),0)))</f>
        <v>13.17</v>
      </c>
      <c r="IR22" s="21">
        <f>IF(IR$1&lt;INDEX('Valo FX'!$Q:$Q,MATCH($A22,'Valo FX'!$A:$A,0)),0,IF(IR$1&lt;INDEX('Valo FX'!$R:$R,MATCH($A22,'Valo FX'!$A:$A,0)),INDEX(Base!$U:$U,MATCH($A22,Base!$A:$A,0)),IF(IR$1=INDEX('Valo FX'!$R:$R,MATCH($A22,'Valo FX'!$A:$A,0)),INDEX(Base!$V:$V,MATCH($A22,Base!$A:$A,0)),0)))</f>
        <v>13.17</v>
      </c>
      <c r="IS22" s="21">
        <f>IF(IS$1&lt;INDEX('Valo FX'!$Q:$Q,MATCH($A22,'Valo FX'!$A:$A,0)),0,IF(IS$1&lt;INDEX('Valo FX'!$R:$R,MATCH($A22,'Valo FX'!$A:$A,0)),INDEX(Base!$U:$U,MATCH($A22,Base!$A:$A,0)),IF(IS$1=INDEX('Valo FX'!$R:$R,MATCH($A22,'Valo FX'!$A:$A,0)),INDEX(Base!$V:$V,MATCH($A22,Base!$A:$A,0)),0)))</f>
        <v>13.17</v>
      </c>
      <c r="IT22" s="21">
        <f>IF(IT$1&lt;INDEX('Valo FX'!$Q:$Q,MATCH($A22,'Valo FX'!$A:$A,0)),0,IF(IT$1&lt;INDEX('Valo FX'!$R:$R,MATCH($A22,'Valo FX'!$A:$A,0)),INDEX(Base!$U:$U,MATCH($A22,Base!$A:$A,0)),IF(IT$1=INDEX('Valo FX'!$R:$R,MATCH($A22,'Valo FX'!$A:$A,0)),INDEX(Base!$V:$V,MATCH($A22,Base!$A:$A,0)),0)))</f>
        <v>13.17</v>
      </c>
      <c r="IU22" s="21">
        <f>IF(IU$1&lt;INDEX('Valo FX'!$Q:$Q,MATCH($A22,'Valo FX'!$A:$A,0)),0,IF(IU$1&lt;INDEX('Valo FX'!$R:$R,MATCH($A22,'Valo FX'!$A:$A,0)),INDEX(Base!$U:$U,MATCH($A22,Base!$A:$A,0)),IF(IU$1=INDEX('Valo FX'!$R:$R,MATCH($A22,'Valo FX'!$A:$A,0)),INDEX(Base!$V:$V,MATCH($A22,Base!$A:$A,0)),0)))</f>
        <v>13.17</v>
      </c>
      <c r="IV22" s="21">
        <f>IF(IV$1&lt;INDEX('Valo FX'!$Q:$Q,MATCH($A22,'Valo FX'!$A:$A,0)),0,IF(IV$1&lt;INDEX('Valo FX'!$R:$R,MATCH($A22,'Valo FX'!$A:$A,0)),INDEX(Base!$U:$U,MATCH($A22,Base!$A:$A,0)),IF(IV$1=INDEX('Valo FX'!$R:$R,MATCH($A22,'Valo FX'!$A:$A,0)),INDEX(Base!$V:$V,MATCH($A22,Base!$A:$A,0)),0)))</f>
        <v>13.17</v>
      </c>
      <c r="IW22" s="21">
        <f>IF(IW$1&lt;INDEX('Valo FX'!$Q:$Q,MATCH($A22,'Valo FX'!$A:$A,0)),0,IF(IW$1&lt;INDEX('Valo FX'!$R:$R,MATCH($A22,'Valo FX'!$A:$A,0)),INDEX(Base!$U:$U,MATCH($A22,Base!$A:$A,0)),IF(IW$1=INDEX('Valo FX'!$R:$R,MATCH($A22,'Valo FX'!$A:$A,0)),INDEX(Base!$V:$V,MATCH($A22,Base!$A:$A,0)),0)))</f>
        <v>13.17</v>
      </c>
      <c r="IX22" s="21">
        <f>IF(IX$1&lt;INDEX('Valo FX'!$Q:$Q,MATCH($A22,'Valo FX'!$A:$A,0)),0,IF(IX$1&lt;INDEX('Valo FX'!$R:$R,MATCH($A22,'Valo FX'!$A:$A,0)),INDEX(Base!$U:$U,MATCH($A22,Base!$A:$A,0)),IF(IX$1=INDEX('Valo FX'!$R:$R,MATCH($A22,'Valo FX'!$A:$A,0)),INDEX(Base!$V:$V,MATCH($A22,Base!$A:$A,0)),0)))</f>
        <v>13.17</v>
      </c>
      <c r="IY22" s="21">
        <f>IF(IY$1&lt;INDEX('Valo FX'!$Q:$Q,MATCH($A22,'Valo FX'!$A:$A,0)),0,IF(IY$1&lt;INDEX('Valo FX'!$R:$R,MATCH($A22,'Valo FX'!$A:$A,0)),INDEX(Base!$U:$U,MATCH($A22,Base!$A:$A,0)),IF(IY$1=INDEX('Valo FX'!$R:$R,MATCH($A22,'Valo FX'!$A:$A,0)),INDEX(Base!$V:$V,MATCH($A22,Base!$A:$A,0)),0)))</f>
        <v>13.17</v>
      </c>
      <c r="IZ22" s="21">
        <f>IF(IZ$1&lt;INDEX('Valo FX'!$Q:$Q,MATCH($A22,'Valo FX'!$A:$A,0)),0,IF(IZ$1&lt;INDEX('Valo FX'!$R:$R,MATCH($A22,'Valo FX'!$A:$A,0)),INDEX(Base!$U:$U,MATCH($A22,Base!$A:$A,0)),IF(IZ$1=INDEX('Valo FX'!$R:$R,MATCH($A22,'Valo FX'!$A:$A,0)),INDEX(Base!$V:$V,MATCH($A22,Base!$A:$A,0)),0)))</f>
        <v>13.17</v>
      </c>
      <c r="JA22" s="21">
        <f>IF(JA$1&lt;INDEX('Valo FX'!$Q:$Q,MATCH($A22,'Valo FX'!$A:$A,0)),0,IF(JA$1&lt;INDEX('Valo FX'!$R:$R,MATCH($A22,'Valo FX'!$A:$A,0)),INDEX(Base!$U:$U,MATCH($A22,Base!$A:$A,0)),IF(JA$1=INDEX('Valo FX'!$R:$R,MATCH($A22,'Valo FX'!$A:$A,0)),INDEX(Base!$V:$V,MATCH($A22,Base!$A:$A,0)),0)))</f>
        <v>13.17</v>
      </c>
      <c r="JB22" s="21">
        <f>IF(JB$1&lt;INDEX('Valo FX'!$Q:$Q,MATCH($A22,'Valo FX'!$A:$A,0)),0,IF(JB$1&lt;INDEX('Valo FX'!$R:$R,MATCH($A22,'Valo FX'!$A:$A,0)),INDEX(Base!$U:$U,MATCH($A22,Base!$A:$A,0)),IF(JB$1=INDEX('Valo FX'!$R:$R,MATCH($A22,'Valo FX'!$A:$A,0)),INDEX(Base!$V:$V,MATCH($A22,Base!$A:$A,0)),0)))</f>
        <v>13.17</v>
      </c>
      <c r="JC22" s="21">
        <f>IF(JC$1&lt;INDEX('Valo FX'!$Q:$Q,MATCH($A22,'Valo FX'!$A:$A,0)),0,IF(JC$1&lt;INDEX('Valo FX'!$R:$R,MATCH($A22,'Valo FX'!$A:$A,0)),INDEX(Base!$U:$U,MATCH($A22,Base!$A:$A,0)),IF(JC$1=INDEX('Valo FX'!$R:$R,MATCH($A22,'Valo FX'!$A:$A,0)),INDEX(Base!$V:$V,MATCH($A22,Base!$A:$A,0)),0)))</f>
        <v>13.17</v>
      </c>
      <c r="JD22" s="21">
        <f>IF(JD$1&lt;INDEX('Valo FX'!$Q:$Q,MATCH($A22,'Valo FX'!$A:$A,0)),0,IF(JD$1&lt;INDEX('Valo FX'!$R:$R,MATCH($A22,'Valo FX'!$A:$A,0)),INDEX(Base!$U:$U,MATCH($A22,Base!$A:$A,0)),IF(JD$1=INDEX('Valo FX'!$R:$R,MATCH($A22,'Valo FX'!$A:$A,0)),INDEX(Base!$V:$V,MATCH($A22,Base!$A:$A,0)),0)))</f>
        <v>13.17</v>
      </c>
      <c r="JE22" s="21">
        <f>IF(JE$1&lt;INDEX('Valo FX'!$Q:$Q,MATCH($A22,'Valo FX'!$A:$A,0)),0,IF(JE$1&lt;INDEX('Valo FX'!$R:$R,MATCH($A22,'Valo FX'!$A:$A,0)),INDEX(Base!$U:$U,MATCH($A22,Base!$A:$A,0)),IF(JE$1=INDEX('Valo FX'!$R:$R,MATCH($A22,'Valo FX'!$A:$A,0)),INDEX(Base!$V:$V,MATCH($A22,Base!$A:$A,0)),0)))</f>
        <v>13.17</v>
      </c>
      <c r="JF22" s="21">
        <f>IF(JF$1&lt;INDEX('Valo FX'!$Q:$Q,MATCH($A22,'Valo FX'!$A:$A,0)),0,IF(JF$1&lt;INDEX('Valo FX'!$R:$R,MATCH($A22,'Valo FX'!$A:$A,0)),INDEX(Base!$U:$U,MATCH($A22,Base!$A:$A,0)),IF(JF$1=INDEX('Valo FX'!$R:$R,MATCH($A22,'Valo FX'!$A:$A,0)),INDEX(Base!$V:$V,MATCH($A22,Base!$A:$A,0)),0)))</f>
        <v>13.17</v>
      </c>
      <c r="JG22" s="21">
        <f>IF(JG$1&lt;INDEX('Valo FX'!$Q:$Q,MATCH($A22,'Valo FX'!$A:$A,0)),0,IF(JG$1&lt;INDEX('Valo FX'!$R:$R,MATCH($A22,'Valo FX'!$A:$A,0)),INDEX(Base!$U:$U,MATCH($A22,Base!$A:$A,0)),IF(JG$1=INDEX('Valo FX'!$R:$R,MATCH($A22,'Valo FX'!$A:$A,0)),INDEX(Base!$V:$V,MATCH($A22,Base!$A:$A,0)),0)))</f>
        <v>13.17</v>
      </c>
      <c r="JH22" s="21">
        <f>IF(JH$1&lt;INDEX('Valo FX'!$Q:$Q,MATCH($A22,'Valo FX'!$A:$A,0)),0,IF(JH$1&lt;INDEX('Valo FX'!$R:$R,MATCH($A22,'Valo FX'!$A:$A,0)),INDEX(Base!$U:$U,MATCH($A22,Base!$A:$A,0)),IF(JH$1=INDEX('Valo FX'!$R:$R,MATCH($A22,'Valo FX'!$A:$A,0)),INDEX(Base!$V:$V,MATCH($A22,Base!$A:$A,0)),0)))</f>
        <v>13.17</v>
      </c>
      <c r="JI22" s="21">
        <f>IF(JI$1&lt;INDEX('Valo FX'!$Q:$Q,MATCH($A22,'Valo FX'!$A:$A,0)),0,IF(JI$1&lt;INDEX('Valo FX'!$R:$R,MATCH($A22,'Valo FX'!$A:$A,0)),INDEX(Base!$U:$U,MATCH($A22,Base!$A:$A,0)),IF(JI$1=INDEX('Valo FX'!$R:$R,MATCH($A22,'Valo FX'!$A:$A,0)),INDEX(Base!$V:$V,MATCH($A22,Base!$A:$A,0)),0)))</f>
        <v>13.17</v>
      </c>
      <c r="JJ22" s="21">
        <f>IF(JJ$1&lt;INDEX('Valo FX'!$Q:$Q,MATCH($A22,'Valo FX'!$A:$A,0)),0,IF(JJ$1&lt;INDEX('Valo FX'!$R:$R,MATCH($A22,'Valo FX'!$A:$A,0)),INDEX(Base!$U:$U,MATCH($A22,Base!$A:$A,0)),IF(JJ$1=INDEX('Valo FX'!$R:$R,MATCH($A22,'Valo FX'!$A:$A,0)),INDEX(Base!$V:$V,MATCH($A22,Base!$A:$A,0)),0)))</f>
        <v>13.17</v>
      </c>
      <c r="JK22" s="21">
        <f>IF(JK$1&lt;INDEX('Valo FX'!$Q:$Q,MATCH($A22,'Valo FX'!$A:$A,0)),0,IF(JK$1&lt;INDEX('Valo FX'!$R:$R,MATCH($A22,'Valo FX'!$A:$A,0)),INDEX(Base!$U:$U,MATCH($A22,Base!$A:$A,0)),IF(JK$1=INDEX('Valo FX'!$R:$R,MATCH($A22,'Valo FX'!$A:$A,0)),INDEX(Base!$V:$V,MATCH($A22,Base!$A:$A,0)),0)))</f>
        <v>13.17</v>
      </c>
      <c r="JL22" s="21">
        <f>IF(JL$1&lt;INDEX('Valo FX'!$Q:$Q,MATCH($A22,'Valo FX'!$A:$A,0)),0,IF(JL$1&lt;INDEX('Valo FX'!$R:$R,MATCH($A22,'Valo FX'!$A:$A,0)),INDEX(Base!$U:$U,MATCH($A22,Base!$A:$A,0)),IF(JL$1=INDEX('Valo FX'!$R:$R,MATCH($A22,'Valo FX'!$A:$A,0)),INDEX(Base!$V:$V,MATCH($A22,Base!$A:$A,0)),0)))</f>
        <v>13.17</v>
      </c>
      <c r="JM22" s="21">
        <f>IF(JM$1&lt;INDEX('Valo FX'!$Q:$Q,MATCH($A22,'Valo FX'!$A:$A,0)),0,IF(JM$1&lt;INDEX('Valo FX'!$R:$R,MATCH($A22,'Valo FX'!$A:$A,0)),INDEX(Base!$U:$U,MATCH($A22,Base!$A:$A,0)),IF(JM$1=INDEX('Valo FX'!$R:$R,MATCH($A22,'Valo FX'!$A:$A,0)),INDEX(Base!$V:$V,MATCH($A22,Base!$A:$A,0)),0)))</f>
        <v>13.17</v>
      </c>
      <c r="JN22" s="21">
        <f>IF(JN$1&lt;INDEX('Valo FX'!$Q:$Q,MATCH($A22,'Valo FX'!$A:$A,0)),0,IF(JN$1&lt;INDEX('Valo FX'!$R:$R,MATCH($A22,'Valo FX'!$A:$A,0)),INDEX(Base!$U:$U,MATCH($A22,Base!$A:$A,0)),IF(JN$1=INDEX('Valo FX'!$R:$R,MATCH($A22,'Valo FX'!$A:$A,0)),INDEX(Base!$V:$V,MATCH($A22,Base!$A:$A,0)),0)))</f>
        <v>13.17</v>
      </c>
      <c r="JO22" s="21">
        <f>IF(JO$1&lt;INDEX('Valo FX'!$Q:$Q,MATCH($A22,'Valo FX'!$A:$A,0)),0,IF(JO$1&lt;INDEX('Valo FX'!$R:$R,MATCH($A22,'Valo FX'!$A:$A,0)),INDEX(Base!$U:$U,MATCH($A22,Base!$A:$A,0)),IF(JO$1=INDEX('Valo FX'!$R:$R,MATCH($A22,'Valo FX'!$A:$A,0)),INDEX(Base!$V:$V,MATCH($A22,Base!$A:$A,0)),0)))</f>
        <v>13.17</v>
      </c>
      <c r="JP22" s="21">
        <f>IF(JP$1&lt;INDEX('Valo FX'!$Q:$Q,MATCH($A22,'Valo FX'!$A:$A,0)),0,IF(JP$1&lt;INDEX('Valo FX'!$R:$R,MATCH($A22,'Valo FX'!$A:$A,0)),INDEX(Base!$U:$U,MATCH($A22,Base!$A:$A,0)),IF(JP$1=INDEX('Valo FX'!$R:$R,MATCH($A22,'Valo FX'!$A:$A,0)),INDEX(Base!$V:$V,MATCH($A22,Base!$A:$A,0)),0)))</f>
        <v>13.17</v>
      </c>
      <c r="JQ22" s="21">
        <f>IF(JQ$1&lt;INDEX('Valo FX'!$Q:$Q,MATCH($A22,'Valo FX'!$A:$A,0)),0,IF(JQ$1&lt;INDEX('Valo FX'!$R:$R,MATCH($A22,'Valo FX'!$A:$A,0)),INDEX(Base!$U:$U,MATCH($A22,Base!$A:$A,0)),IF(JQ$1=INDEX('Valo FX'!$R:$R,MATCH($A22,'Valo FX'!$A:$A,0)),INDEX(Base!$V:$V,MATCH($A22,Base!$A:$A,0)),0)))</f>
        <v>13.17</v>
      </c>
      <c r="JR22" s="21">
        <f>IF(JR$1&lt;INDEX('Valo FX'!$Q:$Q,MATCH($A22,'Valo FX'!$A:$A,0)),0,IF(JR$1&lt;INDEX('Valo FX'!$R:$R,MATCH($A22,'Valo FX'!$A:$A,0)),INDEX(Base!$U:$U,MATCH($A22,Base!$A:$A,0)),IF(JR$1=INDEX('Valo FX'!$R:$R,MATCH($A22,'Valo FX'!$A:$A,0)),INDEX(Base!$V:$V,MATCH($A22,Base!$A:$A,0)),0)))</f>
        <v>13.17</v>
      </c>
      <c r="JS22" s="21">
        <f>IF(JS$1&lt;INDEX('Valo FX'!$Q:$Q,MATCH($A22,'Valo FX'!$A:$A,0)),0,IF(JS$1&lt;INDEX('Valo FX'!$R:$R,MATCH($A22,'Valo FX'!$A:$A,0)),INDEX(Base!$U:$U,MATCH($A22,Base!$A:$A,0)),IF(JS$1=INDEX('Valo FX'!$R:$R,MATCH($A22,'Valo FX'!$A:$A,0)),INDEX(Base!$V:$V,MATCH($A22,Base!$A:$A,0)),0)))</f>
        <v>13.17</v>
      </c>
      <c r="JT22" s="21">
        <f>IF(JT$1&lt;INDEX('Valo FX'!$Q:$Q,MATCH($A22,'Valo FX'!$A:$A,0)),0,IF(JT$1&lt;INDEX('Valo FX'!$R:$R,MATCH($A22,'Valo FX'!$A:$A,0)),INDEX(Base!$U:$U,MATCH($A22,Base!$A:$A,0)),IF(JT$1=INDEX('Valo FX'!$R:$R,MATCH($A22,'Valo FX'!$A:$A,0)),INDEX(Base!$V:$V,MATCH($A22,Base!$A:$A,0)),0)))</f>
        <v>13.17</v>
      </c>
      <c r="JU22" s="21">
        <f>IF(JU$1&lt;INDEX('Valo FX'!$Q:$Q,MATCH($A22,'Valo FX'!$A:$A,0)),0,IF(JU$1&lt;INDEX('Valo FX'!$R:$R,MATCH($A22,'Valo FX'!$A:$A,0)),INDEX(Base!$U:$U,MATCH($A22,Base!$A:$A,0)),IF(JU$1=INDEX('Valo FX'!$R:$R,MATCH($A22,'Valo FX'!$A:$A,0)),INDEX(Base!$V:$V,MATCH($A22,Base!$A:$A,0)),0)))</f>
        <v>13.17</v>
      </c>
      <c r="JV22" s="21">
        <f>IF(JV$1&lt;INDEX('Valo FX'!$Q:$Q,MATCH($A22,'Valo FX'!$A:$A,0)),0,IF(JV$1&lt;INDEX('Valo FX'!$R:$R,MATCH($A22,'Valo FX'!$A:$A,0)),INDEX(Base!$U:$U,MATCH($A22,Base!$A:$A,0)),IF(JV$1=INDEX('Valo FX'!$R:$R,MATCH($A22,'Valo FX'!$A:$A,0)),INDEX(Base!$V:$V,MATCH($A22,Base!$A:$A,0)),0)))</f>
        <v>13.17</v>
      </c>
      <c r="JW22" s="21">
        <f>IF(JW$1&lt;INDEX('Valo FX'!$Q:$Q,MATCH($A22,'Valo FX'!$A:$A,0)),0,IF(JW$1&lt;INDEX('Valo FX'!$R:$R,MATCH($A22,'Valo FX'!$A:$A,0)),INDEX(Base!$U:$U,MATCH($A22,Base!$A:$A,0)),IF(JW$1=INDEX('Valo FX'!$R:$R,MATCH($A22,'Valo FX'!$A:$A,0)),INDEX(Base!$V:$V,MATCH($A22,Base!$A:$A,0)),0)))</f>
        <v>13.17</v>
      </c>
      <c r="JX22" s="21">
        <f>IF(JX$1&lt;INDEX('Valo FX'!$Q:$Q,MATCH($A22,'Valo FX'!$A:$A,0)),0,IF(JX$1&lt;INDEX('Valo FX'!$R:$R,MATCH($A22,'Valo FX'!$A:$A,0)),INDEX(Base!$U:$U,MATCH($A22,Base!$A:$A,0)),IF(JX$1=INDEX('Valo FX'!$R:$R,MATCH($A22,'Valo FX'!$A:$A,0)),INDEX(Base!$V:$V,MATCH($A22,Base!$A:$A,0)),0)))</f>
        <v>13.17</v>
      </c>
      <c r="JY22" s="21">
        <f>IF(JY$1&lt;INDEX('Valo FX'!$Q:$Q,MATCH($A22,'Valo FX'!$A:$A,0)),0,IF(JY$1&lt;INDEX('Valo FX'!$R:$R,MATCH($A22,'Valo FX'!$A:$A,0)),INDEX(Base!$U:$U,MATCH($A22,Base!$A:$A,0)),IF(JY$1=INDEX('Valo FX'!$R:$R,MATCH($A22,'Valo FX'!$A:$A,0)),INDEX(Base!$V:$V,MATCH($A22,Base!$A:$A,0)),0)))</f>
        <v>13.17</v>
      </c>
      <c r="JZ22" s="21">
        <f>IF(JZ$1&lt;INDEX('Valo FX'!$Q:$Q,MATCH($A22,'Valo FX'!$A:$A,0)),0,IF(JZ$1&lt;INDEX('Valo FX'!$R:$R,MATCH($A22,'Valo FX'!$A:$A,0)),INDEX(Base!$U:$U,MATCH($A22,Base!$A:$A,0)),IF(JZ$1=INDEX('Valo FX'!$R:$R,MATCH($A22,'Valo FX'!$A:$A,0)),INDEX(Base!$V:$V,MATCH($A22,Base!$A:$A,0)),0)))</f>
        <v>13.17</v>
      </c>
      <c r="KA22" s="21">
        <f>IF(KA$1&lt;INDEX('Valo FX'!$Q:$Q,MATCH($A22,'Valo FX'!$A:$A,0)),0,IF(KA$1&lt;INDEX('Valo FX'!$R:$R,MATCH($A22,'Valo FX'!$A:$A,0)),INDEX(Base!$U:$U,MATCH($A22,Base!$A:$A,0)),IF(KA$1=INDEX('Valo FX'!$R:$R,MATCH($A22,'Valo FX'!$A:$A,0)),INDEX(Base!$V:$V,MATCH($A22,Base!$A:$A,0)),0)))</f>
        <v>13.17</v>
      </c>
      <c r="KB22" s="21">
        <f>IF(KB$1&lt;INDEX('Valo FX'!$Q:$Q,MATCH($A22,'Valo FX'!$A:$A,0)),0,IF(KB$1&lt;INDEX('Valo FX'!$R:$R,MATCH($A22,'Valo FX'!$A:$A,0)),INDEX(Base!$U:$U,MATCH($A22,Base!$A:$A,0)),IF(KB$1=INDEX('Valo FX'!$R:$R,MATCH($A22,'Valo FX'!$A:$A,0)),INDEX(Base!$V:$V,MATCH($A22,Base!$A:$A,0)),0)))</f>
        <v>13.17</v>
      </c>
      <c r="KC22" s="21">
        <f>IF(KC$1&lt;INDEX('Valo FX'!$Q:$Q,MATCH($A22,'Valo FX'!$A:$A,0)),0,IF(KC$1&lt;INDEX('Valo FX'!$R:$R,MATCH($A22,'Valo FX'!$A:$A,0)),INDEX(Base!$U:$U,MATCH($A22,Base!$A:$A,0)),IF(KC$1=INDEX('Valo FX'!$R:$R,MATCH($A22,'Valo FX'!$A:$A,0)),INDEX(Base!$V:$V,MATCH($A22,Base!$A:$A,0)),0)))</f>
        <v>13.17</v>
      </c>
      <c r="KD22" s="21">
        <f>IF(KD$1&lt;INDEX('Valo FX'!$Q:$Q,MATCH($A22,'Valo FX'!$A:$A,0)),0,IF(KD$1&lt;INDEX('Valo FX'!$R:$R,MATCH($A22,'Valo FX'!$A:$A,0)),INDEX(Base!$U:$U,MATCH($A22,Base!$A:$A,0)),IF(KD$1=INDEX('Valo FX'!$R:$R,MATCH($A22,'Valo FX'!$A:$A,0)),INDEX(Base!$V:$V,MATCH($A22,Base!$A:$A,0)),0)))</f>
        <v>13.17</v>
      </c>
      <c r="KE22" s="21">
        <f>IF(KE$1&lt;INDEX('Valo FX'!$Q:$Q,MATCH($A22,'Valo FX'!$A:$A,0)),0,IF(KE$1&lt;INDEX('Valo FX'!$R:$R,MATCH($A22,'Valo FX'!$A:$A,0)),INDEX(Base!$U:$U,MATCH($A22,Base!$A:$A,0)),IF(KE$1=INDEX('Valo FX'!$R:$R,MATCH($A22,'Valo FX'!$A:$A,0)),INDEX(Base!$V:$V,MATCH($A22,Base!$A:$A,0)),0)))</f>
        <v>13.17</v>
      </c>
      <c r="KF22" s="21">
        <f>IF(KF$1&lt;INDEX('Valo FX'!$Q:$Q,MATCH($A22,'Valo FX'!$A:$A,0)),0,IF(KF$1&lt;INDEX('Valo FX'!$R:$R,MATCH($A22,'Valo FX'!$A:$A,0)),INDEX(Base!$U:$U,MATCH($A22,Base!$A:$A,0)),IF(KF$1=INDEX('Valo FX'!$R:$R,MATCH($A22,'Valo FX'!$A:$A,0)),INDEX(Base!$V:$V,MATCH($A22,Base!$A:$A,0)),0)))</f>
        <v>13.17</v>
      </c>
      <c r="KG22" s="21">
        <f>IF(KG$1&lt;INDEX('Valo FX'!$Q:$Q,MATCH($A22,'Valo FX'!$A:$A,0)),0,IF(KG$1&lt;INDEX('Valo FX'!$R:$R,MATCH($A22,'Valo FX'!$A:$A,0)),INDEX(Base!$U:$U,MATCH($A22,Base!$A:$A,0)),IF(KG$1=INDEX('Valo FX'!$R:$R,MATCH($A22,'Valo FX'!$A:$A,0)),INDEX(Base!$V:$V,MATCH($A22,Base!$A:$A,0)),0)))</f>
        <v>13.17</v>
      </c>
      <c r="KH22" s="21">
        <f>IF(KH$1&lt;INDEX('Valo FX'!$Q:$Q,MATCH($A22,'Valo FX'!$A:$A,0)),0,IF(KH$1&lt;INDEX('Valo FX'!$R:$R,MATCH($A22,'Valo FX'!$A:$A,0)),INDEX(Base!$U:$U,MATCH($A22,Base!$A:$A,0)),IF(KH$1=INDEX('Valo FX'!$R:$R,MATCH($A22,'Valo FX'!$A:$A,0)),INDEX(Base!$V:$V,MATCH($A22,Base!$A:$A,0)),0)))</f>
        <v>13.17</v>
      </c>
      <c r="KI22" s="21">
        <f>IF(KI$1&lt;INDEX('Valo FX'!$Q:$Q,MATCH($A22,'Valo FX'!$A:$A,0)),0,IF(KI$1&lt;INDEX('Valo FX'!$R:$R,MATCH($A22,'Valo FX'!$A:$A,0)),INDEX(Base!$U:$U,MATCH($A22,Base!$A:$A,0)),IF(KI$1=INDEX('Valo FX'!$R:$R,MATCH($A22,'Valo FX'!$A:$A,0)),INDEX(Base!$V:$V,MATCH($A22,Base!$A:$A,0)),0)))</f>
        <v>13.17</v>
      </c>
      <c r="KJ22" s="21">
        <f>IF(KJ$1&lt;INDEX('Valo FX'!$Q:$Q,MATCH($A22,'Valo FX'!$A:$A,0)),0,IF(KJ$1&lt;INDEX('Valo FX'!$R:$R,MATCH($A22,'Valo FX'!$A:$A,0)),INDEX(Base!$U:$U,MATCH($A22,Base!$A:$A,0)),IF(KJ$1=INDEX('Valo FX'!$R:$R,MATCH($A22,'Valo FX'!$A:$A,0)),INDEX(Base!$V:$V,MATCH($A22,Base!$A:$A,0)),0)))</f>
        <v>13.17</v>
      </c>
      <c r="KK22" s="21">
        <f>IF(KK$1&lt;INDEX('Valo FX'!$Q:$Q,MATCH($A22,'Valo FX'!$A:$A,0)),0,IF(KK$1&lt;INDEX('Valo FX'!$R:$R,MATCH($A22,'Valo FX'!$A:$A,0)),INDEX(Base!$U:$U,MATCH($A22,Base!$A:$A,0)),IF(KK$1=INDEX('Valo FX'!$R:$R,MATCH($A22,'Valo FX'!$A:$A,0)),INDEX(Base!$V:$V,MATCH($A22,Base!$A:$A,0)),0)))</f>
        <v>13.17</v>
      </c>
      <c r="KL22" s="21">
        <f>IF(KL$1&lt;INDEX('Valo FX'!$Q:$Q,MATCH($A22,'Valo FX'!$A:$A,0)),0,IF(KL$1&lt;INDEX('Valo FX'!$R:$R,MATCH($A22,'Valo FX'!$A:$A,0)),INDEX(Base!$U:$U,MATCH($A22,Base!$A:$A,0)),IF(KL$1=INDEX('Valo FX'!$R:$R,MATCH($A22,'Valo FX'!$A:$A,0)),INDEX(Base!$V:$V,MATCH($A22,Base!$A:$A,0)),0)))</f>
        <v>13.17</v>
      </c>
      <c r="KM22" s="21">
        <f>IF(KM$1&lt;INDEX('Valo FX'!$Q:$Q,MATCH($A22,'Valo FX'!$A:$A,0)),0,IF(KM$1&lt;INDEX('Valo FX'!$R:$R,MATCH($A22,'Valo FX'!$A:$A,0)),INDEX(Base!$U:$U,MATCH($A22,Base!$A:$A,0)),IF(KM$1=INDEX('Valo FX'!$R:$R,MATCH($A22,'Valo FX'!$A:$A,0)),INDEX(Base!$V:$V,MATCH($A22,Base!$A:$A,0)),0)))</f>
        <v>13.17</v>
      </c>
      <c r="KN22" s="21">
        <f>IF(KN$1&lt;INDEX('Valo FX'!$Q:$Q,MATCH($A22,'Valo FX'!$A:$A,0)),0,IF(KN$1&lt;INDEX('Valo FX'!$R:$R,MATCH($A22,'Valo FX'!$A:$A,0)),INDEX(Base!$U:$U,MATCH($A22,Base!$A:$A,0)),IF(KN$1=INDEX('Valo FX'!$R:$R,MATCH($A22,'Valo FX'!$A:$A,0)),INDEX(Base!$V:$V,MATCH($A22,Base!$A:$A,0)),0)))</f>
        <v>13.17</v>
      </c>
      <c r="KO22" s="21">
        <f>IF(KO$1&lt;INDEX('Valo FX'!$Q:$Q,MATCH($A22,'Valo FX'!$A:$A,0)),0,IF(KO$1&lt;INDEX('Valo FX'!$R:$R,MATCH($A22,'Valo FX'!$A:$A,0)),INDEX(Base!$U:$U,MATCH($A22,Base!$A:$A,0)),IF(KO$1=INDEX('Valo FX'!$R:$R,MATCH($A22,'Valo FX'!$A:$A,0)),INDEX(Base!$V:$V,MATCH($A22,Base!$A:$A,0)),0)))</f>
        <v>13.17</v>
      </c>
      <c r="KP22" s="21">
        <f>IF(KP$1&lt;INDEX('Valo FX'!$Q:$Q,MATCH($A22,'Valo FX'!$A:$A,0)),0,IF(KP$1&lt;INDEX('Valo FX'!$R:$R,MATCH($A22,'Valo FX'!$A:$A,0)),INDEX(Base!$U:$U,MATCH($A22,Base!$A:$A,0)),IF(KP$1=INDEX('Valo FX'!$R:$R,MATCH($A22,'Valo FX'!$A:$A,0)),INDEX(Base!$V:$V,MATCH($A22,Base!$A:$A,0)),0)))</f>
        <v>13.17</v>
      </c>
      <c r="KQ22" s="21">
        <f>IF(KQ$1&lt;INDEX('Valo FX'!$Q:$Q,MATCH($A22,'Valo FX'!$A:$A,0)),0,IF(KQ$1&lt;INDEX('Valo FX'!$R:$R,MATCH($A22,'Valo FX'!$A:$A,0)),INDEX(Base!$U:$U,MATCH($A22,Base!$A:$A,0)),IF(KQ$1=INDEX('Valo FX'!$R:$R,MATCH($A22,'Valo FX'!$A:$A,0)),INDEX(Base!$V:$V,MATCH($A22,Base!$A:$A,0)),0)))</f>
        <v>13.17</v>
      </c>
      <c r="KR22" s="21">
        <f>IF(KR$1&lt;INDEX('Valo FX'!$Q:$Q,MATCH($A22,'Valo FX'!$A:$A,0)),0,IF(KR$1&lt;INDEX('Valo FX'!$R:$R,MATCH($A22,'Valo FX'!$A:$A,0)),INDEX(Base!$U:$U,MATCH($A22,Base!$A:$A,0)),IF(KR$1=INDEX('Valo FX'!$R:$R,MATCH($A22,'Valo FX'!$A:$A,0)),INDEX(Base!$V:$V,MATCH($A22,Base!$A:$A,0)),0)))</f>
        <v>13.17</v>
      </c>
      <c r="KS22" s="21">
        <f>IF(KS$1&lt;INDEX('Valo FX'!$Q:$Q,MATCH($A22,'Valo FX'!$A:$A,0)),0,IF(KS$1&lt;INDEX('Valo FX'!$R:$R,MATCH($A22,'Valo FX'!$A:$A,0)),INDEX(Base!$U:$U,MATCH($A22,Base!$A:$A,0)),IF(KS$1=INDEX('Valo FX'!$R:$R,MATCH($A22,'Valo FX'!$A:$A,0)),INDEX(Base!$V:$V,MATCH($A22,Base!$A:$A,0)),0)))</f>
        <v>13.17</v>
      </c>
      <c r="KT22" s="21">
        <f>IF(KT$1&lt;INDEX('Valo FX'!$Q:$Q,MATCH($A22,'Valo FX'!$A:$A,0)),0,IF(KT$1&lt;INDEX('Valo FX'!$R:$R,MATCH($A22,'Valo FX'!$A:$A,0)),INDEX(Base!$U:$U,MATCH($A22,Base!$A:$A,0)),IF(KT$1=INDEX('Valo FX'!$R:$R,MATCH($A22,'Valo FX'!$A:$A,0)),INDEX(Base!$V:$V,MATCH($A22,Base!$A:$A,0)),0)))</f>
        <v>13.17</v>
      </c>
      <c r="KU22" s="21">
        <f>IF(KU$1&lt;INDEX('Valo FX'!$Q:$Q,MATCH($A22,'Valo FX'!$A:$A,0)),0,IF(KU$1&lt;INDEX('Valo FX'!$R:$R,MATCH($A22,'Valo FX'!$A:$A,0)),INDEX(Base!$U:$U,MATCH($A22,Base!$A:$A,0)),IF(KU$1=INDEX('Valo FX'!$R:$R,MATCH($A22,'Valo FX'!$A:$A,0)),INDEX(Base!$V:$V,MATCH($A22,Base!$A:$A,0)),0)))</f>
        <v>13.17</v>
      </c>
      <c r="KV22" s="21">
        <f>IF(KV$1&lt;INDEX('Valo FX'!$Q:$Q,MATCH($A22,'Valo FX'!$A:$A,0)),0,IF(KV$1&lt;INDEX('Valo FX'!$R:$R,MATCH($A22,'Valo FX'!$A:$A,0)),INDEX(Base!$U:$U,MATCH($A22,Base!$A:$A,0)),IF(KV$1=INDEX('Valo FX'!$R:$R,MATCH($A22,'Valo FX'!$A:$A,0)),INDEX(Base!$V:$V,MATCH($A22,Base!$A:$A,0)),0)))</f>
        <v>13.17</v>
      </c>
      <c r="KW22" s="21">
        <f>IF(KW$1&lt;INDEX('Valo FX'!$Q:$Q,MATCH($A22,'Valo FX'!$A:$A,0)),0,IF(KW$1&lt;INDEX('Valo FX'!$R:$R,MATCH($A22,'Valo FX'!$A:$A,0)),INDEX(Base!$U:$U,MATCH($A22,Base!$A:$A,0)),IF(KW$1=INDEX('Valo FX'!$R:$R,MATCH($A22,'Valo FX'!$A:$A,0)),INDEX(Base!$V:$V,MATCH($A22,Base!$A:$A,0)),0)))</f>
        <v>13.17</v>
      </c>
      <c r="KX22" s="21">
        <f>IF(KX$1&lt;INDEX('Valo FX'!$Q:$Q,MATCH($A22,'Valo FX'!$A:$A,0)),0,IF(KX$1&lt;INDEX('Valo FX'!$R:$R,MATCH($A22,'Valo FX'!$A:$A,0)),INDEX(Base!$U:$U,MATCH($A22,Base!$A:$A,0)),IF(KX$1=INDEX('Valo FX'!$R:$R,MATCH($A22,'Valo FX'!$A:$A,0)),INDEX(Base!$V:$V,MATCH($A22,Base!$A:$A,0)),0)))</f>
        <v>13.17</v>
      </c>
      <c r="KY22" s="21">
        <f>IF(KY$1&lt;INDEX('Valo FX'!$Q:$Q,MATCH($A22,'Valo FX'!$A:$A,0)),0,IF(KY$1&lt;INDEX('Valo FX'!$R:$R,MATCH($A22,'Valo FX'!$A:$A,0)),INDEX(Base!$U:$U,MATCH($A22,Base!$A:$A,0)),IF(KY$1=INDEX('Valo FX'!$R:$R,MATCH($A22,'Valo FX'!$A:$A,0)),INDEX(Base!$V:$V,MATCH($A22,Base!$A:$A,0)),0)))</f>
        <v>13.17</v>
      </c>
      <c r="KZ22" s="21">
        <f>IF(KZ$1&lt;INDEX('Valo FX'!$Q:$Q,MATCH($A22,'Valo FX'!$A:$A,0)),0,IF(KZ$1&lt;INDEX('Valo FX'!$R:$R,MATCH($A22,'Valo FX'!$A:$A,0)),INDEX(Base!$U:$U,MATCH($A22,Base!$A:$A,0)),IF(KZ$1=INDEX('Valo FX'!$R:$R,MATCH($A22,'Valo FX'!$A:$A,0)),INDEX(Base!$V:$V,MATCH($A22,Base!$A:$A,0)),0)))</f>
        <v>13.17</v>
      </c>
      <c r="LA22" s="21">
        <f>IF(LA$1&lt;INDEX('Valo FX'!$Q:$Q,MATCH($A22,'Valo FX'!$A:$A,0)),0,IF(LA$1&lt;INDEX('Valo FX'!$R:$R,MATCH($A22,'Valo FX'!$A:$A,0)),INDEX(Base!$U:$U,MATCH($A22,Base!$A:$A,0)),IF(LA$1=INDEX('Valo FX'!$R:$R,MATCH($A22,'Valo FX'!$A:$A,0)),INDEX(Base!$V:$V,MATCH($A22,Base!$A:$A,0)),0)))</f>
        <v>13.17</v>
      </c>
      <c r="LB22" s="21">
        <f>IF(LB$1&lt;INDEX('Valo FX'!$Q:$Q,MATCH($A22,'Valo FX'!$A:$A,0)),0,IF(LB$1&lt;INDEX('Valo FX'!$R:$R,MATCH($A22,'Valo FX'!$A:$A,0)),INDEX(Base!$U:$U,MATCH($A22,Base!$A:$A,0)),IF(LB$1=INDEX('Valo FX'!$R:$R,MATCH($A22,'Valo FX'!$A:$A,0)),INDEX(Base!$V:$V,MATCH($A22,Base!$A:$A,0)),0)))</f>
        <v>13.17</v>
      </c>
      <c r="LC22" s="21">
        <f>IF(LC$1&lt;INDEX('Valo FX'!$Q:$Q,MATCH($A22,'Valo FX'!$A:$A,0)),0,IF(LC$1&lt;INDEX('Valo FX'!$R:$R,MATCH($A22,'Valo FX'!$A:$A,0)),INDEX(Base!$U:$U,MATCH($A22,Base!$A:$A,0)),IF(LC$1=INDEX('Valo FX'!$R:$R,MATCH($A22,'Valo FX'!$A:$A,0)),INDEX(Base!$V:$V,MATCH($A22,Base!$A:$A,0)),0)))</f>
        <v>13.17</v>
      </c>
      <c r="LD22" s="21">
        <f>IF(LD$1&lt;INDEX('Valo FX'!$Q:$Q,MATCH($A22,'Valo FX'!$A:$A,0)),0,IF(LD$1&lt;INDEX('Valo FX'!$R:$R,MATCH($A22,'Valo FX'!$A:$A,0)),INDEX(Base!$U:$U,MATCH($A22,Base!$A:$A,0)),IF(LD$1=INDEX('Valo FX'!$R:$R,MATCH($A22,'Valo FX'!$A:$A,0)),INDEX(Base!$V:$V,MATCH($A22,Base!$A:$A,0)),0)))</f>
        <v>13.17</v>
      </c>
      <c r="LE22" s="21">
        <f>IF(LE$1&lt;INDEX('Valo FX'!$Q:$Q,MATCH($A22,'Valo FX'!$A:$A,0)),0,IF(LE$1&lt;INDEX('Valo FX'!$R:$R,MATCH($A22,'Valo FX'!$A:$A,0)),INDEX(Base!$U:$U,MATCH($A22,Base!$A:$A,0)),IF(LE$1=INDEX('Valo FX'!$R:$R,MATCH($A22,'Valo FX'!$A:$A,0)),INDEX(Base!$V:$V,MATCH($A22,Base!$A:$A,0)),0)))</f>
        <v>13.17</v>
      </c>
      <c r="LF22" s="21">
        <f>IF(LF$1&lt;INDEX('Valo FX'!$Q:$Q,MATCH($A22,'Valo FX'!$A:$A,0)),0,IF(LF$1&lt;INDEX('Valo FX'!$R:$R,MATCH($A22,'Valo FX'!$A:$A,0)),INDEX(Base!$U:$U,MATCH($A22,Base!$A:$A,0)),IF(LF$1=INDEX('Valo FX'!$R:$R,MATCH($A22,'Valo FX'!$A:$A,0)),INDEX(Base!$V:$V,MATCH($A22,Base!$A:$A,0)),0)))</f>
        <v>13.17</v>
      </c>
      <c r="LG22" s="21">
        <f>IF(LG$1&lt;INDEX('Valo FX'!$Q:$Q,MATCH($A22,'Valo FX'!$A:$A,0)),0,IF(LG$1&lt;INDEX('Valo FX'!$R:$R,MATCH($A22,'Valo FX'!$A:$A,0)),INDEX(Base!$U:$U,MATCH($A22,Base!$A:$A,0)),IF(LG$1=INDEX('Valo FX'!$R:$R,MATCH($A22,'Valo FX'!$A:$A,0)),INDEX(Base!$V:$V,MATCH($A22,Base!$A:$A,0)),0)))</f>
        <v>13.17</v>
      </c>
      <c r="LH22" s="21">
        <f>IF(LH$1&lt;INDEX('Valo FX'!$Q:$Q,MATCH($A22,'Valo FX'!$A:$A,0)),0,IF(LH$1&lt;INDEX('Valo FX'!$R:$R,MATCH($A22,'Valo FX'!$A:$A,0)),INDEX(Base!$U:$U,MATCH($A22,Base!$A:$A,0)),IF(LH$1=INDEX('Valo FX'!$R:$R,MATCH($A22,'Valo FX'!$A:$A,0)),INDEX(Base!$V:$V,MATCH($A22,Base!$A:$A,0)),0)))</f>
        <v>13.17</v>
      </c>
      <c r="LI22" s="21">
        <f>IF(LI$1&lt;INDEX('Valo FX'!$Q:$Q,MATCH($A22,'Valo FX'!$A:$A,0)),0,IF(LI$1&lt;INDEX('Valo FX'!$R:$R,MATCH($A22,'Valo FX'!$A:$A,0)),INDEX(Base!$U:$U,MATCH($A22,Base!$A:$A,0)),IF(LI$1=INDEX('Valo FX'!$R:$R,MATCH($A22,'Valo FX'!$A:$A,0)),INDEX(Base!$V:$V,MATCH($A22,Base!$A:$A,0)),0)))</f>
        <v>13.17</v>
      </c>
      <c r="LJ22" s="21">
        <f>IF(LJ$1&lt;INDEX('Valo FX'!$Q:$Q,MATCH($A22,'Valo FX'!$A:$A,0)),0,IF(LJ$1&lt;INDEX('Valo FX'!$R:$R,MATCH($A22,'Valo FX'!$A:$A,0)),INDEX(Base!$U:$U,MATCH($A22,Base!$A:$A,0)),IF(LJ$1=INDEX('Valo FX'!$R:$R,MATCH($A22,'Valo FX'!$A:$A,0)),INDEX(Base!$V:$V,MATCH($A22,Base!$A:$A,0)),0)))</f>
        <v>13.17</v>
      </c>
      <c r="LK22" s="21">
        <f>IF(LK$1&lt;INDEX('Valo FX'!$Q:$Q,MATCH($A22,'Valo FX'!$A:$A,0)),0,IF(LK$1&lt;INDEX('Valo FX'!$R:$R,MATCH($A22,'Valo FX'!$A:$A,0)),INDEX(Base!$U:$U,MATCH($A22,Base!$A:$A,0)),IF(LK$1=INDEX('Valo FX'!$R:$R,MATCH($A22,'Valo FX'!$A:$A,0)),INDEX(Base!$V:$V,MATCH($A22,Base!$A:$A,0)),0)))</f>
        <v>13.17</v>
      </c>
      <c r="LL22" s="21">
        <f>IF(LL$1&lt;INDEX('Valo FX'!$Q:$Q,MATCH($A22,'Valo FX'!$A:$A,0)),0,IF(LL$1&lt;INDEX('Valo FX'!$R:$R,MATCH($A22,'Valo FX'!$A:$A,0)),INDEX(Base!$U:$U,MATCH($A22,Base!$A:$A,0)),IF(LL$1=INDEX('Valo FX'!$R:$R,MATCH($A22,'Valo FX'!$A:$A,0)),INDEX(Base!$V:$V,MATCH($A22,Base!$A:$A,0)),0)))</f>
        <v>13.17</v>
      </c>
      <c r="LM22" s="21">
        <f>IF(LM$1&lt;INDEX('Valo FX'!$Q:$Q,MATCH($A22,'Valo FX'!$A:$A,0)),0,IF(LM$1&lt;INDEX('Valo FX'!$R:$R,MATCH($A22,'Valo FX'!$A:$A,0)),INDEX(Base!$U:$U,MATCH($A22,Base!$A:$A,0)),IF(LM$1=INDEX('Valo FX'!$R:$R,MATCH($A22,'Valo FX'!$A:$A,0)),INDEX(Base!$V:$V,MATCH($A22,Base!$A:$A,0)),0)))</f>
        <v>13.17</v>
      </c>
      <c r="LN22" s="21">
        <f>IF(LN$1&lt;INDEX('Valo FX'!$Q:$Q,MATCH($A22,'Valo FX'!$A:$A,0)),0,IF(LN$1&lt;INDEX('Valo FX'!$R:$R,MATCH($A22,'Valo FX'!$A:$A,0)),INDEX(Base!$U:$U,MATCH($A22,Base!$A:$A,0)),IF(LN$1=INDEX('Valo FX'!$R:$R,MATCH($A22,'Valo FX'!$A:$A,0)),INDEX(Base!$V:$V,MATCH($A22,Base!$A:$A,0)),0)))</f>
        <v>13.17</v>
      </c>
      <c r="LO22" s="21">
        <f>IF(LO$1&lt;INDEX('Valo FX'!$Q:$Q,MATCH($A22,'Valo FX'!$A:$A,0)),0,IF(LO$1&lt;INDEX('Valo FX'!$R:$R,MATCH($A22,'Valo FX'!$A:$A,0)),INDEX(Base!$U:$U,MATCH($A22,Base!$A:$A,0)),IF(LO$1=INDEX('Valo FX'!$R:$R,MATCH($A22,'Valo FX'!$A:$A,0)),INDEX(Base!$V:$V,MATCH($A22,Base!$A:$A,0)),0)))</f>
        <v>13.17</v>
      </c>
      <c r="LP22" s="21">
        <f>IF(LP$1&lt;INDEX('Valo FX'!$Q:$Q,MATCH($A22,'Valo FX'!$A:$A,0)),0,IF(LP$1&lt;INDEX('Valo FX'!$R:$R,MATCH($A22,'Valo FX'!$A:$A,0)),INDEX(Base!$U:$U,MATCH($A22,Base!$A:$A,0)),IF(LP$1=INDEX('Valo FX'!$R:$R,MATCH($A22,'Valo FX'!$A:$A,0)),INDEX(Base!$V:$V,MATCH($A22,Base!$A:$A,0)),0)))</f>
        <v>13.17</v>
      </c>
      <c r="LQ22" s="21">
        <f>IF(LQ$1&lt;INDEX('Valo FX'!$Q:$Q,MATCH($A22,'Valo FX'!$A:$A,0)),0,IF(LQ$1&lt;INDEX('Valo FX'!$R:$R,MATCH($A22,'Valo FX'!$A:$A,0)),INDEX(Base!$U:$U,MATCH($A22,Base!$A:$A,0)),IF(LQ$1=INDEX('Valo FX'!$R:$R,MATCH($A22,'Valo FX'!$A:$A,0)),INDEX(Base!$V:$V,MATCH($A22,Base!$A:$A,0)),0)))</f>
        <v>13.17</v>
      </c>
      <c r="LR22" s="21">
        <f>IF(LR$1&lt;INDEX('Valo FX'!$Q:$Q,MATCH($A22,'Valo FX'!$A:$A,0)),0,IF(LR$1&lt;INDEX('Valo FX'!$R:$R,MATCH($A22,'Valo FX'!$A:$A,0)),INDEX(Base!$U:$U,MATCH($A22,Base!$A:$A,0)),IF(LR$1=INDEX('Valo FX'!$R:$R,MATCH($A22,'Valo FX'!$A:$A,0)),INDEX(Base!$V:$V,MATCH($A22,Base!$A:$A,0)),0)))</f>
        <v>13.17</v>
      </c>
      <c r="LS22" s="21">
        <f>IF(LS$1&lt;INDEX('Valo FX'!$Q:$Q,MATCH($A22,'Valo FX'!$A:$A,0)),0,IF(LS$1&lt;INDEX('Valo FX'!$R:$R,MATCH($A22,'Valo FX'!$A:$A,0)),INDEX(Base!$U:$U,MATCH($A22,Base!$A:$A,0)),IF(LS$1=INDEX('Valo FX'!$R:$R,MATCH($A22,'Valo FX'!$A:$A,0)),INDEX(Base!$V:$V,MATCH($A22,Base!$A:$A,0)),0)))</f>
        <v>13.17</v>
      </c>
      <c r="LT22" s="21">
        <f>IF(LT$1&lt;INDEX('Valo FX'!$Q:$Q,MATCH($A22,'Valo FX'!$A:$A,0)),0,IF(LT$1&lt;INDEX('Valo FX'!$R:$R,MATCH($A22,'Valo FX'!$A:$A,0)),INDEX(Base!$U:$U,MATCH($A22,Base!$A:$A,0)),IF(LT$1=INDEX('Valo FX'!$R:$R,MATCH($A22,'Valo FX'!$A:$A,0)),INDEX(Base!$V:$V,MATCH($A22,Base!$A:$A,0)),0)))</f>
        <v>13.17</v>
      </c>
      <c r="LU22" s="21">
        <f>IF(LU$1&lt;INDEX('Valo FX'!$Q:$Q,MATCH($A22,'Valo FX'!$A:$A,0)),0,IF(LU$1&lt;INDEX('Valo FX'!$R:$R,MATCH($A22,'Valo FX'!$A:$A,0)),INDEX(Base!$U:$U,MATCH($A22,Base!$A:$A,0)),IF(LU$1=INDEX('Valo FX'!$R:$R,MATCH($A22,'Valo FX'!$A:$A,0)),INDEX(Base!$V:$V,MATCH($A22,Base!$A:$A,0)),0)))</f>
        <v>13.17</v>
      </c>
      <c r="LV22" s="21">
        <f>IF(LV$1&lt;INDEX('Valo FX'!$Q:$Q,MATCH($A22,'Valo FX'!$A:$A,0)),0,IF(LV$1&lt;INDEX('Valo FX'!$R:$R,MATCH($A22,'Valo FX'!$A:$A,0)),INDEX(Base!$U:$U,MATCH($A22,Base!$A:$A,0)),IF(LV$1=INDEX('Valo FX'!$R:$R,MATCH($A22,'Valo FX'!$A:$A,0)),INDEX(Base!$V:$V,MATCH($A22,Base!$A:$A,0)),0)))</f>
        <v>13.17</v>
      </c>
      <c r="LW22" s="21">
        <f>IF(LW$1&lt;INDEX('Valo FX'!$Q:$Q,MATCH($A22,'Valo FX'!$A:$A,0)),0,IF(LW$1&lt;INDEX('Valo FX'!$R:$R,MATCH($A22,'Valo FX'!$A:$A,0)),INDEX(Base!$U:$U,MATCH($A22,Base!$A:$A,0)),IF(LW$1=INDEX('Valo FX'!$R:$R,MATCH($A22,'Valo FX'!$A:$A,0)),INDEX(Base!$V:$V,MATCH($A22,Base!$A:$A,0)),0)))</f>
        <v>13.17</v>
      </c>
      <c r="LX22" s="21">
        <f>IF(LX$1&lt;INDEX('Valo FX'!$Q:$Q,MATCH($A22,'Valo FX'!$A:$A,0)),0,IF(LX$1&lt;INDEX('Valo FX'!$R:$R,MATCH($A22,'Valo FX'!$A:$A,0)),INDEX(Base!$U:$U,MATCH($A22,Base!$A:$A,0)),IF(LX$1=INDEX('Valo FX'!$R:$R,MATCH($A22,'Valo FX'!$A:$A,0)),INDEX(Base!$V:$V,MATCH($A22,Base!$A:$A,0)),0)))</f>
        <v>13.17</v>
      </c>
      <c r="LY22" s="21">
        <f>IF(LY$1&lt;INDEX('Valo FX'!$Q:$Q,MATCH($A22,'Valo FX'!$A:$A,0)),0,IF(LY$1&lt;INDEX('Valo FX'!$R:$R,MATCH($A22,'Valo FX'!$A:$A,0)),INDEX(Base!$U:$U,MATCH($A22,Base!$A:$A,0)),IF(LY$1=INDEX('Valo FX'!$R:$R,MATCH($A22,'Valo FX'!$A:$A,0)),INDEX(Base!$V:$V,MATCH($A22,Base!$A:$A,0)),0)))</f>
        <v>13.17</v>
      </c>
      <c r="LZ22" s="21">
        <f>IF(LZ$1&lt;INDEX('Valo FX'!$Q:$Q,MATCH($A22,'Valo FX'!$A:$A,0)),0,IF(LZ$1&lt;INDEX('Valo FX'!$R:$R,MATCH($A22,'Valo FX'!$A:$A,0)),INDEX(Base!$U:$U,MATCH($A22,Base!$A:$A,0)),IF(LZ$1=INDEX('Valo FX'!$R:$R,MATCH($A22,'Valo FX'!$A:$A,0)),INDEX(Base!$V:$V,MATCH($A22,Base!$A:$A,0)),0)))</f>
        <v>13.17</v>
      </c>
      <c r="MA22" s="21">
        <f>IF(MA$1&lt;INDEX('Valo FX'!$Q:$Q,MATCH($A22,'Valo FX'!$A:$A,0)),0,IF(MA$1&lt;INDEX('Valo FX'!$R:$R,MATCH($A22,'Valo FX'!$A:$A,0)),INDEX(Base!$U:$U,MATCH($A22,Base!$A:$A,0)),IF(MA$1=INDEX('Valo FX'!$R:$R,MATCH($A22,'Valo FX'!$A:$A,0)),INDEX(Base!$V:$V,MATCH($A22,Base!$A:$A,0)),0)))</f>
        <v>13.17</v>
      </c>
      <c r="MB22" s="21">
        <f>IF(MB$1&lt;INDEX('Valo FX'!$Q:$Q,MATCH($A22,'Valo FX'!$A:$A,0)),0,IF(MB$1&lt;INDEX('Valo FX'!$R:$R,MATCH($A22,'Valo FX'!$A:$A,0)),INDEX(Base!$U:$U,MATCH($A22,Base!$A:$A,0)),IF(MB$1=INDEX('Valo FX'!$R:$R,MATCH($A22,'Valo FX'!$A:$A,0)),INDEX(Base!$V:$V,MATCH($A22,Base!$A:$A,0)),0)))</f>
        <v>13.17</v>
      </c>
      <c r="MC22" s="21">
        <f>IF(MC$1&lt;INDEX('Valo FX'!$Q:$Q,MATCH($A22,'Valo FX'!$A:$A,0)),0,IF(MC$1&lt;INDEX('Valo FX'!$R:$R,MATCH($A22,'Valo FX'!$A:$A,0)),INDEX(Base!$U:$U,MATCH($A22,Base!$A:$A,0)),IF(MC$1=INDEX('Valo FX'!$R:$R,MATCH($A22,'Valo FX'!$A:$A,0)),INDEX(Base!$V:$V,MATCH($A22,Base!$A:$A,0)),0)))</f>
        <v>13.17</v>
      </c>
      <c r="MD22" s="21">
        <f>IF(MD$1&lt;INDEX('Valo FX'!$Q:$Q,MATCH($A22,'Valo FX'!$A:$A,0)),0,IF(MD$1&lt;INDEX('Valo FX'!$R:$R,MATCH($A22,'Valo FX'!$A:$A,0)),INDEX(Base!$U:$U,MATCH($A22,Base!$A:$A,0)),IF(MD$1=INDEX('Valo FX'!$R:$R,MATCH($A22,'Valo FX'!$A:$A,0)),INDEX(Base!$V:$V,MATCH($A22,Base!$A:$A,0)),0)))</f>
        <v>13.17</v>
      </c>
      <c r="ME22" s="21">
        <f>IF(ME$1&lt;INDEX('Valo FX'!$Q:$Q,MATCH($A22,'Valo FX'!$A:$A,0)),0,IF(ME$1&lt;INDEX('Valo FX'!$R:$R,MATCH($A22,'Valo FX'!$A:$A,0)),INDEX(Base!$U:$U,MATCH($A22,Base!$A:$A,0)),IF(ME$1=INDEX('Valo FX'!$R:$R,MATCH($A22,'Valo FX'!$A:$A,0)),INDEX(Base!$V:$V,MATCH($A22,Base!$A:$A,0)),0)))</f>
        <v>13.17</v>
      </c>
      <c r="MF22" s="21">
        <f>IF(MF$1&lt;INDEX('Valo FX'!$Q:$Q,MATCH($A22,'Valo FX'!$A:$A,0)),0,IF(MF$1&lt;INDEX('Valo FX'!$R:$R,MATCH($A22,'Valo FX'!$A:$A,0)),INDEX(Base!$U:$U,MATCH($A22,Base!$A:$A,0)),IF(MF$1=INDEX('Valo FX'!$R:$R,MATCH($A22,'Valo FX'!$A:$A,0)),INDEX(Base!$V:$V,MATCH($A22,Base!$A:$A,0)),0)))</f>
        <v>13.17</v>
      </c>
      <c r="MG22" s="21">
        <f>IF(MG$1&lt;INDEX('Valo FX'!$Q:$Q,MATCH($A22,'Valo FX'!$A:$A,0)),0,IF(MG$1&lt;INDEX('Valo FX'!$R:$R,MATCH($A22,'Valo FX'!$A:$A,0)),INDEX(Base!$U:$U,MATCH($A22,Base!$A:$A,0)),IF(MG$1=INDEX('Valo FX'!$R:$R,MATCH($A22,'Valo FX'!$A:$A,0)),INDEX(Base!$V:$V,MATCH($A22,Base!$A:$A,0)),0)))</f>
        <v>13.17</v>
      </c>
      <c r="MH22" s="21">
        <f>IF(MH$1&lt;INDEX('Valo FX'!$Q:$Q,MATCH($A22,'Valo FX'!$A:$A,0)),0,IF(MH$1&lt;INDEX('Valo FX'!$R:$R,MATCH($A22,'Valo FX'!$A:$A,0)),INDEX(Base!$U:$U,MATCH($A22,Base!$A:$A,0)),IF(MH$1=INDEX('Valo FX'!$R:$R,MATCH($A22,'Valo FX'!$A:$A,0)),INDEX(Base!$V:$V,MATCH($A22,Base!$A:$A,0)),0)))</f>
        <v>13.17</v>
      </c>
      <c r="MI22" s="21">
        <f>IF(MI$1&lt;INDEX('Valo FX'!$Q:$Q,MATCH($A22,'Valo FX'!$A:$A,0)),0,IF(MI$1&lt;INDEX('Valo FX'!$R:$R,MATCH($A22,'Valo FX'!$A:$A,0)),INDEX(Base!$U:$U,MATCH($A22,Base!$A:$A,0)),IF(MI$1=INDEX('Valo FX'!$R:$R,MATCH($A22,'Valo FX'!$A:$A,0)),INDEX(Base!$V:$V,MATCH($A22,Base!$A:$A,0)),0)))</f>
        <v>13.17</v>
      </c>
      <c r="MJ22" s="21">
        <f>IF(MJ$1&lt;INDEX('Valo FX'!$Q:$Q,MATCH($A22,'Valo FX'!$A:$A,0)),0,IF(MJ$1&lt;INDEX('Valo FX'!$R:$R,MATCH($A22,'Valo FX'!$A:$A,0)),INDEX(Base!$U:$U,MATCH($A22,Base!$A:$A,0)),IF(MJ$1=INDEX('Valo FX'!$R:$R,MATCH($A22,'Valo FX'!$A:$A,0)),INDEX(Base!$V:$V,MATCH($A22,Base!$A:$A,0)),0)))</f>
        <v>13.17</v>
      </c>
      <c r="MK22" s="21">
        <f>IF(MK$1&lt;INDEX('Valo FX'!$Q:$Q,MATCH($A22,'Valo FX'!$A:$A,0)),0,IF(MK$1&lt;INDEX('Valo FX'!$R:$R,MATCH($A22,'Valo FX'!$A:$A,0)),INDEX(Base!$U:$U,MATCH($A22,Base!$A:$A,0)),IF(MK$1=INDEX('Valo FX'!$R:$R,MATCH($A22,'Valo FX'!$A:$A,0)),INDEX(Base!$V:$V,MATCH($A22,Base!$A:$A,0)),0)))</f>
        <v>13.17</v>
      </c>
      <c r="ML22" s="21">
        <f>IF(ML$1&lt;INDEX('Valo FX'!$Q:$Q,MATCH($A22,'Valo FX'!$A:$A,0)),0,IF(ML$1&lt;INDEX('Valo FX'!$R:$R,MATCH($A22,'Valo FX'!$A:$A,0)),INDEX(Base!$U:$U,MATCH($A22,Base!$A:$A,0)),IF(ML$1=INDEX('Valo FX'!$R:$R,MATCH($A22,'Valo FX'!$A:$A,0)),INDEX(Base!$V:$V,MATCH($A22,Base!$A:$A,0)),0)))</f>
        <v>13.17</v>
      </c>
      <c r="MM22" s="21">
        <f>IF(MM$1&lt;INDEX('Valo FX'!$Q:$Q,MATCH($A22,'Valo FX'!$A:$A,0)),0,IF(MM$1&lt;INDEX('Valo FX'!$R:$R,MATCH($A22,'Valo FX'!$A:$A,0)),INDEX(Base!$U:$U,MATCH($A22,Base!$A:$A,0)),IF(MM$1=INDEX('Valo FX'!$R:$R,MATCH($A22,'Valo FX'!$A:$A,0)),INDEX(Base!$V:$V,MATCH($A22,Base!$A:$A,0)),0)))</f>
        <v>13.17</v>
      </c>
      <c r="MN22" s="21">
        <f>IF(MN$1&lt;INDEX('Valo FX'!$Q:$Q,MATCH($A22,'Valo FX'!$A:$A,0)),0,IF(MN$1&lt;INDEX('Valo FX'!$R:$R,MATCH($A22,'Valo FX'!$A:$A,0)),INDEX(Base!$U:$U,MATCH($A22,Base!$A:$A,0)),IF(MN$1=INDEX('Valo FX'!$R:$R,MATCH($A22,'Valo FX'!$A:$A,0)),INDEX(Base!$V:$V,MATCH($A22,Base!$A:$A,0)),0)))</f>
        <v>13.17</v>
      </c>
      <c r="MO22" s="21">
        <f>IF(MO$1&lt;INDEX('Valo FX'!$Q:$Q,MATCH($A22,'Valo FX'!$A:$A,0)),0,IF(MO$1&lt;INDEX('Valo FX'!$R:$R,MATCH($A22,'Valo FX'!$A:$A,0)),INDEX(Base!$U:$U,MATCH($A22,Base!$A:$A,0)),IF(MO$1=INDEX('Valo FX'!$R:$R,MATCH($A22,'Valo FX'!$A:$A,0)),INDEX(Base!$V:$V,MATCH($A22,Base!$A:$A,0)),0)))</f>
        <v>13.17</v>
      </c>
      <c r="MP22" s="21">
        <f>IF(MP$1&lt;INDEX('Valo FX'!$Q:$Q,MATCH($A22,'Valo FX'!$A:$A,0)),0,IF(MP$1&lt;INDEX('Valo FX'!$R:$R,MATCH($A22,'Valo FX'!$A:$A,0)),INDEX(Base!$U:$U,MATCH($A22,Base!$A:$A,0)),IF(MP$1=INDEX('Valo FX'!$R:$R,MATCH($A22,'Valo FX'!$A:$A,0)),INDEX(Base!$V:$V,MATCH($A22,Base!$A:$A,0)),0)))</f>
        <v>13.17</v>
      </c>
      <c r="MQ22" s="21">
        <f>IF(MQ$1&lt;INDEX('Valo FX'!$Q:$Q,MATCH($A22,'Valo FX'!$A:$A,0)),0,IF(MQ$1&lt;INDEX('Valo FX'!$R:$R,MATCH($A22,'Valo FX'!$A:$A,0)),INDEX(Base!$U:$U,MATCH($A22,Base!$A:$A,0)),IF(MQ$1=INDEX('Valo FX'!$R:$R,MATCH($A22,'Valo FX'!$A:$A,0)),INDEX(Base!$V:$V,MATCH($A22,Base!$A:$A,0)),0)))</f>
        <v>13.17</v>
      </c>
      <c r="MR22" s="21">
        <f>IF(MR$1&lt;INDEX('Valo FX'!$Q:$Q,MATCH($A22,'Valo FX'!$A:$A,0)),0,IF(MR$1&lt;INDEX('Valo FX'!$R:$R,MATCH($A22,'Valo FX'!$A:$A,0)),INDEX(Base!$U:$U,MATCH($A22,Base!$A:$A,0)),IF(MR$1=INDEX('Valo FX'!$R:$R,MATCH($A22,'Valo FX'!$A:$A,0)),INDEX(Base!$V:$V,MATCH($A22,Base!$A:$A,0)),0)))</f>
        <v>13.17</v>
      </c>
      <c r="MS22" s="21">
        <f>IF(MS$1&lt;INDEX('Valo FX'!$Q:$Q,MATCH($A22,'Valo FX'!$A:$A,0)),0,IF(MS$1&lt;INDEX('Valo FX'!$R:$R,MATCH($A22,'Valo FX'!$A:$A,0)),INDEX(Base!$U:$U,MATCH($A22,Base!$A:$A,0)),IF(MS$1=INDEX('Valo FX'!$R:$R,MATCH($A22,'Valo FX'!$A:$A,0)),INDEX(Base!$V:$V,MATCH($A22,Base!$A:$A,0)),0)))</f>
        <v>13.17</v>
      </c>
      <c r="MT22" s="21">
        <f>IF(MT$1&lt;INDEX('Valo FX'!$Q:$Q,MATCH($A22,'Valo FX'!$A:$A,0)),0,IF(MT$1&lt;INDEX('Valo FX'!$R:$R,MATCH($A22,'Valo FX'!$A:$A,0)),INDEX(Base!$U:$U,MATCH($A22,Base!$A:$A,0)),IF(MT$1=INDEX('Valo FX'!$R:$R,MATCH($A22,'Valo FX'!$A:$A,0)),INDEX(Base!$V:$V,MATCH($A22,Base!$A:$A,0)),0)))</f>
        <v>13.17</v>
      </c>
      <c r="MU22" s="21">
        <f>IF(MU$1&lt;INDEX('Valo FX'!$Q:$Q,MATCH($A22,'Valo FX'!$A:$A,0)),0,IF(MU$1&lt;INDEX('Valo FX'!$R:$R,MATCH($A22,'Valo FX'!$A:$A,0)),INDEX(Base!$U:$U,MATCH($A22,Base!$A:$A,0)),IF(MU$1=INDEX('Valo FX'!$R:$R,MATCH($A22,'Valo FX'!$A:$A,0)),INDEX(Base!$V:$V,MATCH($A22,Base!$A:$A,0)),0)))</f>
        <v>13.17</v>
      </c>
      <c r="MV22" s="21">
        <f>IF(MV$1&lt;INDEX('Valo FX'!$Q:$Q,MATCH($A22,'Valo FX'!$A:$A,0)),0,IF(MV$1&lt;INDEX('Valo FX'!$R:$R,MATCH($A22,'Valo FX'!$A:$A,0)),INDEX(Base!$U:$U,MATCH($A22,Base!$A:$A,0)),IF(MV$1=INDEX('Valo FX'!$R:$R,MATCH($A22,'Valo FX'!$A:$A,0)),INDEX(Base!$V:$V,MATCH($A22,Base!$A:$A,0)),0)))</f>
        <v>13.17</v>
      </c>
      <c r="MW22" s="21">
        <f>IF(MW$1&lt;INDEX('Valo FX'!$Q:$Q,MATCH($A22,'Valo FX'!$A:$A,0)),0,IF(MW$1&lt;INDEX('Valo FX'!$R:$R,MATCH($A22,'Valo FX'!$A:$A,0)),INDEX(Base!$U:$U,MATCH($A22,Base!$A:$A,0)),IF(MW$1=INDEX('Valo FX'!$R:$R,MATCH($A22,'Valo FX'!$A:$A,0)),INDEX(Base!$V:$V,MATCH($A22,Base!$A:$A,0)),0)))</f>
        <v>13.17</v>
      </c>
      <c r="MX22" s="21">
        <f>IF(MX$1&lt;INDEX('Valo FX'!$Q:$Q,MATCH($A22,'Valo FX'!$A:$A,0)),0,IF(MX$1&lt;INDEX('Valo FX'!$R:$R,MATCH($A22,'Valo FX'!$A:$A,0)),INDEX(Base!$U:$U,MATCH($A22,Base!$A:$A,0)),IF(MX$1=INDEX('Valo FX'!$R:$R,MATCH($A22,'Valo FX'!$A:$A,0)),INDEX(Base!$V:$V,MATCH($A22,Base!$A:$A,0)),0)))</f>
        <v>13.17</v>
      </c>
      <c r="MY22" s="21">
        <f>IF(MY$1&lt;INDEX('Valo FX'!$Q:$Q,MATCH($A22,'Valo FX'!$A:$A,0)),0,IF(MY$1&lt;INDEX('Valo FX'!$R:$R,MATCH($A22,'Valo FX'!$A:$A,0)),INDEX(Base!$U:$U,MATCH($A22,Base!$A:$A,0)),IF(MY$1=INDEX('Valo FX'!$R:$R,MATCH($A22,'Valo FX'!$A:$A,0)),INDEX(Base!$V:$V,MATCH($A22,Base!$A:$A,0)),0)))</f>
        <v>13.52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37CF5-4644-4CDF-A8F7-34A9015D69BF}">
  <dimension ref="A1:MZ22"/>
  <sheetViews>
    <sheetView showGridLines="0" tabSelected="1"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G7" sqref="G7"/>
    </sheetView>
  </sheetViews>
  <sheetFormatPr defaultColWidth="11.42578125" defaultRowHeight="12.75" x14ac:dyDescent="0.2"/>
  <cols>
    <col min="1" max="1" width="11.28515625" style="1" bestFit="1" customWidth="1"/>
    <col min="2" max="2" width="16.42578125" style="1" bestFit="1" customWidth="1"/>
    <col min="3" max="3" width="14.7109375" style="1" bestFit="1" customWidth="1"/>
    <col min="4" max="16384" width="11.42578125" style="45"/>
  </cols>
  <sheetData>
    <row r="1" spans="1:364" x14ac:dyDescent="0.2">
      <c r="C1" s="14"/>
      <c r="D1" s="15">
        <v>45392</v>
      </c>
      <c r="E1" s="15">
        <v>45422</v>
      </c>
      <c r="F1" s="15">
        <v>45453</v>
      </c>
      <c r="G1" s="15">
        <v>45483</v>
      </c>
      <c r="H1" s="15">
        <v>45514</v>
      </c>
      <c r="I1" s="15">
        <v>45545</v>
      </c>
      <c r="J1" s="15">
        <v>45575</v>
      </c>
      <c r="K1" s="15">
        <v>45606</v>
      </c>
      <c r="L1" s="15">
        <v>45636</v>
      </c>
      <c r="M1" s="15">
        <v>45667</v>
      </c>
      <c r="N1" s="15">
        <v>45698</v>
      </c>
      <c r="O1" s="15">
        <v>45726</v>
      </c>
      <c r="P1" s="15">
        <v>45757</v>
      </c>
      <c r="Q1" s="15">
        <v>45787</v>
      </c>
      <c r="R1" s="15">
        <v>45818</v>
      </c>
      <c r="S1" s="15">
        <v>45848</v>
      </c>
      <c r="T1" s="15">
        <v>45879</v>
      </c>
      <c r="U1" s="15">
        <v>45910</v>
      </c>
      <c r="V1" s="15">
        <v>45940</v>
      </c>
      <c r="W1" s="15">
        <v>45971</v>
      </c>
      <c r="X1" s="15">
        <v>46001</v>
      </c>
      <c r="Y1" s="15">
        <v>46032</v>
      </c>
      <c r="Z1" s="15">
        <v>46063</v>
      </c>
      <c r="AA1" s="15">
        <v>46091</v>
      </c>
      <c r="AB1" s="15">
        <v>46122</v>
      </c>
      <c r="AC1" s="15">
        <v>46152</v>
      </c>
      <c r="AD1" s="15">
        <v>46183</v>
      </c>
      <c r="AE1" s="15">
        <v>46213</v>
      </c>
      <c r="AF1" s="15">
        <v>46244</v>
      </c>
      <c r="AG1" s="15">
        <v>46275</v>
      </c>
      <c r="AH1" s="15">
        <v>46305</v>
      </c>
      <c r="AI1" s="15">
        <v>46336</v>
      </c>
      <c r="AJ1" s="15">
        <v>46366</v>
      </c>
      <c r="AK1" s="15">
        <v>46397</v>
      </c>
      <c r="AL1" s="15">
        <v>46428</v>
      </c>
      <c r="AM1" s="15">
        <v>46456</v>
      </c>
      <c r="AN1" s="15">
        <v>46487</v>
      </c>
      <c r="AO1" s="15">
        <v>46517</v>
      </c>
      <c r="AP1" s="15">
        <v>46548</v>
      </c>
      <c r="AQ1" s="15">
        <v>46578</v>
      </c>
      <c r="AR1" s="15">
        <v>46609</v>
      </c>
      <c r="AS1" s="15">
        <v>46640</v>
      </c>
      <c r="AT1" s="15">
        <v>46670</v>
      </c>
      <c r="AU1" s="15">
        <v>46701</v>
      </c>
      <c r="AV1" s="15">
        <v>46731</v>
      </c>
      <c r="AW1" s="15">
        <v>46762</v>
      </c>
      <c r="AX1" s="15">
        <v>46793</v>
      </c>
      <c r="AY1" s="15">
        <v>46822</v>
      </c>
      <c r="AZ1" s="15">
        <v>46853</v>
      </c>
      <c r="BA1" s="15">
        <v>46883</v>
      </c>
      <c r="BB1" s="15">
        <v>46914</v>
      </c>
      <c r="BC1" s="15">
        <v>46944</v>
      </c>
      <c r="BD1" s="15">
        <v>46975</v>
      </c>
      <c r="BE1" s="15">
        <v>47006</v>
      </c>
      <c r="BF1" s="15">
        <v>47036</v>
      </c>
      <c r="BG1" s="15">
        <v>47067</v>
      </c>
      <c r="BH1" s="15">
        <v>47097</v>
      </c>
      <c r="BI1" s="15">
        <v>47128</v>
      </c>
      <c r="BJ1" s="15">
        <v>47159</v>
      </c>
      <c r="BK1" s="15">
        <v>47187</v>
      </c>
      <c r="BL1" s="15">
        <v>47218</v>
      </c>
      <c r="BM1" s="15">
        <v>47248</v>
      </c>
      <c r="BN1" s="15">
        <v>47279</v>
      </c>
      <c r="BO1" s="15">
        <v>47309</v>
      </c>
      <c r="BP1" s="15">
        <v>47340</v>
      </c>
      <c r="BQ1" s="15">
        <v>47371</v>
      </c>
      <c r="BR1" s="15">
        <v>47401</v>
      </c>
      <c r="BS1" s="15">
        <v>47432</v>
      </c>
      <c r="BT1" s="15">
        <v>47462</v>
      </c>
      <c r="BU1" s="15">
        <v>47493</v>
      </c>
      <c r="BV1" s="15">
        <v>47524</v>
      </c>
      <c r="BW1" s="15">
        <v>47552</v>
      </c>
      <c r="BX1" s="15">
        <v>47583</v>
      </c>
      <c r="BY1" s="15">
        <v>47613</v>
      </c>
      <c r="BZ1" s="15">
        <v>47644</v>
      </c>
      <c r="CA1" s="15">
        <v>47674</v>
      </c>
      <c r="CB1" s="15">
        <v>47705</v>
      </c>
      <c r="CC1" s="15">
        <v>47736</v>
      </c>
      <c r="CD1" s="15">
        <v>47766</v>
      </c>
      <c r="CE1" s="15">
        <v>47797</v>
      </c>
      <c r="CF1" s="15">
        <v>47827</v>
      </c>
      <c r="CG1" s="15">
        <v>47858</v>
      </c>
      <c r="CH1" s="15">
        <v>47889</v>
      </c>
      <c r="CI1" s="15">
        <v>47917</v>
      </c>
      <c r="CJ1" s="15">
        <v>47948</v>
      </c>
      <c r="CK1" s="15">
        <v>47978</v>
      </c>
      <c r="CL1" s="15">
        <v>48009</v>
      </c>
      <c r="CM1" s="15">
        <v>48039</v>
      </c>
      <c r="CN1" s="15">
        <v>48070</v>
      </c>
      <c r="CO1" s="15">
        <v>48101</v>
      </c>
      <c r="CP1" s="15">
        <v>48131</v>
      </c>
      <c r="CQ1" s="15">
        <v>48162</v>
      </c>
      <c r="CR1" s="15">
        <v>48192</v>
      </c>
      <c r="CS1" s="15">
        <v>48223</v>
      </c>
      <c r="CT1" s="15">
        <v>48254</v>
      </c>
      <c r="CU1" s="15">
        <v>48283</v>
      </c>
      <c r="CV1" s="15">
        <v>48314</v>
      </c>
      <c r="CW1" s="15">
        <v>48344</v>
      </c>
      <c r="CX1" s="15">
        <v>48375</v>
      </c>
      <c r="CY1" s="15">
        <v>48405</v>
      </c>
      <c r="CZ1" s="15">
        <v>48436</v>
      </c>
      <c r="DA1" s="15">
        <v>48467</v>
      </c>
      <c r="DB1" s="15">
        <v>48497</v>
      </c>
      <c r="DC1" s="15">
        <v>48528</v>
      </c>
      <c r="DD1" s="15">
        <v>48558</v>
      </c>
      <c r="DE1" s="15">
        <v>48589</v>
      </c>
      <c r="DF1" s="15">
        <v>48620</v>
      </c>
      <c r="DG1" s="15">
        <v>48648</v>
      </c>
      <c r="DH1" s="15">
        <v>48679</v>
      </c>
      <c r="DI1" s="15">
        <v>48709</v>
      </c>
      <c r="DJ1" s="15">
        <v>48740</v>
      </c>
      <c r="DK1" s="15">
        <v>48770</v>
      </c>
      <c r="DL1" s="15">
        <v>48801</v>
      </c>
      <c r="DM1" s="15">
        <v>48832</v>
      </c>
      <c r="DN1" s="15">
        <v>48862</v>
      </c>
      <c r="DO1" s="15">
        <v>48893</v>
      </c>
      <c r="DP1" s="15">
        <v>48923</v>
      </c>
      <c r="DQ1" s="15">
        <v>48954</v>
      </c>
      <c r="DR1" s="15">
        <v>48985</v>
      </c>
      <c r="DS1" s="15">
        <v>49013</v>
      </c>
      <c r="DT1" s="15">
        <v>49044</v>
      </c>
      <c r="DU1" s="15">
        <v>49074</v>
      </c>
      <c r="DV1" s="15">
        <v>49105</v>
      </c>
      <c r="DW1" s="15">
        <v>49135</v>
      </c>
      <c r="DX1" s="15">
        <v>49166</v>
      </c>
      <c r="DY1" s="15">
        <v>49197</v>
      </c>
      <c r="DZ1" s="15">
        <v>49227</v>
      </c>
      <c r="EA1" s="15">
        <v>49258</v>
      </c>
      <c r="EB1" s="15">
        <v>49288</v>
      </c>
      <c r="EC1" s="15">
        <v>49319</v>
      </c>
      <c r="ED1" s="15">
        <v>49350</v>
      </c>
      <c r="EE1" s="15">
        <v>49378</v>
      </c>
      <c r="EF1" s="15">
        <v>49409</v>
      </c>
      <c r="EG1" s="15">
        <v>49439</v>
      </c>
      <c r="EH1" s="15">
        <v>49470</v>
      </c>
      <c r="EI1" s="15">
        <v>49500</v>
      </c>
      <c r="EJ1" s="15">
        <v>49531</v>
      </c>
      <c r="EK1" s="15">
        <v>49562</v>
      </c>
      <c r="EL1" s="15">
        <v>49592</v>
      </c>
      <c r="EM1" s="15">
        <v>49623</v>
      </c>
      <c r="EN1" s="15">
        <v>49653</v>
      </c>
      <c r="EO1" s="15">
        <v>49684</v>
      </c>
      <c r="EP1" s="15">
        <v>49715</v>
      </c>
      <c r="EQ1" s="15">
        <v>49744</v>
      </c>
      <c r="ER1" s="15">
        <v>49775</v>
      </c>
      <c r="ES1" s="15">
        <v>49805</v>
      </c>
      <c r="ET1" s="15">
        <v>49836</v>
      </c>
      <c r="EU1" s="15">
        <v>49866</v>
      </c>
      <c r="EV1" s="15">
        <v>49897</v>
      </c>
      <c r="EW1" s="15">
        <v>49928</v>
      </c>
      <c r="EX1" s="15">
        <v>49958</v>
      </c>
      <c r="EY1" s="15">
        <v>49989</v>
      </c>
      <c r="EZ1" s="15">
        <v>50019</v>
      </c>
      <c r="FA1" s="15">
        <v>50050</v>
      </c>
      <c r="FB1" s="15">
        <v>50081</v>
      </c>
      <c r="FC1" s="15">
        <v>50109</v>
      </c>
      <c r="FD1" s="15">
        <v>50140</v>
      </c>
      <c r="FE1" s="15">
        <v>50170</v>
      </c>
      <c r="FF1" s="15">
        <v>50201</v>
      </c>
      <c r="FG1" s="15">
        <v>50231</v>
      </c>
      <c r="FH1" s="15">
        <v>50262</v>
      </c>
      <c r="FI1" s="15">
        <v>50293</v>
      </c>
      <c r="FJ1" s="15">
        <v>50323</v>
      </c>
      <c r="FK1" s="15">
        <v>50354</v>
      </c>
      <c r="FL1" s="15">
        <v>50384</v>
      </c>
      <c r="FM1" s="15">
        <v>50415</v>
      </c>
      <c r="FN1" s="15">
        <v>50446</v>
      </c>
      <c r="FO1" s="15">
        <v>50474</v>
      </c>
      <c r="FP1" s="15">
        <v>50505</v>
      </c>
      <c r="FQ1" s="15">
        <v>50535</v>
      </c>
      <c r="FR1" s="15">
        <v>50566</v>
      </c>
      <c r="FS1" s="15">
        <v>50596</v>
      </c>
      <c r="FT1" s="15">
        <v>50627</v>
      </c>
      <c r="FU1" s="15">
        <v>50658</v>
      </c>
      <c r="FV1" s="15">
        <v>50688</v>
      </c>
      <c r="FW1" s="15">
        <v>50719</v>
      </c>
      <c r="FX1" s="15">
        <v>50749</v>
      </c>
      <c r="FY1" s="15">
        <v>50780</v>
      </c>
      <c r="FZ1" s="15">
        <v>50811</v>
      </c>
      <c r="GA1" s="15">
        <v>50839</v>
      </c>
      <c r="GB1" s="15">
        <v>50870</v>
      </c>
      <c r="GC1" s="15">
        <v>50900</v>
      </c>
      <c r="GD1" s="15">
        <v>50931</v>
      </c>
      <c r="GE1" s="15">
        <v>50961</v>
      </c>
      <c r="GF1" s="15">
        <v>50992</v>
      </c>
      <c r="GG1" s="15">
        <v>51023</v>
      </c>
      <c r="GH1" s="15">
        <v>51053</v>
      </c>
      <c r="GI1" s="15">
        <v>51084</v>
      </c>
      <c r="GJ1" s="15">
        <v>51114</v>
      </c>
      <c r="GK1" s="15">
        <v>51145</v>
      </c>
      <c r="GL1" s="15">
        <v>51176</v>
      </c>
      <c r="GM1" s="15">
        <v>51205</v>
      </c>
      <c r="GN1" s="15">
        <v>51236</v>
      </c>
      <c r="GO1" s="15">
        <v>51266</v>
      </c>
      <c r="GP1" s="15">
        <v>51297</v>
      </c>
      <c r="GQ1" s="15">
        <v>51327</v>
      </c>
      <c r="GR1" s="15">
        <v>51358</v>
      </c>
      <c r="GS1" s="15">
        <v>51389</v>
      </c>
      <c r="GT1" s="15">
        <v>51419</v>
      </c>
      <c r="GU1" s="15">
        <v>51450</v>
      </c>
      <c r="GV1" s="15">
        <v>51480</v>
      </c>
      <c r="GW1" s="15">
        <v>51511</v>
      </c>
      <c r="GX1" s="15">
        <v>51542</v>
      </c>
      <c r="GY1" s="15">
        <v>51570</v>
      </c>
      <c r="GZ1" s="15">
        <v>51601</v>
      </c>
      <c r="HA1" s="15">
        <v>51631</v>
      </c>
      <c r="HB1" s="15">
        <v>51662</v>
      </c>
      <c r="HC1" s="15">
        <v>51692</v>
      </c>
      <c r="HD1" s="15">
        <v>51723</v>
      </c>
      <c r="HE1" s="15">
        <v>51754</v>
      </c>
      <c r="HF1" s="15">
        <v>51784</v>
      </c>
      <c r="HG1" s="15">
        <v>51815</v>
      </c>
      <c r="HH1" s="15">
        <v>51845</v>
      </c>
      <c r="HI1" s="15">
        <v>51876</v>
      </c>
      <c r="HJ1" s="15">
        <v>51907</v>
      </c>
      <c r="HK1" s="15">
        <v>51935</v>
      </c>
      <c r="HL1" s="15">
        <v>51966</v>
      </c>
      <c r="HM1" s="15">
        <v>51996</v>
      </c>
      <c r="HN1" s="15">
        <v>52027</v>
      </c>
      <c r="HO1" s="15">
        <v>52057</v>
      </c>
      <c r="HP1" s="15">
        <v>52088</v>
      </c>
      <c r="HQ1" s="15">
        <v>52119</v>
      </c>
      <c r="HR1" s="15">
        <v>52149</v>
      </c>
      <c r="HS1" s="15">
        <v>52180</v>
      </c>
      <c r="HT1" s="15">
        <v>52210</v>
      </c>
      <c r="HU1" s="15">
        <v>52241</v>
      </c>
      <c r="HV1" s="15">
        <v>52272</v>
      </c>
      <c r="HW1" s="15">
        <v>52300</v>
      </c>
      <c r="HX1" s="15">
        <v>52331</v>
      </c>
      <c r="HY1" s="15">
        <v>52361</v>
      </c>
      <c r="HZ1" s="15">
        <v>52392</v>
      </c>
      <c r="IA1" s="15">
        <v>52422</v>
      </c>
      <c r="IB1" s="15">
        <v>52453</v>
      </c>
      <c r="IC1" s="15">
        <v>52484</v>
      </c>
      <c r="ID1" s="15">
        <v>52514</v>
      </c>
      <c r="IE1" s="15">
        <v>52545</v>
      </c>
      <c r="IF1" s="15">
        <v>52575</v>
      </c>
      <c r="IG1" s="15">
        <v>52606</v>
      </c>
      <c r="IH1" s="15">
        <v>52637</v>
      </c>
      <c r="II1" s="15">
        <v>52666</v>
      </c>
      <c r="IJ1" s="15">
        <v>52697</v>
      </c>
      <c r="IK1" s="15">
        <v>52727</v>
      </c>
      <c r="IL1" s="15">
        <v>52758</v>
      </c>
      <c r="IM1" s="15">
        <v>52788</v>
      </c>
      <c r="IN1" s="15">
        <v>52819</v>
      </c>
      <c r="IO1" s="15">
        <v>52850</v>
      </c>
      <c r="IP1" s="15">
        <v>52880</v>
      </c>
      <c r="IQ1" s="15">
        <v>52911</v>
      </c>
      <c r="IR1" s="15">
        <v>52941</v>
      </c>
      <c r="IS1" s="15">
        <v>52972</v>
      </c>
      <c r="IT1" s="15">
        <v>53003</v>
      </c>
      <c r="IU1" s="15">
        <v>53031</v>
      </c>
      <c r="IV1" s="15">
        <v>53062</v>
      </c>
      <c r="IW1" s="15">
        <v>53092</v>
      </c>
      <c r="IX1" s="15">
        <v>53123</v>
      </c>
      <c r="IY1" s="15">
        <v>53153</v>
      </c>
      <c r="IZ1" s="15">
        <v>53184</v>
      </c>
      <c r="JA1" s="15">
        <v>53215</v>
      </c>
      <c r="JB1" s="15">
        <v>53245</v>
      </c>
      <c r="JC1" s="15">
        <v>53276</v>
      </c>
      <c r="JD1" s="15">
        <v>53306</v>
      </c>
      <c r="JE1" s="15">
        <v>53337</v>
      </c>
      <c r="JF1" s="15">
        <v>53368</v>
      </c>
      <c r="JG1" s="15">
        <v>53396</v>
      </c>
      <c r="JH1" s="15">
        <v>53427</v>
      </c>
      <c r="JI1" s="15">
        <v>53457</v>
      </c>
      <c r="JJ1" s="15">
        <v>53488</v>
      </c>
      <c r="JK1" s="15">
        <v>53518</v>
      </c>
      <c r="JL1" s="15">
        <v>53549</v>
      </c>
      <c r="JM1" s="15">
        <v>53580</v>
      </c>
      <c r="JN1" s="15">
        <v>53610</v>
      </c>
      <c r="JO1" s="15">
        <v>53641</v>
      </c>
      <c r="JP1" s="15">
        <v>53671</v>
      </c>
      <c r="JQ1" s="15">
        <v>53702</v>
      </c>
      <c r="JR1" s="15">
        <v>53733</v>
      </c>
      <c r="JS1" s="15">
        <v>53761</v>
      </c>
      <c r="JT1" s="15">
        <v>53792</v>
      </c>
      <c r="JU1" s="15">
        <v>53822</v>
      </c>
      <c r="JV1" s="15">
        <v>53853</v>
      </c>
      <c r="JW1" s="15">
        <v>53883</v>
      </c>
      <c r="JX1" s="15">
        <v>53914</v>
      </c>
      <c r="JY1" s="15">
        <v>53945</v>
      </c>
      <c r="JZ1" s="15">
        <v>53975</v>
      </c>
      <c r="KA1" s="15">
        <v>54006</v>
      </c>
      <c r="KB1" s="15">
        <v>54036</v>
      </c>
      <c r="KC1" s="15">
        <v>54067</v>
      </c>
      <c r="KD1" s="15">
        <v>54098</v>
      </c>
      <c r="KE1" s="15">
        <v>54127</v>
      </c>
      <c r="KF1" s="15">
        <v>54158</v>
      </c>
      <c r="KG1" s="15">
        <v>54188</v>
      </c>
      <c r="KH1" s="15">
        <v>54219</v>
      </c>
      <c r="KI1" s="15">
        <v>54249</v>
      </c>
      <c r="KJ1" s="15">
        <v>54280</v>
      </c>
      <c r="KK1" s="15">
        <v>54311</v>
      </c>
      <c r="KL1" s="15">
        <v>54341</v>
      </c>
      <c r="KM1" s="15">
        <v>54372</v>
      </c>
      <c r="KN1" s="15">
        <v>54402</v>
      </c>
      <c r="KO1" s="15">
        <v>54433</v>
      </c>
      <c r="KP1" s="15">
        <v>54464</v>
      </c>
      <c r="KQ1" s="15">
        <v>54492</v>
      </c>
      <c r="KR1" s="15">
        <v>54523</v>
      </c>
      <c r="KS1" s="15">
        <v>54553</v>
      </c>
      <c r="KT1" s="15">
        <v>54584</v>
      </c>
      <c r="KU1" s="15">
        <v>54614</v>
      </c>
      <c r="KV1" s="15">
        <v>54645</v>
      </c>
      <c r="KW1" s="15">
        <v>54676</v>
      </c>
      <c r="KX1" s="15">
        <v>54706</v>
      </c>
      <c r="KY1" s="15">
        <v>54737</v>
      </c>
      <c r="KZ1" s="15">
        <v>54767</v>
      </c>
      <c r="LA1" s="15">
        <v>54798</v>
      </c>
      <c r="LB1" s="15">
        <v>54829</v>
      </c>
      <c r="LC1" s="15">
        <v>54857</v>
      </c>
      <c r="LD1" s="15">
        <v>54888</v>
      </c>
      <c r="LE1" s="15">
        <v>54918</v>
      </c>
      <c r="LF1" s="15">
        <v>54949</v>
      </c>
      <c r="LG1" s="15">
        <v>54979</v>
      </c>
      <c r="LH1" s="15">
        <v>55010</v>
      </c>
      <c r="LI1" s="15">
        <v>55041</v>
      </c>
      <c r="LJ1" s="15">
        <v>55071</v>
      </c>
      <c r="LK1" s="15">
        <v>55102</v>
      </c>
      <c r="LL1" s="15">
        <v>55132</v>
      </c>
      <c r="LM1" s="15">
        <v>55163</v>
      </c>
      <c r="LN1" s="15">
        <v>55194</v>
      </c>
      <c r="LO1" s="15">
        <v>55222</v>
      </c>
      <c r="LP1" s="15">
        <v>55253</v>
      </c>
      <c r="LQ1" s="15">
        <v>55283</v>
      </c>
      <c r="LR1" s="15">
        <v>55314</v>
      </c>
      <c r="LS1" s="15">
        <v>55344</v>
      </c>
      <c r="LT1" s="15">
        <v>55375</v>
      </c>
      <c r="LU1" s="15">
        <v>55406</v>
      </c>
      <c r="LV1" s="15">
        <v>55436</v>
      </c>
      <c r="LW1" s="15">
        <v>55467</v>
      </c>
      <c r="LX1" s="15">
        <v>55497</v>
      </c>
      <c r="LY1" s="15">
        <v>55528</v>
      </c>
      <c r="LZ1" s="15">
        <v>55559</v>
      </c>
      <c r="MA1" s="15">
        <v>55588</v>
      </c>
      <c r="MB1" s="15">
        <v>55619</v>
      </c>
      <c r="MC1" s="15">
        <v>55649</v>
      </c>
      <c r="MD1" s="15">
        <v>55680</v>
      </c>
      <c r="ME1" s="15">
        <v>55710</v>
      </c>
      <c r="MF1" s="15">
        <v>55741</v>
      </c>
      <c r="MG1" s="15">
        <v>55772</v>
      </c>
      <c r="MH1" s="15">
        <v>55802</v>
      </c>
      <c r="MI1" s="15">
        <v>55833</v>
      </c>
      <c r="MJ1" s="15">
        <v>55863</v>
      </c>
      <c r="MK1" s="15">
        <v>55894</v>
      </c>
      <c r="ML1" s="15">
        <v>55925</v>
      </c>
      <c r="MM1" s="15">
        <v>55953</v>
      </c>
      <c r="MN1" s="15">
        <v>55984</v>
      </c>
      <c r="MO1" s="15">
        <v>56014</v>
      </c>
      <c r="MP1" s="15">
        <v>56045</v>
      </c>
      <c r="MQ1" s="15">
        <v>56075</v>
      </c>
      <c r="MR1" s="15">
        <v>56106</v>
      </c>
      <c r="MS1" s="15">
        <v>56137</v>
      </c>
      <c r="MT1" s="15">
        <v>56167</v>
      </c>
      <c r="MU1" s="15">
        <v>56198</v>
      </c>
      <c r="MV1" s="15">
        <v>56228</v>
      </c>
      <c r="MW1" s="15">
        <v>56259</v>
      </c>
      <c r="MX1" s="15">
        <v>56290</v>
      </c>
      <c r="MY1" s="15">
        <v>56318</v>
      </c>
      <c r="MZ1" s="15">
        <v>56349</v>
      </c>
    </row>
    <row r="2" spans="1:364" ht="24.75" customHeight="1" x14ac:dyDescent="0.2">
      <c r="A2" s="2" t="s">
        <v>0</v>
      </c>
      <c r="B2" s="39" t="s">
        <v>138</v>
      </c>
      <c r="C2" s="43" t="s">
        <v>134</v>
      </c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3">
        <v>23</v>
      </c>
      <c r="AA2" s="3">
        <v>24</v>
      </c>
      <c r="AB2" s="3">
        <v>25</v>
      </c>
      <c r="AC2" s="3">
        <v>26</v>
      </c>
      <c r="AD2" s="3">
        <v>27</v>
      </c>
      <c r="AE2" s="3">
        <v>28</v>
      </c>
      <c r="AF2" s="3">
        <v>29</v>
      </c>
      <c r="AG2" s="3">
        <v>30</v>
      </c>
      <c r="AH2" s="3">
        <v>31</v>
      </c>
      <c r="AI2" s="3">
        <v>32</v>
      </c>
      <c r="AJ2" s="3">
        <v>33</v>
      </c>
      <c r="AK2" s="3">
        <v>34</v>
      </c>
      <c r="AL2" s="3">
        <v>35</v>
      </c>
      <c r="AM2" s="3">
        <v>36</v>
      </c>
      <c r="AN2" s="3">
        <v>37</v>
      </c>
      <c r="AO2" s="3">
        <v>38</v>
      </c>
      <c r="AP2" s="3">
        <v>39</v>
      </c>
      <c r="AQ2" s="3">
        <v>40</v>
      </c>
      <c r="AR2" s="3">
        <v>41</v>
      </c>
      <c r="AS2" s="3">
        <v>42</v>
      </c>
      <c r="AT2" s="3">
        <v>43</v>
      </c>
      <c r="AU2" s="3">
        <v>44</v>
      </c>
      <c r="AV2" s="3">
        <v>45</v>
      </c>
      <c r="AW2" s="3">
        <v>46</v>
      </c>
      <c r="AX2" s="3">
        <v>47</v>
      </c>
      <c r="AY2" s="3">
        <v>48</v>
      </c>
      <c r="AZ2" s="3">
        <v>49</v>
      </c>
      <c r="BA2" s="3">
        <v>50</v>
      </c>
      <c r="BB2" s="3">
        <v>51</v>
      </c>
      <c r="BC2" s="3">
        <v>52</v>
      </c>
      <c r="BD2" s="3">
        <v>53</v>
      </c>
      <c r="BE2" s="3">
        <v>54</v>
      </c>
      <c r="BF2" s="3">
        <v>55</v>
      </c>
      <c r="BG2" s="3">
        <v>56</v>
      </c>
      <c r="BH2" s="3">
        <v>57</v>
      </c>
      <c r="BI2" s="3">
        <v>58</v>
      </c>
      <c r="BJ2" s="3">
        <v>59</v>
      </c>
      <c r="BK2" s="3">
        <v>60</v>
      </c>
      <c r="BL2" s="3">
        <v>61</v>
      </c>
      <c r="BM2" s="3">
        <v>62</v>
      </c>
      <c r="BN2" s="3">
        <v>63</v>
      </c>
      <c r="BO2" s="3">
        <v>64</v>
      </c>
      <c r="BP2" s="3">
        <v>65</v>
      </c>
      <c r="BQ2" s="3">
        <v>66</v>
      </c>
      <c r="BR2" s="3">
        <v>67</v>
      </c>
      <c r="BS2" s="3">
        <v>68</v>
      </c>
      <c r="BT2" s="3">
        <v>69</v>
      </c>
      <c r="BU2" s="3">
        <v>70</v>
      </c>
      <c r="BV2" s="3">
        <v>71</v>
      </c>
      <c r="BW2" s="3">
        <v>72</v>
      </c>
      <c r="BX2" s="3">
        <v>73</v>
      </c>
      <c r="BY2" s="3">
        <v>74</v>
      </c>
      <c r="BZ2" s="3">
        <v>75</v>
      </c>
      <c r="CA2" s="3">
        <v>76</v>
      </c>
      <c r="CB2" s="3">
        <v>77</v>
      </c>
      <c r="CC2" s="3">
        <v>78</v>
      </c>
      <c r="CD2" s="3">
        <v>79</v>
      </c>
      <c r="CE2" s="3">
        <v>80</v>
      </c>
      <c r="CF2" s="3">
        <v>81</v>
      </c>
      <c r="CG2" s="3">
        <v>82</v>
      </c>
      <c r="CH2" s="3">
        <v>83</v>
      </c>
      <c r="CI2" s="3">
        <v>84</v>
      </c>
      <c r="CJ2" s="3">
        <v>85</v>
      </c>
      <c r="CK2" s="3">
        <v>86</v>
      </c>
      <c r="CL2" s="3">
        <v>87</v>
      </c>
      <c r="CM2" s="3">
        <v>88</v>
      </c>
      <c r="CN2" s="3">
        <v>89</v>
      </c>
      <c r="CO2" s="3">
        <v>90</v>
      </c>
      <c r="CP2" s="3">
        <v>91</v>
      </c>
      <c r="CQ2" s="3">
        <v>92</v>
      </c>
      <c r="CR2" s="3">
        <v>93</v>
      </c>
      <c r="CS2" s="3">
        <v>94</v>
      </c>
      <c r="CT2" s="3">
        <v>95</v>
      </c>
      <c r="CU2" s="3">
        <v>96</v>
      </c>
      <c r="CV2" s="3">
        <v>97</v>
      </c>
      <c r="CW2" s="3">
        <v>98</v>
      </c>
      <c r="CX2" s="3">
        <v>99</v>
      </c>
      <c r="CY2" s="3">
        <v>100</v>
      </c>
      <c r="CZ2" s="3">
        <v>101</v>
      </c>
      <c r="DA2" s="3">
        <v>102</v>
      </c>
      <c r="DB2" s="3">
        <v>103</v>
      </c>
      <c r="DC2" s="3">
        <v>104</v>
      </c>
      <c r="DD2" s="3">
        <v>105</v>
      </c>
      <c r="DE2" s="3">
        <v>106</v>
      </c>
      <c r="DF2" s="3">
        <v>107</v>
      </c>
      <c r="DG2" s="3">
        <v>108</v>
      </c>
      <c r="DH2" s="3">
        <v>109</v>
      </c>
      <c r="DI2" s="3">
        <v>110</v>
      </c>
      <c r="DJ2" s="3">
        <v>111</v>
      </c>
      <c r="DK2" s="3">
        <v>112</v>
      </c>
      <c r="DL2" s="3">
        <v>113</v>
      </c>
      <c r="DM2" s="3">
        <v>114</v>
      </c>
      <c r="DN2" s="3">
        <v>115</v>
      </c>
      <c r="DO2" s="3">
        <v>116</v>
      </c>
      <c r="DP2" s="3">
        <v>117</v>
      </c>
      <c r="DQ2" s="3">
        <v>118</v>
      </c>
      <c r="DR2" s="3">
        <v>119</v>
      </c>
      <c r="DS2" s="3">
        <v>120</v>
      </c>
      <c r="DT2" s="3">
        <v>121</v>
      </c>
      <c r="DU2" s="3">
        <v>122</v>
      </c>
      <c r="DV2" s="3">
        <v>123</v>
      </c>
      <c r="DW2" s="3">
        <v>124</v>
      </c>
      <c r="DX2" s="3">
        <v>125</v>
      </c>
      <c r="DY2" s="3">
        <v>126</v>
      </c>
      <c r="DZ2" s="3">
        <v>127</v>
      </c>
      <c r="EA2" s="3">
        <v>128</v>
      </c>
      <c r="EB2" s="3">
        <v>129</v>
      </c>
      <c r="EC2" s="3">
        <v>130</v>
      </c>
      <c r="ED2" s="3">
        <v>131</v>
      </c>
      <c r="EE2" s="3">
        <v>132</v>
      </c>
      <c r="EF2" s="3">
        <v>133</v>
      </c>
      <c r="EG2" s="3">
        <v>134</v>
      </c>
      <c r="EH2" s="3">
        <v>135</v>
      </c>
      <c r="EI2" s="3">
        <v>136</v>
      </c>
      <c r="EJ2" s="3">
        <v>137</v>
      </c>
      <c r="EK2" s="3">
        <v>138</v>
      </c>
      <c r="EL2" s="3">
        <v>139</v>
      </c>
      <c r="EM2" s="3">
        <v>140</v>
      </c>
      <c r="EN2" s="3">
        <v>141</v>
      </c>
      <c r="EO2" s="3">
        <v>142</v>
      </c>
      <c r="EP2" s="3">
        <v>143</v>
      </c>
      <c r="EQ2" s="3">
        <v>144</v>
      </c>
      <c r="ER2" s="3">
        <v>145</v>
      </c>
      <c r="ES2" s="3">
        <v>146</v>
      </c>
      <c r="ET2" s="3">
        <v>147</v>
      </c>
      <c r="EU2" s="3">
        <v>148</v>
      </c>
      <c r="EV2" s="3">
        <v>149</v>
      </c>
      <c r="EW2" s="3">
        <v>150</v>
      </c>
      <c r="EX2" s="3">
        <v>151</v>
      </c>
      <c r="EY2" s="3">
        <v>152</v>
      </c>
      <c r="EZ2" s="3">
        <v>153</v>
      </c>
      <c r="FA2" s="3">
        <v>154</v>
      </c>
      <c r="FB2" s="3">
        <v>155</v>
      </c>
      <c r="FC2" s="3">
        <v>156</v>
      </c>
      <c r="FD2" s="3">
        <v>157</v>
      </c>
      <c r="FE2" s="3">
        <v>158</v>
      </c>
      <c r="FF2" s="3">
        <v>159</v>
      </c>
      <c r="FG2" s="3">
        <v>160</v>
      </c>
      <c r="FH2" s="3">
        <v>161</v>
      </c>
      <c r="FI2" s="3">
        <v>162</v>
      </c>
      <c r="FJ2" s="3">
        <v>163</v>
      </c>
      <c r="FK2" s="3">
        <v>164</v>
      </c>
      <c r="FL2" s="3">
        <v>165</v>
      </c>
      <c r="FM2" s="3">
        <v>166</v>
      </c>
      <c r="FN2" s="3">
        <v>167</v>
      </c>
      <c r="FO2" s="3">
        <v>168</v>
      </c>
      <c r="FP2" s="3">
        <v>169</v>
      </c>
      <c r="FQ2" s="3">
        <v>170</v>
      </c>
      <c r="FR2" s="3">
        <v>171</v>
      </c>
      <c r="FS2" s="3">
        <v>172</v>
      </c>
      <c r="FT2" s="3">
        <v>173</v>
      </c>
      <c r="FU2" s="3">
        <v>174</v>
      </c>
      <c r="FV2" s="3">
        <v>175</v>
      </c>
      <c r="FW2" s="3">
        <v>176</v>
      </c>
      <c r="FX2" s="3">
        <v>177</v>
      </c>
      <c r="FY2" s="3">
        <v>178</v>
      </c>
      <c r="FZ2" s="3">
        <v>179</v>
      </c>
      <c r="GA2" s="3">
        <v>180</v>
      </c>
      <c r="GB2" s="3">
        <v>181</v>
      </c>
      <c r="GC2" s="3">
        <v>182</v>
      </c>
      <c r="GD2" s="3">
        <v>183</v>
      </c>
      <c r="GE2" s="3">
        <v>184</v>
      </c>
      <c r="GF2" s="3">
        <v>185</v>
      </c>
      <c r="GG2" s="3">
        <v>186</v>
      </c>
      <c r="GH2" s="3">
        <v>187</v>
      </c>
      <c r="GI2" s="3">
        <v>188</v>
      </c>
      <c r="GJ2" s="3">
        <v>189</v>
      </c>
      <c r="GK2" s="3">
        <v>190</v>
      </c>
      <c r="GL2" s="3">
        <v>191</v>
      </c>
      <c r="GM2" s="3">
        <v>192</v>
      </c>
      <c r="GN2" s="3">
        <v>193</v>
      </c>
      <c r="GO2" s="3">
        <v>194</v>
      </c>
      <c r="GP2" s="3">
        <v>195</v>
      </c>
      <c r="GQ2" s="3">
        <v>196</v>
      </c>
      <c r="GR2" s="3">
        <v>197</v>
      </c>
      <c r="GS2" s="3">
        <v>198</v>
      </c>
      <c r="GT2" s="3">
        <v>199</v>
      </c>
      <c r="GU2" s="3">
        <v>200</v>
      </c>
      <c r="GV2" s="3">
        <v>201</v>
      </c>
      <c r="GW2" s="3">
        <v>202</v>
      </c>
      <c r="GX2" s="3">
        <v>203</v>
      </c>
      <c r="GY2" s="3">
        <v>204</v>
      </c>
      <c r="GZ2" s="3">
        <v>205</v>
      </c>
      <c r="HA2" s="3">
        <v>206</v>
      </c>
      <c r="HB2" s="3">
        <v>207</v>
      </c>
      <c r="HC2" s="3">
        <v>208</v>
      </c>
      <c r="HD2" s="3">
        <v>209</v>
      </c>
      <c r="HE2" s="3">
        <v>210</v>
      </c>
      <c r="HF2" s="3">
        <v>211</v>
      </c>
      <c r="HG2" s="3">
        <v>212</v>
      </c>
      <c r="HH2" s="3">
        <v>213</v>
      </c>
      <c r="HI2" s="3">
        <v>214</v>
      </c>
      <c r="HJ2" s="3">
        <v>215</v>
      </c>
      <c r="HK2" s="3">
        <v>216</v>
      </c>
      <c r="HL2" s="3">
        <v>217</v>
      </c>
      <c r="HM2" s="3">
        <v>218</v>
      </c>
      <c r="HN2" s="3">
        <v>219</v>
      </c>
      <c r="HO2" s="3">
        <v>220</v>
      </c>
      <c r="HP2" s="3">
        <v>221</v>
      </c>
      <c r="HQ2" s="3">
        <v>222</v>
      </c>
      <c r="HR2" s="3">
        <v>223</v>
      </c>
      <c r="HS2" s="3">
        <v>224</v>
      </c>
      <c r="HT2" s="3">
        <v>225</v>
      </c>
      <c r="HU2" s="3">
        <v>226</v>
      </c>
      <c r="HV2" s="3">
        <v>227</v>
      </c>
      <c r="HW2" s="3">
        <v>228</v>
      </c>
      <c r="HX2" s="3">
        <v>229</v>
      </c>
      <c r="HY2" s="3">
        <v>230</v>
      </c>
      <c r="HZ2" s="3">
        <v>231</v>
      </c>
      <c r="IA2" s="3">
        <v>232</v>
      </c>
      <c r="IB2" s="3">
        <v>233</v>
      </c>
      <c r="IC2" s="3">
        <v>234</v>
      </c>
      <c r="ID2" s="3">
        <v>235</v>
      </c>
      <c r="IE2" s="3">
        <v>236</v>
      </c>
      <c r="IF2" s="3">
        <v>237</v>
      </c>
      <c r="IG2" s="3">
        <v>238</v>
      </c>
      <c r="IH2" s="3">
        <v>239</v>
      </c>
      <c r="II2" s="3">
        <v>240</v>
      </c>
      <c r="IJ2" s="3">
        <v>241</v>
      </c>
      <c r="IK2" s="3">
        <v>242</v>
      </c>
      <c r="IL2" s="3">
        <v>243</v>
      </c>
      <c r="IM2" s="3">
        <v>244</v>
      </c>
      <c r="IN2" s="3">
        <v>245</v>
      </c>
      <c r="IO2" s="3">
        <v>246</v>
      </c>
      <c r="IP2" s="3">
        <v>247</v>
      </c>
      <c r="IQ2" s="3">
        <v>248</v>
      </c>
      <c r="IR2" s="3">
        <v>249</v>
      </c>
      <c r="IS2" s="3">
        <v>250</v>
      </c>
      <c r="IT2" s="3">
        <v>251</v>
      </c>
      <c r="IU2" s="3">
        <v>252</v>
      </c>
      <c r="IV2" s="3">
        <v>253</v>
      </c>
      <c r="IW2" s="3">
        <v>254</v>
      </c>
      <c r="IX2" s="3">
        <v>255</v>
      </c>
      <c r="IY2" s="3">
        <v>256</v>
      </c>
      <c r="IZ2" s="3">
        <v>257</v>
      </c>
      <c r="JA2" s="3">
        <v>258</v>
      </c>
      <c r="JB2" s="3">
        <v>259</v>
      </c>
      <c r="JC2" s="3">
        <v>260</v>
      </c>
      <c r="JD2" s="3">
        <v>261</v>
      </c>
      <c r="JE2" s="3">
        <v>262</v>
      </c>
      <c r="JF2" s="3">
        <v>263</v>
      </c>
      <c r="JG2" s="3">
        <v>264</v>
      </c>
      <c r="JH2" s="3">
        <v>265</v>
      </c>
      <c r="JI2" s="3">
        <v>266</v>
      </c>
      <c r="JJ2" s="3">
        <v>267</v>
      </c>
      <c r="JK2" s="3">
        <v>268</v>
      </c>
      <c r="JL2" s="3">
        <v>269</v>
      </c>
      <c r="JM2" s="3">
        <v>270</v>
      </c>
      <c r="JN2" s="3">
        <v>271</v>
      </c>
      <c r="JO2" s="3">
        <v>272</v>
      </c>
      <c r="JP2" s="3">
        <v>273</v>
      </c>
      <c r="JQ2" s="3">
        <v>274</v>
      </c>
      <c r="JR2" s="3">
        <v>275</v>
      </c>
      <c r="JS2" s="3">
        <v>276</v>
      </c>
      <c r="JT2" s="3">
        <v>277</v>
      </c>
      <c r="JU2" s="3">
        <v>278</v>
      </c>
      <c r="JV2" s="3">
        <v>279</v>
      </c>
      <c r="JW2" s="3">
        <v>280</v>
      </c>
      <c r="JX2" s="3">
        <v>281</v>
      </c>
      <c r="JY2" s="3">
        <v>282</v>
      </c>
      <c r="JZ2" s="3">
        <v>283</v>
      </c>
      <c r="KA2" s="3">
        <v>284</v>
      </c>
      <c r="KB2" s="3">
        <v>285</v>
      </c>
      <c r="KC2" s="3">
        <v>286</v>
      </c>
      <c r="KD2" s="3">
        <v>287</v>
      </c>
      <c r="KE2" s="3">
        <v>288</v>
      </c>
      <c r="KF2" s="3">
        <v>289</v>
      </c>
      <c r="KG2" s="3">
        <v>290</v>
      </c>
      <c r="KH2" s="3">
        <v>291</v>
      </c>
      <c r="KI2" s="3">
        <v>292</v>
      </c>
      <c r="KJ2" s="3">
        <v>293</v>
      </c>
      <c r="KK2" s="3">
        <v>294</v>
      </c>
      <c r="KL2" s="3">
        <v>295</v>
      </c>
      <c r="KM2" s="3">
        <v>296</v>
      </c>
      <c r="KN2" s="3">
        <v>297</v>
      </c>
      <c r="KO2" s="3">
        <v>298</v>
      </c>
      <c r="KP2" s="3">
        <v>299</v>
      </c>
      <c r="KQ2" s="3">
        <v>300</v>
      </c>
      <c r="KR2" s="3">
        <v>301</v>
      </c>
      <c r="KS2" s="3">
        <v>302</v>
      </c>
      <c r="KT2" s="3">
        <v>303</v>
      </c>
      <c r="KU2" s="3">
        <v>304</v>
      </c>
      <c r="KV2" s="3">
        <v>305</v>
      </c>
      <c r="KW2" s="3">
        <v>306</v>
      </c>
      <c r="KX2" s="3">
        <v>307</v>
      </c>
      <c r="KY2" s="3">
        <v>308</v>
      </c>
      <c r="KZ2" s="3">
        <v>309</v>
      </c>
      <c r="LA2" s="3">
        <v>310</v>
      </c>
      <c r="LB2" s="3">
        <v>311</v>
      </c>
      <c r="LC2" s="3">
        <v>312</v>
      </c>
      <c r="LD2" s="3">
        <v>313</v>
      </c>
      <c r="LE2" s="3">
        <v>314</v>
      </c>
      <c r="LF2" s="3">
        <v>315</v>
      </c>
      <c r="LG2" s="3">
        <v>316</v>
      </c>
      <c r="LH2" s="3">
        <v>317</v>
      </c>
      <c r="LI2" s="3">
        <v>318</v>
      </c>
      <c r="LJ2" s="3">
        <v>319</v>
      </c>
      <c r="LK2" s="3">
        <v>320</v>
      </c>
      <c r="LL2" s="3">
        <v>321</v>
      </c>
      <c r="LM2" s="3">
        <v>322</v>
      </c>
      <c r="LN2" s="3">
        <v>323</v>
      </c>
      <c r="LO2" s="3">
        <v>324</v>
      </c>
      <c r="LP2" s="3">
        <v>325</v>
      </c>
      <c r="LQ2" s="3">
        <v>326</v>
      </c>
      <c r="LR2" s="3">
        <v>327</v>
      </c>
      <c r="LS2" s="3">
        <v>328</v>
      </c>
      <c r="LT2" s="3">
        <v>329</v>
      </c>
      <c r="LU2" s="3">
        <v>330</v>
      </c>
      <c r="LV2" s="3">
        <v>331</v>
      </c>
      <c r="LW2" s="3">
        <v>332</v>
      </c>
      <c r="LX2" s="3">
        <v>333</v>
      </c>
      <c r="LY2" s="3">
        <v>334</v>
      </c>
      <c r="LZ2" s="3">
        <v>335</v>
      </c>
      <c r="MA2" s="3">
        <v>336</v>
      </c>
      <c r="MB2" s="3">
        <v>337</v>
      </c>
      <c r="MC2" s="3">
        <v>338</v>
      </c>
      <c r="MD2" s="3">
        <v>339</v>
      </c>
      <c r="ME2" s="3">
        <v>340</v>
      </c>
      <c r="MF2" s="3">
        <v>341</v>
      </c>
      <c r="MG2" s="3">
        <v>342</v>
      </c>
      <c r="MH2" s="3">
        <v>343</v>
      </c>
      <c r="MI2" s="3">
        <v>344</v>
      </c>
      <c r="MJ2" s="3">
        <v>345</v>
      </c>
      <c r="MK2" s="3">
        <v>346</v>
      </c>
      <c r="ML2" s="3">
        <v>347</v>
      </c>
      <c r="MM2" s="3">
        <v>348</v>
      </c>
      <c r="MN2" s="3">
        <v>349</v>
      </c>
      <c r="MO2" s="3">
        <v>350</v>
      </c>
      <c r="MP2" s="3">
        <v>351</v>
      </c>
      <c r="MQ2" s="3">
        <v>352</v>
      </c>
      <c r="MR2" s="3">
        <v>353</v>
      </c>
      <c r="MS2" s="3">
        <v>354</v>
      </c>
      <c r="MT2" s="3">
        <v>355</v>
      </c>
      <c r="MU2" s="3">
        <v>356</v>
      </c>
      <c r="MV2" s="3">
        <v>357</v>
      </c>
      <c r="MW2" s="3">
        <v>358</v>
      </c>
      <c r="MX2" s="3">
        <v>359</v>
      </c>
      <c r="MY2" s="3">
        <v>360</v>
      </c>
      <c r="MZ2" s="3">
        <v>361</v>
      </c>
    </row>
    <row r="3" spans="1:364" x14ac:dyDescent="0.2">
      <c r="A3" s="7">
        <v>1</v>
      </c>
      <c r="B3" s="16" t="s">
        <v>515</v>
      </c>
      <c r="C3" s="74">
        <v>6</v>
      </c>
      <c r="D3" s="21">
        <v>0</v>
      </c>
      <c r="E3" s="21">
        <v>0</v>
      </c>
      <c r="F3" s="21">
        <v>0</v>
      </c>
      <c r="G3" s="21">
        <v>0</v>
      </c>
      <c r="H3" s="21">
        <v>0</v>
      </c>
      <c r="I3" s="21">
        <v>0</v>
      </c>
      <c r="J3" s="21">
        <v>11.988020000000001</v>
      </c>
      <c r="K3" s="21">
        <v>11.988020000000001</v>
      </c>
      <c r="L3" s="21">
        <v>11.988020000000001</v>
      </c>
      <c r="M3" s="21">
        <v>11.988020000000001</v>
      </c>
      <c r="N3" s="21">
        <v>11.988020000000001</v>
      </c>
      <c r="O3" s="21">
        <v>11.988020000000001</v>
      </c>
      <c r="P3" s="21">
        <v>11.988020000000001</v>
      </c>
      <c r="Q3" s="21">
        <v>11.988020000000001</v>
      </c>
      <c r="R3" s="21">
        <v>11.988020000000001</v>
      </c>
      <c r="S3" s="21">
        <v>11.988020000000001</v>
      </c>
      <c r="T3" s="21">
        <v>11.988020000000001</v>
      </c>
      <c r="U3" s="21">
        <v>11.988020000000001</v>
      </c>
      <c r="V3" s="21">
        <v>11.988020000000001</v>
      </c>
      <c r="W3" s="21">
        <v>11.988020000000001</v>
      </c>
      <c r="X3" s="21">
        <v>11.988020000000001</v>
      </c>
      <c r="Y3" s="21">
        <v>11.988020000000001</v>
      </c>
      <c r="Z3" s="21">
        <v>11.988020000000001</v>
      </c>
      <c r="AA3" s="21">
        <v>11.988020000000001</v>
      </c>
      <c r="AB3" s="21">
        <v>11.988020000000001</v>
      </c>
      <c r="AC3" s="21">
        <v>11.988020000000001</v>
      </c>
      <c r="AD3" s="21">
        <v>11.988020000000001</v>
      </c>
      <c r="AE3" s="21">
        <v>11.988020000000001</v>
      </c>
      <c r="AF3" s="21">
        <v>11.988020000000001</v>
      </c>
      <c r="AG3" s="21">
        <v>11.988020000000001</v>
      </c>
      <c r="AH3" s="21">
        <v>11.988020000000001</v>
      </c>
      <c r="AI3" s="21">
        <v>11.988020000000001</v>
      </c>
      <c r="AJ3" s="21">
        <v>11.988020000000001</v>
      </c>
      <c r="AK3" s="21">
        <v>11.988020000000001</v>
      </c>
      <c r="AL3" s="21">
        <v>11.988020000000001</v>
      </c>
      <c r="AM3" s="21">
        <v>11.988020000000001</v>
      </c>
      <c r="AN3" s="21">
        <v>11.988020000000001</v>
      </c>
      <c r="AO3" s="21">
        <v>11.988020000000001</v>
      </c>
      <c r="AP3" s="21">
        <v>11.988020000000001</v>
      </c>
      <c r="AQ3" s="21">
        <v>11.988020000000001</v>
      </c>
      <c r="AR3" s="21">
        <v>11.988020000000001</v>
      </c>
      <c r="AS3" s="21">
        <v>11.988020000000001</v>
      </c>
      <c r="AT3" s="21">
        <v>11.988020000000001</v>
      </c>
      <c r="AU3" s="21">
        <v>11.988020000000001</v>
      </c>
      <c r="AV3" s="21">
        <v>11.988020000000001</v>
      </c>
      <c r="AW3" s="21">
        <v>11.988020000000001</v>
      </c>
      <c r="AX3" s="21">
        <v>11.988020000000001</v>
      </c>
      <c r="AY3" s="21">
        <v>11.988020000000001</v>
      </c>
      <c r="AZ3" s="21">
        <v>11.988020000000001</v>
      </c>
      <c r="BA3" s="21">
        <v>11.988020000000001</v>
      </c>
      <c r="BB3" s="21">
        <v>11.988020000000001</v>
      </c>
      <c r="BC3" s="21">
        <v>11.988020000000001</v>
      </c>
      <c r="BD3" s="21">
        <v>11.988020000000001</v>
      </c>
      <c r="BE3" s="21">
        <v>11.988020000000001</v>
      </c>
      <c r="BF3" s="21">
        <v>11.988020000000001</v>
      </c>
      <c r="BG3" s="21">
        <v>11.988020000000001</v>
      </c>
      <c r="BH3" s="21">
        <v>11.988020000000001</v>
      </c>
      <c r="BI3" s="21">
        <v>11.988020000000001</v>
      </c>
      <c r="BJ3" s="21">
        <v>11.988020000000001</v>
      </c>
      <c r="BK3" s="21">
        <v>11.988020000000001</v>
      </c>
      <c r="BL3" s="21">
        <v>11.988020000000001</v>
      </c>
      <c r="BM3" s="21">
        <v>11.988020000000001</v>
      </c>
      <c r="BN3" s="21">
        <v>11.988020000000001</v>
      </c>
      <c r="BO3" s="21">
        <v>11.988020000000001</v>
      </c>
      <c r="BP3" s="21">
        <v>11.988020000000001</v>
      </c>
      <c r="BQ3" s="21">
        <v>11.988020000000001</v>
      </c>
      <c r="BR3" s="21">
        <v>11.988020000000001</v>
      </c>
      <c r="BS3" s="21">
        <v>11.988020000000001</v>
      </c>
      <c r="BT3" s="21">
        <v>11.988020000000001</v>
      </c>
      <c r="BU3" s="21">
        <v>11.988020000000001</v>
      </c>
      <c r="BV3" s="21">
        <v>11.988020000000001</v>
      </c>
      <c r="BW3" s="21">
        <v>11.988020000000001</v>
      </c>
      <c r="BX3" s="21">
        <v>11.988020000000001</v>
      </c>
      <c r="BY3" s="21">
        <v>11.988020000000001</v>
      </c>
      <c r="BZ3" s="21">
        <v>11.988020000000001</v>
      </c>
      <c r="CA3" s="21">
        <v>11.988020000000001</v>
      </c>
      <c r="CB3" s="21">
        <v>11.988020000000001</v>
      </c>
      <c r="CC3" s="21">
        <v>11.988020000000001</v>
      </c>
      <c r="CD3" s="21">
        <v>11.988020000000001</v>
      </c>
      <c r="CE3" s="21">
        <v>11.988020000000001</v>
      </c>
      <c r="CF3" s="21">
        <v>11.988020000000001</v>
      </c>
      <c r="CG3" s="21">
        <v>11.988020000000001</v>
      </c>
      <c r="CH3" s="21">
        <v>11.988020000000001</v>
      </c>
      <c r="CI3" s="21">
        <v>11.988020000000001</v>
      </c>
      <c r="CJ3" s="21">
        <v>11.988020000000001</v>
      </c>
      <c r="CK3" s="21">
        <v>11.988020000000001</v>
      </c>
      <c r="CL3" s="21">
        <v>11.988020000000001</v>
      </c>
      <c r="CM3" s="21">
        <v>11.988020000000001</v>
      </c>
      <c r="CN3" s="21">
        <v>11.988020000000001</v>
      </c>
      <c r="CO3" s="21">
        <v>11.988020000000001</v>
      </c>
      <c r="CP3" s="21">
        <v>11.988020000000001</v>
      </c>
      <c r="CQ3" s="21">
        <v>11.988020000000001</v>
      </c>
      <c r="CR3" s="21">
        <v>11.988020000000001</v>
      </c>
      <c r="CS3" s="21">
        <v>11.988020000000001</v>
      </c>
      <c r="CT3" s="21">
        <v>11.988020000000001</v>
      </c>
      <c r="CU3" s="21">
        <v>11.988020000000001</v>
      </c>
      <c r="CV3" s="21">
        <v>11.988020000000001</v>
      </c>
      <c r="CW3" s="21">
        <v>11.988020000000001</v>
      </c>
      <c r="CX3" s="21">
        <v>11.988020000000001</v>
      </c>
      <c r="CY3" s="21">
        <v>11.988020000000001</v>
      </c>
      <c r="CZ3" s="21">
        <v>11.988020000000001</v>
      </c>
      <c r="DA3" s="21">
        <v>11.988020000000001</v>
      </c>
      <c r="DB3" s="21">
        <v>11.988020000000001</v>
      </c>
      <c r="DC3" s="21">
        <v>11.988020000000001</v>
      </c>
      <c r="DD3" s="21">
        <v>11.988020000000001</v>
      </c>
      <c r="DE3" s="21">
        <v>11.988020000000001</v>
      </c>
      <c r="DF3" s="21">
        <v>11.988020000000001</v>
      </c>
      <c r="DG3" s="21">
        <v>11.988020000000001</v>
      </c>
      <c r="DH3" s="21">
        <v>11.988020000000001</v>
      </c>
      <c r="DI3" s="21">
        <v>11.988020000000001</v>
      </c>
      <c r="DJ3" s="21">
        <v>11.988020000000001</v>
      </c>
      <c r="DK3" s="21">
        <v>11.988020000000001</v>
      </c>
      <c r="DL3" s="21">
        <v>11.988020000000001</v>
      </c>
      <c r="DM3" s="21">
        <v>11.988020000000001</v>
      </c>
      <c r="DN3" s="21">
        <v>11.988020000000001</v>
      </c>
      <c r="DO3" s="21">
        <v>11.988020000000001</v>
      </c>
      <c r="DP3" s="21">
        <v>11.988020000000001</v>
      </c>
      <c r="DQ3" s="21">
        <v>11.988020000000001</v>
      </c>
      <c r="DR3" s="21">
        <v>11.988020000000001</v>
      </c>
      <c r="DS3" s="21">
        <v>11.988020000000001</v>
      </c>
      <c r="DT3" s="21">
        <v>11.988020000000001</v>
      </c>
      <c r="DU3" s="21">
        <v>11.988020000000001</v>
      </c>
      <c r="DV3" s="21">
        <v>11.988020000000001</v>
      </c>
      <c r="DW3" s="21">
        <v>11.988020000000001</v>
      </c>
      <c r="DX3" s="21">
        <v>11.988020000000001</v>
      </c>
      <c r="DY3" s="21">
        <v>11.988020000000001</v>
      </c>
      <c r="DZ3" s="21">
        <v>11.988020000000001</v>
      </c>
      <c r="EA3" s="21">
        <v>11.988020000000001</v>
      </c>
      <c r="EB3" s="21">
        <v>11.988020000000001</v>
      </c>
      <c r="EC3" s="21">
        <v>11.988020000000001</v>
      </c>
      <c r="ED3" s="21">
        <v>11.988020000000001</v>
      </c>
      <c r="EE3" s="21">
        <v>11.988020000000001</v>
      </c>
      <c r="EF3" s="21">
        <v>11.988020000000001</v>
      </c>
      <c r="EG3" s="21">
        <v>11.988020000000001</v>
      </c>
      <c r="EH3" s="21">
        <v>11.988020000000001</v>
      </c>
      <c r="EI3" s="21">
        <v>11.988020000000001</v>
      </c>
      <c r="EJ3" s="21">
        <v>11.988020000000001</v>
      </c>
      <c r="EK3" s="21">
        <v>11.988020000000001</v>
      </c>
      <c r="EL3" s="21">
        <v>11.988020000000001</v>
      </c>
      <c r="EM3" s="21">
        <v>11.988020000000001</v>
      </c>
      <c r="EN3" s="21">
        <v>11.988020000000001</v>
      </c>
      <c r="EO3" s="21">
        <v>11.988020000000001</v>
      </c>
      <c r="EP3" s="21">
        <v>11.988020000000001</v>
      </c>
      <c r="EQ3" s="21">
        <v>11.988020000000001</v>
      </c>
      <c r="ER3" s="21">
        <v>11.988020000000001</v>
      </c>
      <c r="ES3" s="21">
        <v>11.988020000000001</v>
      </c>
      <c r="ET3" s="21">
        <v>11.988020000000001</v>
      </c>
      <c r="EU3" s="21">
        <v>11.988020000000001</v>
      </c>
      <c r="EV3" s="21">
        <v>11.988020000000001</v>
      </c>
      <c r="EW3" s="21">
        <v>11.988020000000001</v>
      </c>
      <c r="EX3" s="21">
        <v>11.988020000000001</v>
      </c>
      <c r="EY3" s="21">
        <v>11.988020000000001</v>
      </c>
      <c r="EZ3" s="21">
        <v>11.988020000000001</v>
      </c>
      <c r="FA3" s="21">
        <v>11.988020000000001</v>
      </c>
      <c r="FB3" s="21">
        <v>11.988020000000001</v>
      </c>
      <c r="FC3" s="21">
        <v>11.988020000000001</v>
      </c>
      <c r="FD3" s="21">
        <v>11.988020000000001</v>
      </c>
      <c r="FE3" s="21">
        <v>11.988020000000001</v>
      </c>
      <c r="FF3" s="21">
        <v>11.988020000000001</v>
      </c>
      <c r="FG3" s="21">
        <v>11.988020000000001</v>
      </c>
      <c r="FH3" s="21">
        <v>11.988020000000001</v>
      </c>
      <c r="FI3" s="21">
        <v>11.988020000000001</v>
      </c>
      <c r="FJ3" s="21">
        <v>11.988020000000001</v>
      </c>
      <c r="FK3" s="21">
        <v>11.988020000000001</v>
      </c>
      <c r="FL3" s="21">
        <v>11.988020000000001</v>
      </c>
      <c r="FM3" s="21">
        <v>11.988020000000001</v>
      </c>
      <c r="FN3" s="21">
        <v>11.988020000000001</v>
      </c>
      <c r="FO3" s="21">
        <v>11.988020000000001</v>
      </c>
      <c r="FP3" s="21">
        <v>11.988020000000001</v>
      </c>
      <c r="FQ3" s="21">
        <v>11.988020000000001</v>
      </c>
      <c r="FR3" s="21">
        <v>11.988020000000001</v>
      </c>
      <c r="FS3" s="21">
        <v>11.988020000000001</v>
      </c>
      <c r="FT3" s="21">
        <v>11.988020000000001</v>
      </c>
      <c r="FU3" s="21">
        <v>11.988020000000001</v>
      </c>
      <c r="FV3" s="21">
        <v>11.988020000000001</v>
      </c>
      <c r="FW3" s="21">
        <v>11.988020000000001</v>
      </c>
      <c r="FX3" s="21">
        <v>11.988020000000001</v>
      </c>
      <c r="FY3" s="21">
        <v>11.988020000000001</v>
      </c>
      <c r="FZ3" s="21">
        <v>11.988020000000001</v>
      </c>
      <c r="GA3" s="21">
        <v>11.988020000000001</v>
      </c>
      <c r="GB3" s="21">
        <v>11.988020000000001</v>
      </c>
      <c r="GC3" s="21">
        <v>11.988020000000001</v>
      </c>
      <c r="GD3" s="21">
        <v>11.988020000000001</v>
      </c>
      <c r="GE3" s="21">
        <v>11.988020000000001</v>
      </c>
      <c r="GF3" s="21">
        <v>11.988020000000001</v>
      </c>
      <c r="GG3" s="21">
        <v>11.988020000000001</v>
      </c>
      <c r="GH3" s="21">
        <v>11.988020000000001</v>
      </c>
      <c r="GI3" s="21">
        <v>11.988020000000001</v>
      </c>
      <c r="GJ3" s="21">
        <v>11.988020000000001</v>
      </c>
      <c r="GK3" s="21">
        <v>11.988020000000001</v>
      </c>
      <c r="GL3" s="21">
        <v>11.988020000000001</v>
      </c>
      <c r="GM3" s="21">
        <v>11.988020000000001</v>
      </c>
      <c r="GN3" s="21">
        <v>11.988020000000001</v>
      </c>
      <c r="GO3" s="21">
        <v>11.988020000000001</v>
      </c>
      <c r="GP3" s="21">
        <v>11.988020000000001</v>
      </c>
      <c r="GQ3" s="21">
        <v>11.988020000000001</v>
      </c>
      <c r="GR3" s="21">
        <v>11.988020000000001</v>
      </c>
      <c r="GS3" s="21">
        <v>11.988020000000001</v>
      </c>
      <c r="GT3" s="21">
        <v>11.988020000000001</v>
      </c>
      <c r="GU3" s="21">
        <v>11.988020000000001</v>
      </c>
      <c r="GV3" s="21">
        <v>11.988020000000001</v>
      </c>
      <c r="GW3" s="21">
        <v>11.988020000000001</v>
      </c>
      <c r="GX3" s="21">
        <v>11.988020000000001</v>
      </c>
      <c r="GY3" s="21">
        <v>11.988020000000001</v>
      </c>
      <c r="GZ3" s="21">
        <v>11.988020000000001</v>
      </c>
      <c r="HA3" s="21">
        <v>11.988020000000001</v>
      </c>
      <c r="HB3" s="21">
        <v>11.988020000000001</v>
      </c>
      <c r="HC3" s="21">
        <v>11.988020000000001</v>
      </c>
      <c r="HD3" s="21">
        <v>11.988020000000001</v>
      </c>
      <c r="HE3" s="21">
        <v>11.988020000000001</v>
      </c>
      <c r="HF3" s="21">
        <v>11.988020000000001</v>
      </c>
      <c r="HG3" s="21">
        <v>11.988020000000001</v>
      </c>
      <c r="HH3" s="21">
        <v>11.988020000000001</v>
      </c>
      <c r="HI3" s="21">
        <v>11.988020000000001</v>
      </c>
      <c r="HJ3" s="21">
        <v>11.988020000000001</v>
      </c>
      <c r="HK3" s="21">
        <v>11.988020000000001</v>
      </c>
      <c r="HL3" s="21">
        <v>11.988020000000001</v>
      </c>
      <c r="HM3" s="21">
        <v>11.988020000000001</v>
      </c>
      <c r="HN3" s="21">
        <v>11.988020000000001</v>
      </c>
      <c r="HO3" s="21">
        <v>11.988020000000001</v>
      </c>
      <c r="HP3" s="21">
        <v>11.988020000000001</v>
      </c>
      <c r="HQ3" s="21">
        <v>11.988020000000001</v>
      </c>
      <c r="HR3" s="21">
        <v>11.988020000000001</v>
      </c>
      <c r="HS3" s="21">
        <v>11.988020000000001</v>
      </c>
      <c r="HT3" s="21">
        <v>11.988020000000001</v>
      </c>
      <c r="HU3" s="21">
        <v>11.988020000000001</v>
      </c>
      <c r="HV3" s="21">
        <v>11.988020000000001</v>
      </c>
      <c r="HW3" s="21">
        <v>11.988020000000001</v>
      </c>
      <c r="HX3" s="21">
        <v>11.988020000000001</v>
      </c>
      <c r="HY3" s="21">
        <v>11.988020000000001</v>
      </c>
      <c r="HZ3" s="21">
        <v>11.988020000000001</v>
      </c>
      <c r="IA3" s="21">
        <v>11.988020000000001</v>
      </c>
      <c r="IB3" s="21">
        <v>11.988020000000001</v>
      </c>
      <c r="IC3" s="21">
        <v>11.988020000000001</v>
      </c>
      <c r="ID3" s="21">
        <v>11.988020000000001</v>
      </c>
      <c r="IE3" s="21">
        <v>11.988020000000001</v>
      </c>
      <c r="IF3" s="21">
        <v>11.988020000000001</v>
      </c>
      <c r="IG3" s="21">
        <v>11.988020000000001</v>
      </c>
      <c r="IH3" s="21">
        <v>11.988020000000001</v>
      </c>
      <c r="II3" s="21">
        <v>11.988020000000001</v>
      </c>
      <c r="IJ3" s="21">
        <v>11.988020000000001</v>
      </c>
      <c r="IK3" s="21">
        <v>11.988020000000001</v>
      </c>
      <c r="IL3" s="21">
        <v>11.988020000000001</v>
      </c>
      <c r="IM3" s="21">
        <v>11.988020000000001</v>
      </c>
      <c r="IN3" s="21">
        <v>11.988020000000001</v>
      </c>
      <c r="IO3" s="21">
        <v>11.988020000000001</v>
      </c>
      <c r="IP3" s="21">
        <v>11.988020000000001</v>
      </c>
      <c r="IQ3" s="21">
        <v>11.988020000000001</v>
      </c>
      <c r="IR3" s="21">
        <v>11.988020000000001</v>
      </c>
      <c r="IS3" s="21">
        <v>11.988020000000001</v>
      </c>
      <c r="IT3" s="21">
        <v>11.988020000000001</v>
      </c>
      <c r="IU3" s="21">
        <v>11.988020000000001</v>
      </c>
      <c r="IV3" s="21">
        <v>11.988020000000001</v>
      </c>
      <c r="IW3" s="21">
        <v>11.988020000000001</v>
      </c>
      <c r="IX3" s="21">
        <v>11.988020000000001</v>
      </c>
      <c r="IY3" s="21">
        <v>11.988020000000001</v>
      </c>
      <c r="IZ3" s="21">
        <v>11.988020000000001</v>
      </c>
      <c r="JA3" s="21">
        <v>11.988020000000001</v>
      </c>
      <c r="JB3" s="21">
        <v>11.988020000000001</v>
      </c>
      <c r="JC3" s="21">
        <v>11.988020000000001</v>
      </c>
      <c r="JD3" s="21">
        <v>11.988020000000001</v>
      </c>
      <c r="JE3" s="21">
        <v>11.988020000000001</v>
      </c>
      <c r="JF3" s="21">
        <v>11.988020000000001</v>
      </c>
      <c r="JG3" s="21">
        <v>11.988020000000001</v>
      </c>
      <c r="JH3" s="21">
        <v>11.988020000000001</v>
      </c>
      <c r="JI3" s="21">
        <v>11.988020000000001</v>
      </c>
      <c r="JJ3" s="21">
        <v>11.988020000000001</v>
      </c>
      <c r="JK3" s="21">
        <v>11.988020000000001</v>
      </c>
      <c r="JL3" s="21">
        <v>11.988020000000001</v>
      </c>
      <c r="JM3" s="21">
        <v>11.988020000000001</v>
      </c>
      <c r="JN3" s="21">
        <v>11.988020000000001</v>
      </c>
      <c r="JO3" s="21">
        <v>11.988020000000001</v>
      </c>
      <c r="JP3" s="21">
        <v>11.988020000000001</v>
      </c>
      <c r="JQ3" s="21">
        <v>11.988020000000001</v>
      </c>
      <c r="JR3" s="21">
        <v>11.988020000000001</v>
      </c>
      <c r="JS3" s="21">
        <v>11.988020000000001</v>
      </c>
      <c r="JT3" s="21">
        <v>11.988020000000001</v>
      </c>
      <c r="JU3" s="21">
        <v>11.988020000000001</v>
      </c>
      <c r="JV3" s="21">
        <v>11.988020000000001</v>
      </c>
      <c r="JW3" s="21">
        <v>11.988020000000001</v>
      </c>
      <c r="JX3" s="21">
        <v>11.988020000000001</v>
      </c>
      <c r="JY3" s="21">
        <v>11.988020000000001</v>
      </c>
      <c r="JZ3" s="21">
        <v>11.988020000000001</v>
      </c>
      <c r="KA3" s="21">
        <v>11.988020000000001</v>
      </c>
      <c r="KB3" s="21">
        <v>11.988020000000001</v>
      </c>
      <c r="KC3" s="21">
        <v>11.988020000000001</v>
      </c>
      <c r="KD3" s="21">
        <v>11.988020000000001</v>
      </c>
      <c r="KE3" s="21">
        <v>11.988020000000001</v>
      </c>
      <c r="KF3" s="21">
        <v>11.988020000000001</v>
      </c>
      <c r="KG3" s="21">
        <v>11.988020000000001</v>
      </c>
      <c r="KH3" s="21">
        <v>11.988020000000001</v>
      </c>
      <c r="KI3" s="21">
        <v>11.988020000000001</v>
      </c>
      <c r="KJ3" s="21">
        <v>11.988020000000001</v>
      </c>
      <c r="KK3" s="21">
        <v>11.988020000000001</v>
      </c>
      <c r="KL3" s="21">
        <v>11.988020000000001</v>
      </c>
      <c r="KM3" s="21">
        <v>11.988020000000001</v>
      </c>
      <c r="KN3" s="21">
        <v>11.988020000000001</v>
      </c>
      <c r="KO3" s="21">
        <v>11.988020000000001</v>
      </c>
      <c r="KP3" s="21">
        <v>11.988020000000001</v>
      </c>
      <c r="KQ3" s="21">
        <v>11.988020000000001</v>
      </c>
      <c r="KR3" s="21">
        <v>11.919435</v>
      </c>
      <c r="KS3" s="21">
        <v>0</v>
      </c>
      <c r="KT3" s="21">
        <v>0</v>
      </c>
      <c r="KU3" s="21">
        <v>0</v>
      </c>
      <c r="KV3" s="21">
        <v>0</v>
      </c>
      <c r="KW3" s="21">
        <v>0</v>
      </c>
      <c r="KX3" s="21">
        <v>0</v>
      </c>
      <c r="KY3" s="21">
        <v>0</v>
      </c>
      <c r="KZ3" s="21">
        <v>0</v>
      </c>
      <c r="LA3" s="21">
        <v>0</v>
      </c>
      <c r="LB3" s="21">
        <v>0</v>
      </c>
      <c r="LC3" s="21">
        <v>0</v>
      </c>
      <c r="LD3" s="21">
        <v>0</v>
      </c>
      <c r="LE3" s="21">
        <v>0</v>
      </c>
      <c r="LF3" s="21">
        <v>0</v>
      </c>
      <c r="LG3" s="21">
        <v>0</v>
      </c>
      <c r="LH3" s="21">
        <v>0</v>
      </c>
      <c r="LI3" s="21">
        <v>0</v>
      </c>
      <c r="LJ3" s="21">
        <v>0</v>
      </c>
      <c r="LK3" s="21">
        <v>0</v>
      </c>
      <c r="LL3" s="21">
        <v>0</v>
      </c>
      <c r="LM3" s="21">
        <v>0</v>
      </c>
      <c r="LN3" s="21">
        <v>0</v>
      </c>
      <c r="LO3" s="21">
        <v>0</v>
      </c>
      <c r="LP3" s="21">
        <v>0</v>
      </c>
      <c r="LQ3" s="21">
        <v>0</v>
      </c>
      <c r="LR3" s="21">
        <v>0</v>
      </c>
      <c r="LS3" s="21">
        <v>0</v>
      </c>
      <c r="LT3" s="21">
        <v>0</v>
      </c>
      <c r="LU3" s="21">
        <v>0</v>
      </c>
      <c r="LV3" s="21">
        <v>0</v>
      </c>
      <c r="LW3" s="21">
        <v>0</v>
      </c>
      <c r="LX3" s="21">
        <v>0</v>
      </c>
      <c r="LY3" s="21">
        <v>0</v>
      </c>
      <c r="LZ3" s="21">
        <v>0</v>
      </c>
      <c r="MA3" s="21">
        <v>0</v>
      </c>
      <c r="MB3" s="21">
        <v>0</v>
      </c>
      <c r="MC3" s="21">
        <v>0</v>
      </c>
      <c r="MD3" s="21">
        <v>0</v>
      </c>
      <c r="ME3" s="21">
        <v>0</v>
      </c>
      <c r="MF3" s="21">
        <v>0</v>
      </c>
      <c r="MG3" s="21">
        <v>0</v>
      </c>
      <c r="MH3" s="21">
        <v>0</v>
      </c>
      <c r="MI3" s="21">
        <v>0</v>
      </c>
      <c r="MJ3" s="21">
        <v>0</v>
      </c>
      <c r="MK3" s="21">
        <v>0</v>
      </c>
      <c r="ML3" s="21">
        <v>0</v>
      </c>
      <c r="MM3" s="21">
        <v>0</v>
      </c>
      <c r="MN3" s="21">
        <v>0</v>
      </c>
      <c r="MO3" s="21">
        <v>0</v>
      </c>
      <c r="MP3" s="21">
        <v>0</v>
      </c>
      <c r="MQ3" s="21">
        <v>0</v>
      </c>
      <c r="MR3" s="21">
        <v>0</v>
      </c>
      <c r="MS3" s="21">
        <v>0</v>
      </c>
      <c r="MT3" s="21">
        <v>0</v>
      </c>
      <c r="MU3" s="21">
        <v>0</v>
      </c>
      <c r="MV3" s="21">
        <v>0</v>
      </c>
      <c r="MW3" s="21">
        <v>0</v>
      </c>
      <c r="MX3" s="21">
        <v>0</v>
      </c>
      <c r="MY3" s="21">
        <v>0</v>
      </c>
      <c r="MZ3" s="21">
        <v>0</v>
      </c>
    </row>
    <row r="4" spans="1:364" s="78" customFormat="1" x14ac:dyDescent="0.2">
      <c r="A4" s="7">
        <v>2</v>
      </c>
      <c r="B4" s="16" t="s">
        <v>524</v>
      </c>
      <c r="C4" s="74">
        <v>6</v>
      </c>
      <c r="D4" s="21">
        <v>0</v>
      </c>
      <c r="E4" s="21">
        <v>0</v>
      </c>
      <c r="F4" s="21">
        <v>0</v>
      </c>
      <c r="G4" s="21">
        <v>0</v>
      </c>
      <c r="H4" s="21">
        <v>0</v>
      </c>
      <c r="I4" s="21">
        <v>0</v>
      </c>
      <c r="J4" s="21">
        <v>10.483279</v>
      </c>
      <c r="K4" s="21">
        <v>10.483279</v>
      </c>
      <c r="L4" s="21">
        <v>10.483279</v>
      </c>
      <c r="M4" s="21">
        <v>10.483279</v>
      </c>
      <c r="N4" s="21">
        <v>10.483279</v>
      </c>
      <c r="O4" s="21">
        <v>10.483279</v>
      </c>
      <c r="P4" s="21">
        <v>10.483279</v>
      </c>
      <c r="Q4" s="21">
        <v>10.483279</v>
      </c>
      <c r="R4" s="21">
        <v>10.483279</v>
      </c>
      <c r="S4" s="21">
        <v>10.483279</v>
      </c>
      <c r="T4" s="21">
        <v>10.483279</v>
      </c>
      <c r="U4" s="21">
        <v>10.483279</v>
      </c>
      <c r="V4" s="21">
        <v>10.483279</v>
      </c>
      <c r="W4" s="21">
        <v>10.483279</v>
      </c>
      <c r="X4" s="21">
        <v>10.483279</v>
      </c>
      <c r="Y4" s="21">
        <v>10.483279</v>
      </c>
      <c r="Z4" s="21">
        <v>10.483279</v>
      </c>
      <c r="AA4" s="21">
        <v>10.483279</v>
      </c>
      <c r="AB4" s="21">
        <v>10.483279</v>
      </c>
      <c r="AC4" s="21">
        <v>10.483279</v>
      </c>
      <c r="AD4" s="21">
        <v>10.483279</v>
      </c>
      <c r="AE4" s="21">
        <v>10.483279</v>
      </c>
      <c r="AF4" s="21">
        <v>10.483279</v>
      </c>
      <c r="AG4" s="21">
        <v>10.483279</v>
      </c>
      <c r="AH4" s="21">
        <v>10.483279</v>
      </c>
      <c r="AI4" s="21">
        <v>10.483279</v>
      </c>
      <c r="AJ4" s="21">
        <v>10.483279</v>
      </c>
      <c r="AK4" s="21">
        <v>10.483279</v>
      </c>
      <c r="AL4" s="21">
        <v>10.483279</v>
      </c>
      <c r="AM4" s="21">
        <v>10.483279</v>
      </c>
      <c r="AN4" s="21">
        <v>10.483279</v>
      </c>
      <c r="AO4" s="21">
        <v>10.483279</v>
      </c>
      <c r="AP4" s="21">
        <v>10.483279</v>
      </c>
      <c r="AQ4" s="21">
        <v>10.483279</v>
      </c>
      <c r="AR4" s="21">
        <v>10.483279</v>
      </c>
      <c r="AS4" s="21">
        <v>10.483279</v>
      </c>
      <c r="AT4" s="21">
        <v>10.483279</v>
      </c>
      <c r="AU4" s="21">
        <v>10.483279</v>
      </c>
      <c r="AV4" s="21">
        <v>10.483279</v>
      </c>
      <c r="AW4" s="21">
        <v>10.483279</v>
      </c>
      <c r="AX4" s="21">
        <v>10.483279</v>
      </c>
      <c r="AY4" s="21">
        <v>10.483279</v>
      </c>
      <c r="AZ4" s="21">
        <v>10.483279</v>
      </c>
      <c r="BA4" s="21">
        <v>10.483279</v>
      </c>
      <c r="BB4" s="21">
        <v>10.483279</v>
      </c>
      <c r="BC4" s="21">
        <v>10.483279</v>
      </c>
      <c r="BD4" s="21">
        <v>10.483279</v>
      </c>
      <c r="BE4" s="21">
        <v>10.483279</v>
      </c>
      <c r="BF4" s="21">
        <v>10.483279</v>
      </c>
      <c r="BG4" s="21">
        <v>10.483279</v>
      </c>
      <c r="BH4" s="21">
        <v>10.483279</v>
      </c>
      <c r="BI4" s="21">
        <v>10.483279</v>
      </c>
      <c r="BJ4" s="21">
        <v>10.483279</v>
      </c>
      <c r="BK4" s="21">
        <v>10.483279</v>
      </c>
      <c r="BL4" s="21">
        <v>10.483279</v>
      </c>
      <c r="BM4" s="21">
        <v>10.483279</v>
      </c>
      <c r="BN4" s="21">
        <v>10.483279</v>
      </c>
      <c r="BO4" s="21">
        <v>10.483279</v>
      </c>
      <c r="BP4" s="21">
        <v>10.483279</v>
      </c>
      <c r="BQ4" s="21">
        <v>10.483279</v>
      </c>
      <c r="BR4" s="21">
        <v>10.483279</v>
      </c>
      <c r="BS4" s="21">
        <v>10.483279</v>
      </c>
      <c r="BT4" s="21">
        <v>10.483279</v>
      </c>
      <c r="BU4" s="21">
        <v>10.483279</v>
      </c>
      <c r="BV4" s="21">
        <v>10.483279</v>
      </c>
      <c r="BW4" s="21">
        <v>10.483279</v>
      </c>
      <c r="BX4" s="21">
        <v>10.483279</v>
      </c>
      <c r="BY4" s="21">
        <v>10.483279</v>
      </c>
      <c r="BZ4" s="21">
        <v>10.483279</v>
      </c>
      <c r="CA4" s="21">
        <v>10.483279</v>
      </c>
      <c r="CB4" s="21">
        <v>10.483279</v>
      </c>
      <c r="CC4" s="21">
        <v>10.483279</v>
      </c>
      <c r="CD4" s="21">
        <v>10.483279</v>
      </c>
      <c r="CE4" s="21">
        <v>10.483279</v>
      </c>
      <c r="CF4" s="21">
        <v>10.483279</v>
      </c>
      <c r="CG4" s="21">
        <v>10.483279</v>
      </c>
      <c r="CH4" s="21">
        <v>10.483279</v>
      </c>
      <c r="CI4" s="21">
        <v>10.483279</v>
      </c>
      <c r="CJ4" s="21">
        <v>10.483279</v>
      </c>
      <c r="CK4" s="21">
        <v>10.483279</v>
      </c>
      <c r="CL4" s="21">
        <v>10.483279</v>
      </c>
      <c r="CM4" s="21">
        <v>10.483279</v>
      </c>
      <c r="CN4" s="21">
        <v>10.483279</v>
      </c>
      <c r="CO4" s="21">
        <v>10.483279</v>
      </c>
      <c r="CP4" s="21">
        <v>10.483279</v>
      </c>
      <c r="CQ4" s="21">
        <v>10.483279</v>
      </c>
      <c r="CR4" s="21">
        <v>10.483279</v>
      </c>
      <c r="CS4" s="21">
        <v>10.483279</v>
      </c>
      <c r="CT4" s="21">
        <v>10.483279</v>
      </c>
      <c r="CU4" s="21">
        <v>10.483279</v>
      </c>
      <c r="CV4" s="21">
        <v>10.483279</v>
      </c>
      <c r="CW4" s="21">
        <v>10.483279</v>
      </c>
      <c r="CX4" s="21">
        <v>10.483279</v>
      </c>
      <c r="CY4" s="21">
        <v>10.483279</v>
      </c>
      <c r="CZ4" s="21">
        <v>10.483279</v>
      </c>
      <c r="DA4" s="21">
        <v>10.483279</v>
      </c>
      <c r="DB4" s="21">
        <v>10.483279</v>
      </c>
      <c r="DC4" s="21">
        <v>10.483279</v>
      </c>
      <c r="DD4" s="21">
        <v>10.483279</v>
      </c>
      <c r="DE4" s="21">
        <v>10.483279</v>
      </c>
      <c r="DF4" s="21">
        <v>10.483279</v>
      </c>
      <c r="DG4" s="21">
        <v>10.483279</v>
      </c>
      <c r="DH4" s="21">
        <v>10.483279</v>
      </c>
      <c r="DI4" s="21">
        <v>10.483279</v>
      </c>
      <c r="DJ4" s="21">
        <v>10.483279</v>
      </c>
      <c r="DK4" s="21">
        <v>10.483279</v>
      </c>
      <c r="DL4" s="21">
        <v>10.483279</v>
      </c>
      <c r="DM4" s="21">
        <v>10.483279</v>
      </c>
      <c r="DN4" s="21">
        <v>10.483279</v>
      </c>
      <c r="DO4" s="21">
        <v>10.483279</v>
      </c>
      <c r="DP4" s="21">
        <v>10.483279</v>
      </c>
      <c r="DQ4" s="21">
        <v>10.483279</v>
      </c>
      <c r="DR4" s="21">
        <v>10.483279</v>
      </c>
      <c r="DS4" s="21">
        <v>10.483279</v>
      </c>
      <c r="DT4" s="21">
        <v>10.483279</v>
      </c>
      <c r="DU4" s="21">
        <v>10.483279</v>
      </c>
      <c r="DV4" s="21">
        <v>10.483279</v>
      </c>
      <c r="DW4" s="21">
        <v>10.483279</v>
      </c>
      <c r="DX4" s="21">
        <v>10.483279</v>
      </c>
      <c r="DY4" s="21">
        <v>10.483279</v>
      </c>
      <c r="DZ4" s="21">
        <v>10.483279</v>
      </c>
      <c r="EA4" s="21">
        <v>10.483279</v>
      </c>
      <c r="EB4" s="21">
        <v>10.483279</v>
      </c>
      <c r="EC4" s="21">
        <v>10.483279</v>
      </c>
      <c r="ED4" s="21">
        <v>10.483279</v>
      </c>
      <c r="EE4" s="21">
        <v>10.483279</v>
      </c>
      <c r="EF4" s="21">
        <v>10.483279</v>
      </c>
      <c r="EG4" s="21">
        <v>10.483279</v>
      </c>
      <c r="EH4" s="21">
        <v>10.483279</v>
      </c>
      <c r="EI4" s="21">
        <v>10.483279</v>
      </c>
      <c r="EJ4" s="21">
        <v>10.483279</v>
      </c>
      <c r="EK4" s="21">
        <v>10.483279</v>
      </c>
      <c r="EL4" s="21">
        <v>10.483279</v>
      </c>
      <c r="EM4" s="21">
        <v>10.483279</v>
      </c>
      <c r="EN4" s="21">
        <v>10.483279</v>
      </c>
      <c r="EO4" s="21">
        <v>10.483279</v>
      </c>
      <c r="EP4" s="21">
        <v>10.483279</v>
      </c>
      <c r="EQ4" s="21">
        <v>10.483279</v>
      </c>
      <c r="ER4" s="21">
        <v>10.483279</v>
      </c>
      <c r="ES4" s="21">
        <v>10.483279</v>
      </c>
      <c r="ET4" s="21">
        <v>10.483279</v>
      </c>
      <c r="EU4" s="21">
        <v>10.483279</v>
      </c>
      <c r="EV4" s="21">
        <v>10.483279</v>
      </c>
      <c r="EW4" s="21">
        <v>10.483279</v>
      </c>
      <c r="EX4" s="21">
        <v>10.483279</v>
      </c>
      <c r="EY4" s="21">
        <v>10.483279</v>
      </c>
      <c r="EZ4" s="21">
        <v>10.483279</v>
      </c>
      <c r="FA4" s="21">
        <v>10.483279</v>
      </c>
      <c r="FB4" s="21">
        <v>10.483279</v>
      </c>
      <c r="FC4" s="21">
        <v>10.483279</v>
      </c>
      <c r="FD4" s="21">
        <v>10.483279</v>
      </c>
      <c r="FE4" s="21">
        <v>10.483279</v>
      </c>
      <c r="FF4" s="21">
        <v>10.483279</v>
      </c>
      <c r="FG4" s="21">
        <v>10.483279</v>
      </c>
      <c r="FH4" s="21">
        <v>10.483279</v>
      </c>
      <c r="FI4" s="21">
        <v>10.483279</v>
      </c>
      <c r="FJ4" s="21">
        <v>10.483279</v>
      </c>
      <c r="FK4" s="21">
        <v>10.483279</v>
      </c>
      <c r="FL4" s="21">
        <v>10.483279</v>
      </c>
      <c r="FM4" s="21">
        <v>10.483279</v>
      </c>
      <c r="FN4" s="21">
        <v>10.483279</v>
      </c>
      <c r="FO4" s="21">
        <v>10.483279</v>
      </c>
      <c r="FP4" s="21">
        <v>10.483279</v>
      </c>
      <c r="FQ4" s="21">
        <v>10.483279</v>
      </c>
      <c r="FR4" s="21">
        <v>10.483279</v>
      </c>
      <c r="FS4" s="21">
        <v>10.483279</v>
      </c>
      <c r="FT4" s="21">
        <v>10.483279</v>
      </c>
      <c r="FU4" s="21">
        <v>10.483279</v>
      </c>
      <c r="FV4" s="21">
        <v>10.483279</v>
      </c>
      <c r="FW4" s="21">
        <v>10.483279</v>
      </c>
      <c r="FX4" s="21">
        <v>10.483279</v>
      </c>
      <c r="FY4" s="21">
        <v>10.483279</v>
      </c>
      <c r="FZ4" s="21">
        <v>10.483279</v>
      </c>
      <c r="GA4" s="21">
        <v>10.483279</v>
      </c>
      <c r="GB4" s="21">
        <v>10.483279</v>
      </c>
      <c r="GC4" s="21">
        <v>10.483279</v>
      </c>
      <c r="GD4" s="21">
        <v>10.483279</v>
      </c>
      <c r="GE4" s="21">
        <v>10.483279</v>
      </c>
      <c r="GF4" s="21">
        <v>10.483279</v>
      </c>
      <c r="GG4" s="21">
        <v>10.483279</v>
      </c>
      <c r="GH4" s="21">
        <v>10.483279</v>
      </c>
      <c r="GI4" s="21">
        <v>10.483279</v>
      </c>
      <c r="GJ4" s="21">
        <v>10.483279</v>
      </c>
      <c r="GK4" s="21">
        <v>10.483279</v>
      </c>
      <c r="GL4" s="21">
        <v>10.483279</v>
      </c>
      <c r="GM4" s="21">
        <v>10.483279</v>
      </c>
      <c r="GN4" s="21">
        <v>10.483279</v>
      </c>
      <c r="GO4" s="21">
        <v>10.483279</v>
      </c>
      <c r="GP4" s="21">
        <v>10.483279</v>
      </c>
      <c r="GQ4" s="21">
        <v>10.483279</v>
      </c>
      <c r="GR4" s="21">
        <v>10.483279</v>
      </c>
      <c r="GS4" s="21">
        <v>10.483279</v>
      </c>
      <c r="GT4" s="21">
        <v>10.483279</v>
      </c>
      <c r="GU4" s="21">
        <v>10.483279</v>
      </c>
      <c r="GV4" s="21">
        <v>10.483279</v>
      </c>
      <c r="GW4" s="21">
        <v>10.483279</v>
      </c>
      <c r="GX4" s="21">
        <v>10.483279</v>
      </c>
      <c r="GY4" s="21">
        <v>10.483279</v>
      </c>
      <c r="GZ4" s="21">
        <v>10.483279</v>
      </c>
      <c r="HA4" s="21">
        <v>10.483279</v>
      </c>
      <c r="HB4" s="21">
        <v>10.483279</v>
      </c>
      <c r="HC4" s="21">
        <v>10.483279</v>
      </c>
      <c r="HD4" s="21">
        <v>10.483279</v>
      </c>
      <c r="HE4" s="21">
        <v>10.483279</v>
      </c>
      <c r="HF4" s="21">
        <v>10.483279</v>
      </c>
      <c r="HG4" s="21">
        <v>10.483279</v>
      </c>
      <c r="HH4" s="21">
        <v>10.483279</v>
      </c>
      <c r="HI4" s="21">
        <v>10.483279</v>
      </c>
      <c r="HJ4" s="21">
        <v>10.483279</v>
      </c>
      <c r="HK4" s="21">
        <v>10.483279</v>
      </c>
      <c r="HL4" s="21">
        <v>10.483279</v>
      </c>
      <c r="HM4" s="21">
        <v>10.483279</v>
      </c>
      <c r="HN4" s="21">
        <v>10.483279</v>
      </c>
      <c r="HO4" s="21">
        <v>10.483279</v>
      </c>
      <c r="HP4" s="21">
        <v>10.483279</v>
      </c>
      <c r="HQ4" s="21">
        <v>10.483279</v>
      </c>
      <c r="HR4" s="21">
        <v>10.483279</v>
      </c>
      <c r="HS4" s="21">
        <v>10.483279</v>
      </c>
      <c r="HT4" s="21">
        <v>10.483279</v>
      </c>
      <c r="HU4" s="21">
        <v>10.483279</v>
      </c>
      <c r="HV4" s="21">
        <v>10.483279</v>
      </c>
      <c r="HW4" s="21">
        <v>10.483279</v>
      </c>
      <c r="HX4" s="21">
        <v>10.483279</v>
      </c>
      <c r="HY4" s="21">
        <v>10.483279</v>
      </c>
      <c r="HZ4" s="21">
        <v>10.483279</v>
      </c>
      <c r="IA4" s="21">
        <v>10.483279</v>
      </c>
      <c r="IB4" s="21">
        <v>10.483279</v>
      </c>
      <c r="IC4" s="21">
        <v>10.483279</v>
      </c>
      <c r="ID4" s="21">
        <v>10.483279</v>
      </c>
      <c r="IE4" s="21">
        <v>10.483279</v>
      </c>
      <c r="IF4" s="21">
        <v>10.483279</v>
      </c>
      <c r="IG4" s="21">
        <v>10.483279</v>
      </c>
      <c r="IH4" s="21">
        <v>10.483279</v>
      </c>
      <c r="II4" s="21">
        <v>10.483279</v>
      </c>
      <c r="IJ4" s="21">
        <v>10.483279</v>
      </c>
      <c r="IK4" s="21">
        <v>10.483279</v>
      </c>
      <c r="IL4" s="21">
        <v>10.483279</v>
      </c>
      <c r="IM4" s="21">
        <v>10.483279</v>
      </c>
      <c r="IN4" s="21">
        <v>10.483279</v>
      </c>
      <c r="IO4" s="21">
        <v>10.483279</v>
      </c>
      <c r="IP4" s="21">
        <v>10.483279</v>
      </c>
      <c r="IQ4" s="21">
        <v>10.483279</v>
      </c>
      <c r="IR4" s="21">
        <v>10.483279</v>
      </c>
      <c r="IS4" s="21">
        <v>10.483279</v>
      </c>
      <c r="IT4" s="21">
        <v>10.483279</v>
      </c>
      <c r="IU4" s="21">
        <v>10.483279</v>
      </c>
      <c r="IV4" s="21">
        <v>10.483279</v>
      </c>
      <c r="IW4" s="21">
        <v>10.483279</v>
      </c>
      <c r="IX4" s="21">
        <v>10.483279</v>
      </c>
      <c r="IY4" s="21">
        <v>10.483279</v>
      </c>
      <c r="IZ4" s="21">
        <v>10.483279</v>
      </c>
      <c r="JA4" s="21">
        <v>10.483279</v>
      </c>
      <c r="JB4" s="21">
        <v>10.483279</v>
      </c>
      <c r="JC4" s="21">
        <v>10.483279</v>
      </c>
      <c r="JD4" s="21">
        <v>10.483279</v>
      </c>
      <c r="JE4" s="21">
        <v>10.483279</v>
      </c>
      <c r="JF4" s="21">
        <v>10.483279</v>
      </c>
      <c r="JG4" s="21">
        <v>10.483279</v>
      </c>
      <c r="JH4" s="21">
        <v>10.483279</v>
      </c>
      <c r="JI4" s="21">
        <v>10.483279</v>
      </c>
      <c r="JJ4" s="21">
        <v>10.483279</v>
      </c>
      <c r="JK4" s="21">
        <v>10.483279</v>
      </c>
      <c r="JL4" s="21">
        <v>10.483279</v>
      </c>
      <c r="JM4" s="21">
        <v>10.483279</v>
      </c>
      <c r="JN4" s="21">
        <v>10.483279</v>
      </c>
      <c r="JO4" s="21">
        <v>10.483279</v>
      </c>
      <c r="JP4" s="21">
        <v>10.483279</v>
      </c>
      <c r="JQ4" s="21">
        <v>10.483279</v>
      </c>
      <c r="JR4" s="21">
        <v>10.483279</v>
      </c>
      <c r="JS4" s="21">
        <v>10.483279</v>
      </c>
      <c r="JT4" s="21">
        <v>10.483279</v>
      </c>
      <c r="JU4" s="21">
        <v>10.483279</v>
      </c>
      <c r="JV4" s="21">
        <v>10.483279</v>
      </c>
      <c r="JW4" s="21">
        <v>10.483279</v>
      </c>
      <c r="JX4" s="21">
        <v>10.483279</v>
      </c>
      <c r="JY4" s="21">
        <v>10.483279</v>
      </c>
      <c r="JZ4" s="21">
        <v>10.483279</v>
      </c>
      <c r="KA4" s="21">
        <v>10.483279</v>
      </c>
      <c r="KB4" s="21">
        <v>10.483279</v>
      </c>
      <c r="KC4" s="21">
        <v>10.483279</v>
      </c>
      <c r="KD4" s="21">
        <v>10.483279</v>
      </c>
      <c r="KE4" s="21">
        <v>10.483279</v>
      </c>
      <c r="KF4" s="21">
        <v>10.483279</v>
      </c>
      <c r="KG4" s="21">
        <v>10.483279</v>
      </c>
      <c r="KH4" s="21">
        <v>10.483279</v>
      </c>
      <c r="KI4" s="21">
        <v>10.483279</v>
      </c>
      <c r="KJ4" s="21">
        <v>10.483279</v>
      </c>
      <c r="KK4" s="21">
        <v>10.483279</v>
      </c>
      <c r="KL4" s="21">
        <v>10.483279</v>
      </c>
      <c r="KM4" s="21">
        <v>10.483279</v>
      </c>
      <c r="KN4" s="21">
        <v>10.483279</v>
      </c>
      <c r="KO4" s="21">
        <v>10.483279</v>
      </c>
      <c r="KP4" s="21">
        <v>10.483279</v>
      </c>
      <c r="KQ4" s="21">
        <v>10.483279</v>
      </c>
      <c r="KR4" s="21">
        <v>10.483279</v>
      </c>
      <c r="KS4" s="21">
        <v>10.483279</v>
      </c>
      <c r="KT4" s="21">
        <v>10.483279</v>
      </c>
      <c r="KU4" s="21">
        <v>10.483279</v>
      </c>
      <c r="KV4" s="21">
        <v>10.483279</v>
      </c>
      <c r="KW4" s="21">
        <v>10.483279</v>
      </c>
      <c r="KX4" s="21">
        <v>10.483279</v>
      </c>
      <c r="KY4" s="21">
        <v>10.483279</v>
      </c>
      <c r="KZ4" s="21">
        <v>10.483279</v>
      </c>
      <c r="LA4" s="21">
        <v>10.483279</v>
      </c>
      <c r="LB4" s="21">
        <v>10.483279</v>
      </c>
      <c r="LC4" s="21">
        <v>10.483279</v>
      </c>
      <c r="LD4" s="21">
        <v>10.483279</v>
      </c>
      <c r="LE4" s="21">
        <v>10.483279</v>
      </c>
      <c r="LF4" s="21">
        <v>10.483279</v>
      </c>
      <c r="LG4" s="21">
        <v>10.483279</v>
      </c>
      <c r="LH4" s="21">
        <v>10.483279</v>
      </c>
      <c r="LI4" s="21">
        <v>10.483279</v>
      </c>
      <c r="LJ4" s="21">
        <v>10.483279</v>
      </c>
      <c r="LK4" s="21">
        <v>10.483279</v>
      </c>
      <c r="LL4" s="21">
        <v>10.483279</v>
      </c>
      <c r="LM4" s="21">
        <v>10.483279</v>
      </c>
      <c r="LN4" s="21">
        <v>10.483279</v>
      </c>
      <c r="LO4" s="21">
        <v>10.483279</v>
      </c>
      <c r="LP4" s="21">
        <v>10.483279</v>
      </c>
      <c r="LQ4" s="21">
        <v>10.483279</v>
      </c>
      <c r="LR4" s="21">
        <v>10.483279</v>
      </c>
      <c r="LS4" s="21">
        <v>10.483279</v>
      </c>
      <c r="LT4" s="21">
        <v>10.483279</v>
      </c>
      <c r="LU4" s="21">
        <v>10.483279</v>
      </c>
      <c r="LV4" s="21">
        <v>10.483279</v>
      </c>
      <c r="LW4" s="21">
        <v>10.483279</v>
      </c>
      <c r="LX4" s="21">
        <v>10.483279</v>
      </c>
      <c r="LY4" s="21">
        <v>10.483279</v>
      </c>
      <c r="LZ4" s="21">
        <v>10.483279</v>
      </c>
      <c r="MA4" s="21">
        <v>10.483279</v>
      </c>
      <c r="MB4" s="21">
        <v>10.483279</v>
      </c>
      <c r="MC4" s="21">
        <v>10.483279</v>
      </c>
      <c r="MD4" s="21">
        <v>10.483279</v>
      </c>
      <c r="ME4" s="21">
        <v>10.483279</v>
      </c>
      <c r="MF4" s="21">
        <v>10.483279</v>
      </c>
      <c r="MG4" s="21">
        <v>10.483279</v>
      </c>
      <c r="MH4" s="21">
        <v>10.483279</v>
      </c>
      <c r="MI4" s="21">
        <v>10.483279</v>
      </c>
      <c r="MJ4" s="21">
        <v>10.483279</v>
      </c>
      <c r="MK4" s="21">
        <v>10.483279</v>
      </c>
      <c r="ML4" s="21">
        <v>10.483279</v>
      </c>
      <c r="MM4" s="21">
        <v>10.483279</v>
      </c>
      <c r="MN4" s="21">
        <v>10.483279</v>
      </c>
      <c r="MO4" s="21">
        <v>10.483279</v>
      </c>
      <c r="MP4" s="21">
        <v>10.483279</v>
      </c>
      <c r="MQ4" s="21">
        <v>10.483279</v>
      </c>
      <c r="MR4" s="21">
        <v>10.483279</v>
      </c>
      <c r="MS4" s="21">
        <v>10.483279</v>
      </c>
      <c r="MT4" s="21">
        <v>10.483279</v>
      </c>
      <c r="MU4" s="21">
        <v>10.483279</v>
      </c>
      <c r="MV4" s="21">
        <v>10.483279</v>
      </c>
      <c r="MW4" s="21">
        <v>10.483279</v>
      </c>
      <c r="MX4" s="21">
        <v>10.483279</v>
      </c>
      <c r="MY4" s="21">
        <v>10.483279</v>
      </c>
      <c r="MZ4" s="21">
        <v>10.761609</v>
      </c>
    </row>
    <row r="5" spans="1:364" s="78" customFormat="1" x14ac:dyDescent="0.2">
      <c r="A5" s="7">
        <v>3</v>
      </c>
      <c r="B5" s="16" t="s">
        <v>530</v>
      </c>
      <c r="C5" s="74">
        <v>6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6.4028080000000003</v>
      </c>
      <c r="K5" s="21">
        <v>6.4028080000000003</v>
      </c>
      <c r="L5" s="21">
        <v>6.4028080000000003</v>
      </c>
      <c r="M5" s="21">
        <v>6.4028080000000003</v>
      </c>
      <c r="N5" s="21">
        <v>6.4028080000000003</v>
      </c>
      <c r="O5" s="21">
        <v>6.4028080000000003</v>
      </c>
      <c r="P5" s="21">
        <v>6.4028080000000003</v>
      </c>
      <c r="Q5" s="21">
        <v>6.4028080000000003</v>
      </c>
      <c r="R5" s="21">
        <v>6.4028080000000003</v>
      </c>
      <c r="S5" s="21">
        <v>6.4028080000000003</v>
      </c>
      <c r="T5" s="21">
        <v>6.4028080000000003</v>
      </c>
      <c r="U5" s="21">
        <v>6.4028080000000003</v>
      </c>
      <c r="V5" s="21">
        <v>6.4028080000000003</v>
      </c>
      <c r="W5" s="21">
        <v>6.4028080000000003</v>
      </c>
      <c r="X5" s="21">
        <v>6.4028080000000003</v>
      </c>
      <c r="Y5" s="21">
        <v>6.4028080000000003</v>
      </c>
      <c r="Z5" s="21">
        <v>6.4028080000000003</v>
      </c>
      <c r="AA5" s="21">
        <v>6.4028080000000003</v>
      </c>
      <c r="AB5" s="21">
        <v>6.4028080000000003</v>
      </c>
      <c r="AC5" s="21">
        <v>6.4028080000000003</v>
      </c>
      <c r="AD5" s="21">
        <v>6.4028080000000003</v>
      </c>
      <c r="AE5" s="21">
        <v>6.4028080000000003</v>
      </c>
      <c r="AF5" s="21">
        <v>6.4028080000000003</v>
      </c>
      <c r="AG5" s="21">
        <v>6.4028080000000003</v>
      </c>
      <c r="AH5" s="21">
        <v>6.4028080000000003</v>
      </c>
      <c r="AI5" s="21">
        <v>6.4028080000000003</v>
      </c>
      <c r="AJ5" s="21">
        <v>6.4028080000000003</v>
      </c>
      <c r="AK5" s="21">
        <v>6.4028080000000003</v>
      </c>
      <c r="AL5" s="21">
        <v>6.4028080000000003</v>
      </c>
      <c r="AM5" s="21">
        <v>6.4028080000000003</v>
      </c>
      <c r="AN5" s="21">
        <v>6.4028080000000003</v>
      </c>
      <c r="AO5" s="21">
        <v>6.4028080000000003</v>
      </c>
      <c r="AP5" s="21">
        <v>6.4028080000000003</v>
      </c>
      <c r="AQ5" s="21">
        <v>6.4028080000000003</v>
      </c>
      <c r="AR5" s="21">
        <v>6.4028080000000003</v>
      </c>
      <c r="AS5" s="21">
        <v>6.4028080000000003</v>
      </c>
      <c r="AT5" s="21">
        <v>6.4028080000000003</v>
      </c>
      <c r="AU5" s="21">
        <v>6.4028080000000003</v>
      </c>
      <c r="AV5" s="21">
        <v>6.4028080000000003</v>
      </c>
      <c r="AW5" s="21">
        <v>6.4028080000000003</v>
      </c>
      <c r="AX5" s="21">
        <v>6.4028080000000003</v>
      </c>
      <c r="AY5" s="21">
        <v>6.4028080000000003</v>
      </c>
      <c r="AZ5" s="21">
        <v>6.4028080000000003</v>
      </c>
      <c r="BA5" s="21">
        <v>6.4028080000000003</v>
      </c>
      <c r="BB5" s="21">
        <v>6.4028080000000003</v>
      </c>
      <c r="BC5" s="21">
        <v>6.4028080000000003</v>
      </c>
      <c r="BD5" s="21">
        <v>6.4028080000000003</v>
      </c>
      <c r="BE5" s="21">
        <v>6.4028080000000003</v>
      </c>
      <c r="BF5" s="21">
        <v>6.4028080000000003</v>
      </c>
      <c r="BG5" s="21">
        <v>6.4028080000000003</v>
      </c>
      <c r="BH5" s="21">
        <v>6.4028080000000003</v>
      </c>
      <c r="BI5" s="21">
        <v>6.4028080000000003</v>
      </c>
      <c r="BJ5" s="21">
        <v>6.4028080000000003</v>
      </c>
      <c r="BK5" s="21">
        <v>6.4028080000000003</v>
      </c>
      <c r="BL5" s="21">
        <v>6.4028080000000003</v>
      </c>
      <c r="BM5" s="21">
        <v>6.4028080000000003</v>
      </c>
      <c r="BN5" s="21">
        <v>6.4028080000000003</v>
      </c>
      <c r="BO5" s="21">
        <v>6.4028080000000003</v>
      </c>
      <c r="BP5" s="21">
        <v>6.4028080000000003</v>
      </c>
      <c r="BQ5" s="21">
        <v>6.4028080000000003</v>
      </c>
      <c r="BR5" s="21">
        <v>6.4028080000000003</v>
      </c>
      <c r="BS5" s="21">
        <v>6.4028080000000003</v>
      </c>
      <c r="BT5" s="21">
        <v>6.4028080000000003</v>
      </c>
      <c r="BU5" s="21">
        <v>6.4028080000000003</v>
      </c>
      <c r="BV5" s="21">
        <v>6.4028080000000003</v>
      </c>
      <c r="BW5" s="21">
        <v>6.4028080000000003</v>
      </c>
      <c r="BX5" s="21">
        <v>6.4028080000000003</v>
      </c>
      <c r="BY5" s="21">
        <v>6.4028080000000003</v>
      </c>
      <c r="BZ5" s="21">
        <v>6.4028080000000003</v>
      </c>
      <c r="CA5" s="21">
        <v>6.4028080000000003</v>
      </c>
      <c r="CB5" s="21">
        <v>6.4028080000000003</v>
      </c>
      <c r="CC5" s="21">
        <v>6.4028080000000003</v>
      </c>
      <c r="CD5" s="21">
        <v>6.4028080000000003</v>
      </c>
      <c r="CE5" s="21">
        <v>6.4028080000000003</v>
      </c>
      <c r="CF5" s="21">
        <v>6.4028080000000003</v>
      </c>
      <c r="CG5" s="21">
        <v>6.4028080000000003</v>
      </c>
      <c r="CH5" s="21">
        <v>6.4028080000000003</v>
      </c>
      <c r="CI5" s="21">
        <v>6.4028080000000003</v>
      </c>
      <c r="CJ5" s="21">
        <v>6.4028080000000003</v>
      </c>
      <c r="CK5" s="21">
        <v>6.4028080000000003</v>
      </c>
      <c r="CL5" s="21">
        <v>6.4028080000000003</v>
      </c>
      <c r="CM5" s="21">
        <v>6.4028080000000003</v>
      </c>
      <c r="CN5" s="21">
        <v>6.4028080000000003</v>
      </c>
      <c r="CO5" s="21">
        <v>6.4028080000000003</v>
      </c>
      <c r="CP5" s="21">
        <v>6.4028080000000003</v>
      </c>
      <c r="CQ5" s="21">
        <v>6.4028080000000003</v>
      </c>
      <c r="CR5" s="21">
        <v>6.4028080000000003</v>
      </c>
      <c r="CS5" s="21">
        <v>6.4028080000000003</v>
      </c>
      <c r="CT5" s="21">
        <v>6.4028080000000003</v>
      </c>
      <c r="CU5" s="21">
        <v>6.4028080000000003</v>
      </c>
      <c r="CV5" s="21">
        <v>6.4028080000000003</v>
      </c>
      <c r="CW5" s="21">
        <v>6.4028080000000003</v>
      </c>
      <c r="CX5" s="21">
        <v>6.4028080000000003</v>
      </c>
      <c r="CY5" s="21">
        <v>6.4028080000000003</v>
      </c>
      <c r="CZ5" s="21">
        <v>6.4028080000000003</v>
      </c>
      <c r="DA5" s="21">
        <v>6.4028080000000003</v>
      </c>
      <c r="DB5" s="21">
        <v>6.4028080000000003</v>
      </c>
      <c r="DC5" s="21">
        <v>6.4028080000000003</v>
      </c>
      <c r="DD5" s="21">
        <v>6.4028080000000003</v>
      </c>
      <c r="DE5" s="21">
        <v>6.4028080000000003</v>
      </c>
      <c r="DF5" s="21">
        <v>6.4028080000000003</v>
      </c>
      <c r="DG5" s="21">
        <v>6.4028080000000003</v>
      </c>
      <c r="DH5" s="21">
        <v>6.4028080000000003</v>
      </c>
      <c r="DI5" s="21">
        <v>6.4028080000000003</v>
      </c>
      <c r="DJ5" s="21">
        <v>6.4028080000000003</v>
      </c>
      <c r="DK5" s="21">
        <v>6.4028080000000003</v>
      </c>
      <c r="DL5" s="21">
        <v>6.4028080000000003</v>
      </c>
      <c r="DM5" s="21">
        <v>6.4028080000000003</v>
      </c>
      <c r="DN5" s="21">
        <v>6.4028080000000003</v>
      </c>
      <c r="DO5" s="21">
        <v>6.4028080000000003</v>
      </c>
      <c r="DP5" s="21">
        <v>6.4028080000000003</v>
      </c>
      <c r="DQ5" s="21">
        <v>6.4028080000000003</v>
      </c>
      <c r="DR5" s="21">
        <v>6.4028080000000003</v>
      </c>
      <c r="DS5" s="21">
        <v>6.4028080000000003</v>
      </c>
      <c r="DT5" s="21">
        <v>6.4028080000000003</v>
      </c>
      <c r="DU5" s="21">
        <v>6.4028080000000003</v>
      </c>
      <c r="DV5" s="21">
        <v>6.4028080000000003</v>
      </c>
      <c r="DW5" s="21">
        <v>6.4028080000000003</v>
      </c>
      <c r="DX5" s="21">
        <v>6.4028080000000003</v>
      </c>
      <c r="DY5" s="21">
        <v>6.4028080000000003</v>
      </c>
      <c r="DZ5" s="21">
        <v>6.4028080000000003</v>
      </c>
      <c r="EA5" s="21">
        <v>6.4028080000000003</v>
      </c>
      <c r="EB5" s="21">
        <v>6.4028080000000003</v>
      </c>
      <c r="EC5" s="21">
        <v>6.4028080000000003</v>
      </c>
      <c r="ED5" s="21">
        <v>6.4028080000000003</v>
      </c>
      <c r="EE5" s="21">
        <v>6.4028080000000003</v>
      </c>
      <c r="EF5" s="21">
        <v>6.4028080000000003</v>
      </c>
      <c r="EG5" s="21">
        <v>6.4028080000000003</v>
      </c>
      <c r="EH5" s="21">
        <v>6.4028080000000003</v>
      </c>
      <c r="EI5" s="21">
        <v>6.4028080000000003</v>
      </c>
      <c r="EJ5" s="21">
        <v>6.4028080000000003</v>
      </c>
      <c r="EK5" s="21">
        <v>6.4028080000000003</v>
      </c>
      <c r="EL5" s="21">
        <v>6.4028080000000003</v>
      </c>
      <c r="EM5" s="21">
        <v>6.4028080000000003</v>
      </c>
      <c r="EN5" s="21">
        <v>6.4028080000000003</v>
      </c>
      <c r="EO5" s="21">
        <v>6.4028080000000003</v>
      </c>
      <c r="EP5" s="21">
        <v>6.4028080000000003</v>
      </c>
      <c r="EQ5" s="21">
        <v>6.4028080000000003</v>
      </c>
      <c r="ER5" s="21">
        <v>6.4028080000000003</v>
      </c>
      <c r="ES5" s="21">
        <v>6.4028080000000003</v>
      </c>
      <c r="ET5" s="21">
        <v>6.4028080000000003</v>
      </c>
      <c r="EU5" s="21">
        <v>6.4028080000000003</v>
      </c>
      <c r="EV5" s="21">
        <v>6.4028080000000003</v>
      </c>
      <c r="EW5" s="21">
        <v>6.4028080000000003</v>
      </c>
      <c r="EX5" s="21">
        <v>6.4028080000000003</v>
      </c>
      <c r="EY5" s="21">
        <v>6.4028080000000003</v>
      </c>
      <c r="EZ5" s="21">
        <v>6.4028080000000003</v>
      </c>
      <c r="FA5" s="21">
        <v>6.4028080000000003</v>
      </c>
      <c r="FB5" s="21">
        <v>6.4028080000000003</v>
      </c>
      <c r="FC5" s="21">
        <v>6.4028080000000003</v>
      </c>
      <c r="FD5" s="21">
        <v>6.4028080000000003</v>
      </c>
      <c r="FE5" s="21">
        <v>6.4028080000000003</v>
      </c>
      <c r="FF5" s="21">
        <v>6.4028080000000003</v>
      </c>
      <c r="FG5" s="21">
        <v>6.4028080000000003</v>
      </c>
      <c r="FH5" s="21">
        <v>6.4028080000000003</v>
      </c>
      <c r="FI5" s="21">
        <v>6.4028080000000003</v>
      </c>
      <c r="FJ5" s="21">
        <v>6.4028080000000003</v>
      </c>
      <c r="FK5" s="21">
        <v>6.4028080000000003</v>
      </c>
      <c r="FL5" s="21">
        <v>6.4028080000000003</v>
      </c>
      <c r="FM5" s="21">
        <v>6.4028080000000003</v>
      </c>
      <c r="FN5" s="21">
        <v>6.4028080000000003</v>
      </c>
      <c r="FO5" s="21">
        <v>6.4028080000000003</v>
      </c>
      <c r="FP5" s="21">
        <v>6.4028080000000003</v>
      </c>
      <c r="FQ5" s="21">
        <v>6.4028080000000003</v>
      </c>
      <c r="FR5" s="21">
        <v>6.4028080000000003</v>
      </c>
      <c r="FS5" s="21">
        <v>6.4028080000000003</v>
      </c>
      <c r="FT5" s="21">
        <v>6.4028080000000003</v>
      </c>
      <c r="FU5" s="21">
        <v>6.4028080000000003</v>
      </c>
      <c r="FV5" s="21">
        <v>6.4028080000000003</v>
      </c>
      <c r="FW5" s="21">
        <v>6.4028080000000003</v>
      </c>
      <c r="FX5" s="21">
        <v>6.4028080000000003</v>
      </c>
      <c r="FY5" s="21">
        <v>6.4028080000000003</v>
      </c>
      <c r="FZ5" s="21">
        <v>6.4028080000000003</v>
      </c>
      <c r="GA5" s="21">
        <v>6.4028080000000003</v>
      </c>
      <c r="GB5" s="21">
        <v>6.4028080000000003</v>
      </c>
      <c r="GC5" s="21">
        <v>6.4028080000000003</v>
      </c>
      <c r="GD5" s="21">
        <v>6.4028080000000003</v>
      </c>
      <c r="GE5" s="21">
        <v>6.4028080000000003</v>
      </c>
      <c r="GF5" s="21">
        <v>6.4028080000000003</v>
      </c>
      <c r="GG5" s="21">
        <v>6.4028080000000003</v>
      </c>
      <c r="GH5" s="21">
        <v>6.4028080000000003</v>
      </c>
      <c r="GI5" s="21">
        <v>6.4028080000000003</v>
      </c>
      <c r="GJ5" s="21">
        <v>6.4028080000000003</v>
      </c>
      <c r="GK5" s="21">
        <v>6.4028080000000003</v>
      </c>
      <c r="GL5" s="21">
        <v>6.4028080000000003</v>
      </c>
      <c r="GM5" s="21">
        <v>6.4028080000000003</v>
      </c>
      <c r="GN5" s="21">
        <v>6.4028080000000003</v>
      </c>
      <c r="GO5" s="21">
        <v>6.4028080000000003</v>
      </c>
      <c r="GP5" s="21">
        <v>6.4028080000000003</v>
      </c>
      <c r="GQ5" s="21">
        <v>6.4028080000000003</v>
      </c>
      <c r="GR5" s="21">
        <v>6.4028080000000003</v>
      </c>
      <c r="GS5" s="21">
        <v>6.4028080000000003</v>
      </c>
      <c r="GT5" s="21">
        <v>6.4028080000000003</v>
      </c>
      <c r="GU5" s="21">
        <v>6.4028080000000003</v>
      </c>
      <c r="GV5" s="21">
        <v>6.4028080000000003</v>
      </c>
      <c r="GW5" s="21">
        <v>6.4028080000000003</v>
      </c>
      <c r="GX5" s="21">
        <v>6.4028080000000003</v>
      </c>
      <c r="GY5" s="21">
        <v>6.4028080000000003</v>
      </c>
      <c r="GZ5" s="21">
        <v>6.4028080000000003</v>
      </c>
      <c r="HA5" s="21">
        <v>6.4028080000000003</v>
      </c>
      <c r="HB5" s="21">
        <v>6.4028080000000003</v>
      </c>
      <c r="HC5" s="21">
        <v>6.4028080000000003</v>
      </c>
      <c r="HD5" s="21">
        <v>6.4028080000000003</v>
      </c>
      <c r="HE5" s="21">
        <v>6.4028080000000003</v>
      </c>
      <c r="HF5" s="21">
        <v>6.4028080000000003</v>
      </c>
      <c r="HG5" s="21">
        <v>6.4028080000000003</v>
      </c>
      <c r="HH5" s="21">
        <v>6.4028080000000003</v>
      </c>
      <c r="HI5" s="21">
        <v>6.4028080000000003</v>
      </c>
      <c r="HJ5" s="21">
        <v>6.4028080000000003</v>
      </c>
      <c r="HK5" s="21">
        <v>6.4028080000000003</v>
      </c>
      <c r="HL5" s="21">
        <v>6.4028080000000003</v>
      </c>
      <c r="HM5" s="21">
        <v>6.4028080000000003</v>
      </c>
      <c r="HN5" s="21">
        <v>6.4028080000000003</v>
      </c>
      <c r="HO5" s="21">
        <v>6.4028080000000003</v>
      </c>
      <c r="HP5" s="21">
        <v>6.4028080000000003</v>
      </c>
      <c r="HQ5" s="21">
        <v>6.4028080000000003</v>
      </c>
      <c r="HR5" s="21">
        <v>6.4028080000000003</v>
      </c>
      <c r="HS5" s="21">
        <v>6.4028080000000003</v>
      </c>
      <c r="HT5" s="21">
        <v>6.4028080000000003</v>
      </c>
      <c r="HU5" s="21">
        <v>6.4028080000000003</v>
      </c>
      <c r="HV5" s="21">
        <v>6.4028080000000003</v>
      </c>
      <c r="HW5" s="21">
        <v>6.4028080000000003</v>
      </c>
      <c r="HX5" s="21">
        <v>6.4028080000000003</v>
      </c>
      <c r="HY5" s="21">
        <v>6.4028080000000003</v>
      </c>
      <c r="HZ5" s="21">
        <v>6.4028080000000003</v>
      </c>
      <c r="IA5" s="21">
        <v>6.4028080000000003</v>
      </c>
      <c r="IB5" s="21">
        <v>6.4028080000000003</v>
      </c>
      <c r="IC5" s="21">
        <v>6.4028080000000003</v>
      </c>
      <c r="ID5" s="21">
        <v>6.4028080000000003</v>
      </c>
      <c r="IE5" s="21">
        <v>6.4028080000000003</v>
      </c>
      <c r="IF5" s="21">
        <v>6.4028080000000003</v>
      </c>
      <c r="IG5" s="21">
        <v>6.4028080000000003</v>
      </c>
      <c r="IH5" s="21">
        <v>6.4028080000000003</v>
      </c>
      <c r="II5" s="21">
        <v>6.4028080000000003</v>
      </c>
      <c r="IJ5" s="21">
        <v>6.4028080000000003</v>
      </c>
      <c r="IK5" s="21">
        <v>6.4028080000000003</v>
      </c>
      <c r="IL5" s="21">
        <v>6.4028080000000003</v>
      </c>
      <c r="IM5" s="21">
        <v>6.4028080000000003</v>
      </c>
      <c r="IN5" s="21">
        <v>6.4028080000000003</v>
      </c>
      <c r="IO5" s="21">
        <v>6.4028080000000003</v>
      </c>
      <c r="IP5" s="21">
        <v>6.4028080000000003</v>
      </c>
      <c r="IQ5" s="21">
        <v>6.4028080000000003</v>
      </c>
      <c r="IR5" s="21">
        <v>6.4028080000000003</v>
      </c>
      <c r="IS5" s="21">
        <v>6.4028080000000003</v>
      </c>
      <c r="IT5" s="21">
        <v>6.4028080000000003</v>
      </c>
      <c r="IU5" s="21">
        <v>6.4028080000000003</v>
      </c>
      <c r="IV5" s="21">
        <v>6.4028080000000003</v>
      </c>
      <c r="IW5" s="21">
        <v>6.4028080000000003</v>
      </c>
      <c r="IX5" s="21">
        <v>6.4028080000000003</v>
      </c>
      <c r="IY5" s="21">
        <v>6.4028080000000003</v>
      </c>
      <c r="IZ5" s="21">
        <v>6.4028080000000003</v>
      </c>
      <c r="JA5" s="21">
        <v>6.4028080000000003</v>
      </c>
      <c r="JB5" s="21">
        <v>6.4028080000000003</v>
      </c>
      <c r="JC5" s="21">
        <v>6.4028080000000003</v>
      </c>
      <c r="JD5" s="21">
        <v>6.4028080000000003</v>
      </c>
      <c r="JE5" s="21">
        <v>6.4028080000000003</v>
      </c>
      <c r="JF5" s="21">
        <v>6.4028080000000003</v>
      </c>
      <c r="JG5" s="21">
        <v>6.4028080000000003</v>
      </c>
      <c r="JH5" s="21">
        <v>6.4028080000000003</v>
      </c>
      <c r="JI5" s="21">
        <v>6.4028080000000003</v>
      </c>
      <c r="JJ5" s="21">
        <v>6.4028080000000003</v>
      </c>
      <c r="JK5" s="21">
        <v>6.4028080000000003</v>
      </c>
      <c r="JL5" s="21">
        <v>6.4028080000000003</v>
      </c>
      <c r="JM5" s="21">
        <v>6.4028080000000003</v>
      </c>
      <c r="JN5" s="21">
        <v>6.4028080000000003</v>
      </c>
      <c r="JO5" s="21">
        <v>6.4028080000000003</v>
      </c>
      <c r="JP5" s="21">
        <v>6.4028080000000003</v>
      </c>
      <c r="JQ5" s="21">
        <v>6.4028080000000003</v>
      </c>
      <c r="JR5" s="21">
        <v>6.4028080000000003</v>
      </c>
      <c r="JS5" s="21">
        <v>6.4028080000000003</v>
      </c>
      <c r="JT5" s="21">
        <v>6.4028080000000003</v>
      </c>
      <c r="JU5" s="21">
        <v>6.4028080000000003</v>
      </c>
      <c r="JV5" s="21">
        <v>6.4028080000000003</v>
      </c>
      <c r="JW5" s="21">
        <v>6.4028080000000003</v>
      </c>
      <c r="JX5" s="21">
        <v>6.4028080000000003</v>
      </c>
      <c r="JY5" s="21">
        <v>6.4028080000000003</v>
      </c>
      <c r="JZ5" s="21">
        <v>6.4028080000000003</v>
      </c>
      <c r="KA5" s="21">
        <v>6.4028080000000003</v>
      </c>
      <c r="KB5" s="21">
        <v>6.4028080000000003</v>
      </c>
      <c r="KC5" s="21">
        <v>6.4028080000000003</v>
      </c>
      <c r="KD5" s="21">
        <v>6.4028080000000003</v>
      </c>
      <c r="KE5" s="21">
        <v>6.4028080000000003</v>
      </c>
      <c r="KF5" s="21">
        <v>6.4028080000000003</v>
      </c>
      <c r="KG5" s="21">
        <v>6.4028080000000003</v>
      </c>
      <c r="KH5" s="21">
        <v>6.4028080000000003</v>
      </c>
      <c r="KI5" s="21">
        <v>6.4028080000000003</v>
      </c>
      <c r="KJ5" s="21">
        <v>6.4028080000000003</v>
      </c>
      <c r="KK5" s="21">
        <v>6.4028080000000003</v>
      </c>
      <c r="KL5" s="21">
        <v>6.4028080000000003</v>
      </c>
      <c r="KM5" s="21">
        <v>6.4028080000000003</v>
      </c>
      <c r="KN5" s="21">
        <v>6.4028080000000003</v>
      </c>
      <c r="KO5" s="21">
        <v>6.4028080000000003</v>
      </c>
      <c r="KP5" s="21">
        <v>6.4028080000000003</v>
      </c>
      <c r="KQ5" s="21">
        <v>6.4028080000000003</v>
      </c>
      <c r="KR5" s="21">
        <v>6.4028080000000003</v>
      </c>
      <c r="KS5" s="21">
        <v>6.4028080000000003</v>
      </c>
      <c r="KT5" s="21">
        <v>6.4028080000000003</v>
      </c>
      <c r="KU5" s="21">
        <v>6.4028080000000003</v>
      </c>
      <c r="KV5" s="21">
        <v>6.4028080000000003</v>
      </c>
      <c r="KW5" s="21">
        <v>6.4028080000000003</v>
      </c>
      <c r="KX5" s="21">
        <v>6.4028080000000003</v>
      </c>
      <c r="KY5" s="21">
        <v>6.4028080000000003</v>
      </c>
      <c r="KZ5" s="21">
        <v>6.4028080000000003</v>
      </c>
      <c r="LA5" s="21">
        <v>6.4028080000000003</v>
      </c>
      <c r="LB5" s="21">
        <v>6.4028080000000003</v>
      </c>
      <c r="LC5" s="21">
        <v>6.4028080000000003</v>
      </c>
      <c r="LD5" s="21">
        <v>6.5963349999999998</v>
      </c>
      <c r="LE5" s="21">
        <v>0</v>
      </c>
      <c r="LF5" s="21">
        <v>0</v>
      </c>
      <c r="LG5" s="21">
        <v>0</v>
      </c>
      <c r="LH5" s="21">
        <v>0</v>
      </c>
      <c r="LI5" s="21">
        <v>0</v>
      </c>
      <c r="LJ5" s="21">
        <v>0</v>
      </c>
      <c r="LK5" s="21">
        <v>0</v>
      </c>
      <c r="LL5" s="21">
        <v>0</v>
      </c>
      <c r="LM5" s="21">
        <v>0</v>
      </c>
      <c r="LN5" s="21">
        <v>0</v>
      </c>
      <c r="LO5" s="21">
        <v>0</v>
      </c>
      <c r="LP5" s="21">
        <v>0</v>
      </c>
      <c r="LQ5" s="21">
        <v>0</v>
      </c>
      <c r="LR5" s="21">
        <v>0</v>
      </c>
      <c r="LS5" s="21">
        <v>0</v>
      </c>
      <c r="LT5" s="21">
        <v>0</v>
      </c>
      <c r="LU5" s="21">
        <v>0</v>
      </c>
      <c r="LV5" s="21">
        <v>0</v>
      </c>
      <c r="LW5" s="21">
        <v>0</v>
      </c>
      <c r="LX5" s="21">
        <v>0</v>
      </c>
      <c r="LY5" s="21">
        <v>0</v>
      </c>
      <c r="LZ5" s="21">
        <v>0</v>
      </c>
      <c r="MA5" s="21">
        <v>0</v>
      </c>
      <c r="MB5" s="21">
        <v>0</v>
      </c>
      <c r="MC5" s="21">
        <v>0</v>
      </c>
      <c r="MD5" s="21">
        <v>0</v>
      </c>
      <c r="ME5" s="21">
        <v>0</v>
      </c>
      <c r="MF5" s="21">
        <v>0</v>
      </c>
      <c r="MG5" s="21">
        <v>0</v>
      </c>
      <c r="MH5" s="21">
        <v>0</v>
      </c>
      <c r="MI5" s="21">
        <v>0</v>
      </c>
      <c r="MJ5" s="21">
        <v>0</v>
      </c>
      <c r="MK5" s="21">
        <v>0</v>
      </c>
      <c r="ML5" s="21">
        <v>0</v>
      </c>
      <c r="MM5" s="21">
        <v>0</v>
      </c>
      <c r="MN5" s="21">
        <v>0</v>
      </c>
      <c r="MO5" s="21">
        <v>0</v>
      </c>
      <c r="MP5" s="21">
        <v>0</v>
      </c>
      <c r="MQ5" s="21">
        <v>0</v>
      </c>
      <c r="MR5" s="21">
        <v>0</v>
      </c>
      <c r="MS5" s="21">
        <v>0</v>
      </c>
      <c r="MT5" s="21">
        <v>0</v>
      </c>
      <c r="MU5" s="21">
        <v>0</v>
      </c>
      <c r="MV5" s="21">
        <v>0</v>
      </c>
      <c r="MW5" s="21">
        <v>0</v>
      </c>
      <c r="MX5" s="21">
        <v>0</v>
      </c>
      <c r="MY5" s="21">
        <v>0</v>
      </c>
      <c r="MZ5" s="21">
        <v>0</v>
      </c>
    </row>
    <row r="6" spans="1:364" s="78" customFormat="1" x14ac:dyDescent="0.2">
      <c r="A6" s="7">
        <v>4</v>
      </c>
      <c r="B6" s="16" t="s">
        <v>536</v>
      </c>
      <c r="C6" s="74">
        <v>6</v>
      </c>
      <c r="D6" s="21">
        <v>0</v>
      </c>
      <c r="E6" s="21">
        <v>0</v>
      </c>
      <c r="F6" s="21">
        <v>0</v>
      </c>
      <c r="G6" s="21">
        <v>0</v>
      </c>
      <c r="H6" s="21">
        <v>0</v>
      </c>
      <c r="I6" s="21">
        <v>0</v>
      </c>
      <c r="J6" s="21">
        <v>13.571168</v>
      </c>
      <c r="K6" s="21">
        <v>13.571168</v>
      </c>
      <c r="L6" s="21">
        <v>13.571168</v>
      </c>
      <c r="M6" s="21">
        <v>13.571168</v>
      </c>
      <c r="N6" s="21">
        <v>13.571168</v>
      </c>
      <c r="O6" s="21">
        <v>13.571168</v>
      </c>
      <c r="P6" s="21">
        <v>13.571168</v>
      </c>
      <c r="Q6" s="21">
        <v>13.571168</v>
      </c>
      <c r="R6" s="21">
        <v>13.571168</v>
      </c>
      <c r="S6" s="21">
        <v>13.571168</v>
      </c>
      <c r="T6" s="21">
        <v>13.571168</v>
      </c>
      <c r="U6" s="21">
        <v>13.571168</v>
      </c>
      <c r="V6" s="21">
        <v>13.571168</v>
      </c>
      <c r="W6" s="21">
        <v>13.571168</v>
      </c>
      <c r="X6" s="21">
        <v>13.571168</v>
      </c>
      <c r="Y6" s="21">
        <v>13.571168</v>
      </c>
      <c r="Z6" s="21">
        <v>13.571168</v>
      </c>
      <c r="AA6" s="21">
        <v>13.571168</v>
      </c>
      <c r="AB6" s="21">
        <v>13.571168</v>
      </c>
      <c r="AC6" s="21">
        <v>13.571168</v>
      </c>
      <c r="AD6" s="21">
        <v>13.571168</v>
      </c>
      <c r="AE6" s="21">
        <v>13.571168</v>
      </c>
      <c r="AF6" s="21">
        <v>13.571168</v>
      </c>
      <c r="AG6" s="21">
        <v>13.571168</v>
      </c>
      <c r="AH6" s="21">
        <v>13.571168</v>
      </c>
      <c r="AI6" s="21">
        <v>13.571168</v>
      </c>
      <c r="AJ6" s="21">
        <v>13.571168</v>
      </c>
      <c r="AK6" s="21">
        <v>13.571168</v>
      </c>
      <c r="AL6" s="21">
        <v>13.571168</v>
      </c>
      <c r="AM6" s="21">
        <v>13.571168</v>
      </c>
      <c r="AN6" s="21">
        <v>13.571168</v>
      </c>
      <c r="AO6" s="21">
        <v>13.571168</v>
      </c>
      <c r="AP6" s="21">
        <v>13.571168</v>
      </c>
      <c r="AQ6" s="21">
        <v>13.571168</v>
      </c>
      <c r="AR6" s="21">
        <v>13.571168</v>
      </c>
      <c r="AS6" s="21">
        <v>13.571168</v>
      </c>
      <c r="AT6" s="21">
        <v>13.571168</v>
      </c>
      <c r="AU6" s="21">
        <v>13.571168</v>
      </c>
      <c r="AV6" s="21">
        <v>13.571168</v>
      </c>
      <c r="AW6" s="21">
        <v>13.571168</v>
      </c>
      <c r="AX6" s="21">
        <v>13.571168</v>
      </c>
      <c r="AY6" s="21">
        <v>13.571168</v>
      </c>
      <c r="AZ6" s="21">
        <v>13.571168</v>
      </c>
      <c r="BA6" s="21">
        <v>13.571168</v>
      </c>
      <c r="BB6" s="21">
        <v>13.571168</v>
      </c>
      <c r="BC6" s="21">
        <v>13.571168</v>
      </c>
      <c r="BD6" s="21">
        <v>13.571168</v>
      </c>
      <c r="BE6" s="21">
        <v>13.571168</v>
      </c>
      <c r="BF6" s="21">
        <v>13.571168</v>
      </c>
      <c r="BG6" s="21">
        <v>13.571168</v>
      </c>
      <c r="BH6" s="21">
        <v>13.571168</v>
      </c>
      <c r="BI6" s="21">
        <v>13.571168</v>
      </c>
      <c r="BJ6" s="21">
        <v>13.571168</v>
      </c>
      <c r="BK6" s="21">
        <v>13.571168</v>
      </c>
      <c r="BL6" s="21">
        <v>13.571168</v>
      </c>
      <c r="BM6" s="21">
        <v>13.571168</v>
      </c>
      <c r="BN6" s="21">
        <v>13.571168</v>
      </c>
      <c r="BO6" s="21">
        <v>13.571168</v>
      </c>
      <c r="BP6" s="21">
        <v>13.571168</v>
      </c>
      <c r="BQ6" s="21">
        <v>13.571168</v>
      </c>
      <c r="BR6" s="21">
        <v>13.571168</v>
      </c>
      <c r="BS6" s="21">
        <v>13.571168</v>
      </c>
      <c r="BT6" s="21">
        <v>13.571168</v>
      </c>
      <c r="BU6" s="21">
        <v>13.571168</v>
      </c>
      <c r="BV6" s="21">
        <v>13.571168</v>
      </c>
      <c r="BW6" s="21">
        <v>13.571168</v>
      </c>
      <c r="BX6" s="21">
        <v>13.571168</v>
      </c>
      <c r="BY6" s="21">
        <v>13.571168</v>
      </c>
      <c r="BZ6" s="21">
        <v>13.571168</v>
      </c>
      <c r="CA6" s="21">
        <v>13.571168</v>
      </c>
      <c r="CB6" s="21">
        <v>13.571168</v>
      </c>
      <c r="CC6" s="21">
        <v>13.571168</v>
      </c>
      <c r="CD6" s="21">
        <v>13.571168</v>
      </c>
      <c r="CE6" s="21">
        <v>13.571168</v>
      </c>
      <c r="CF6" s="21">
        <v>13.571168</v>
      </c>
      <c r="CG6" s="21">
        <v>13.571168</v>
      </c>
      <c r="CH6" s="21">
        <v>13.571168</v>
      </c>
      <c r="CI6" s="21">
        <v>13.571168</v>
      </c>
      <c r="CJ6" s="21">
        <v>13.571168</v>
      </c>
      <c r="CK6" s="21">
        <v>13.571168</v>
      </c>
      <c r="CL6" s="21">
        <v>13.571168</v>
      </c>
      <c r="CM6" s="21">
        <v>13.571168</v>
      </c>
      <c r="CN6" s="21">
        <v>13.571168</v>
      </c>
      <c r="CO6" s="21">
        <v>13.571168</v>
      </c>
      <c r="CP6" s="21">
        <v>13.571168</v>
      </c>
      <c r="CQ6" s="21">
        <v>13.571168</v>
      </c>
      <c r="CR6" s="21">
        <v>13.571168</v>
      </c>
      <c r="CS6" s="21">
        <v>13.571168</v>
      </c>
      <c r="CT6" s="21">
        <v>13.571168</v>
      </c>
      <c r="CU6" s="21">
        <v>13.571168</v>
      </c>
      <c r="CV6" s="21">
        <v>13.571168</v>
      </c>
      <c r="CW6" s="21">
        <v>13.571168</v>
      </c>
      <c r="CX6" s="21">
        <v>13.571168</v>
      </c>
      <c r="CY6" s="21">
        <v>13.571168</v>
      </c>
      <c r="CZ6" s="21">
        <v>13.571168</v>
      </c>
      <c r="DA6" s="21">
        <v>13.571168</v>
      </c>
      <c r="DB6" s="21">
        <v>13.571168</v>
      </c>
      <c r="DC6" s="21">
        <v>13.571168</v>
      </c>
      <c r="DD6" s="21">
        <v>13.571168</v>
      </c>
      <c r="DE6" s="21">
        <v>13.571168</v>
      </c>
      <c r="DF6" s="21">
        <v>13.571168</v>
      </c>
      <c r="DG6" s="21">
        <v>13.571168</v>
      </c>
      <c r="DH6" s="21">
        <v>13.571168</v>
      </c>
      <c r="DI6" s="21">
        <v>13.571168</v>
      </c>
      <c r="DJ6" s="21">
        <v>13.571168</v>
      </c>
      <c r="DK6" s="21">
        <v>13.571168</v>
      </c>
      <c r="DL6" s="21">
        <v>13.571168</v>
      </c>
      <c r="DM6" s="21">
        <v>13.571168</v>
      </c>
      <c r="DN6" s="21">
        <v>13.571168</v>
      </c>
      <c r="DO6" s="21">
        <v>13.571168</v>
      </c>
      <c r="DP6" s="21">
        <v>13.571168</v>
      </c>
      <c r="DQ6" s="21">
        <v>13.571168</v>
      </c>
      <c r="DR6" s="21">
        <v>13.571168</v>
      </c>
      <c r="DS6" s="21">
        <v>13.571168</v>
      </c>
      <c r="DT6" s="21">
        <v>13.571168</v>
      </c>
      <c r="DU6" s="21">
        <v>13.571168</v>
      </c>
      <c r="DV6" s="21">
        <v>13.571168</v>
      </c>
      <c r="DW6" s="21">
        <v>13.571168</v>
      </c>
      <c r="DX6" s="21">
        <v>13.571168</v>
      </c>
      <c r="DY6" s="21">
        <v>13.571168</v>
      </c>
      <c r="DZ6" s="21">
        <v>13.571168</v>
      </c>
      <c r="EA6" s="21">
        <v>13.571168</v>
      </c>
      <c r="EB6" s="21">
        <v>13.571168</v>
      </c>
      <c r="EC6" s="21">
        <v>13.571168</v>
      </c>
      <c r="ED6" s="21">
        <v>13.571168</v>
      </c>
      <c r="EE6" s="21">
        <v>13.571168</v>
      </c>
      <c r="EF6" s="21">
        <v>13.571168</v>
      </c>
      <c r="EG6" s="21">
        <v>13.571168</v>
      </c>
      <c r="EH6" s="21">
        <v>13.571168</v>
      </c>
      <c r="EI6" s="21">
        <v>13.571168</v>
      </c>
      <c r="EJ6" s="21">
        <v>13.571168</v>
      </c>
      <c r="EK6" s="21">
        <v>13.571168</v>
      </c>
      <c r="EL6" s="21">
        <v>13.571168</v>
      </c>
      <c r="EM6" s="21">
        <v>13.571168</v>
      </c>
      <c r="EN6" s="21">
        <v>13.571168</v>
      </c>
      <c r="EO6" s="21">
        <v>13.571168</v>
      </c>
      <c r="EP6" s="21">
        <v>13.571168</v>
      </c>
      <c r="EQ6" s="21">
        <v>13.571168</v>
      </c>
      <c r="ER6" s="21">
        <v>13.571168</v>
      </c>
      <c r="ES6" s="21">
        <v>13.571168</v>
      </c>
      <c r="ET6" s="21">
        <v>13.571168</v>
      </c>
      <c r="EU6" s="21">
        <v>13.571168</v>
      </c>
      <c r="EV6" s="21">
        <v>13.571168</v>
      </c>
      <c r="EW6" s="21">
        <v>13.571168</v>
      </c>
      <c r="EX6" s="21">
        <v>13.571168</v>
      </c>
      <c r="EY6" s="21">
        <v>13.571168</v>
      </c>
      <c r="EZ6" s="21">
        <v>13.571168</v>
      </c>
      <c r="FA6" s="21">
        <v>13.571168</v>
      </c>
      <c r="FB6" s="21">
        <v>13.571168</v>
      </c>
      <c r="FC6" s="21">
        <v>13.571168</v>
      </c>
      <c r="FD6" s="21">
        <v>13.571168</v>
      </c>
      <c r="FE6" s="21">
        <v>13.571168</v>
      </c>
      <c r="FF6" s="21">
        <v>13.571168</v>
      </c>
      <c r="FG6" s="21">
        <v>13.571168</v>
      </c>
      <c r="FH6" s="21">
        <v>13.571168</v>
      </c>
      <c r="FI6" s="21">
        <v>13.571168</v>
      </c>
      <c r="FJ6" s="21">
        <v>13.571168</v>
      </c>
      <c r="FK6" s="21">
        <v>13.571168</v>
      </c>
      <c r="FL6" s="21">
        <v>13.571168</v>
      </c>
      <c r="FM6" s="21">
        <v>13.571168</v>
      </c>
      <c r="FN6" s="21">
        <v>13.571168</v>
      </c>
      <c r="FO6" s="21">
        <v>13.571168</v>
      </c>
      <c r="FP6" s="21">
        <v>13.571168</v>
      </c>
      <c r="FQ6" s="21">
        <v>13.571168</v>
      </c>
      <c r="FR6" s="21">
        <v>13.571168</v>
      </c>
      <c r="FS6" s="21">
        <v>13.571168</v>
      </c>
      <c r="FT6" s="21">
        <v>13.571168</v>
      </c>
      <c r="FU6" s="21">
        <v>13.571168</v>
      </c>
      <c r="FV6" s="21">
        <v>13.571168</v>
      </c>
      <c r="FW6" s="21">
        <v>13.571168</v>
      </c>
      <c r="FX6" s="21">
        <v>13.571168</v>
      </c>
      <c r="FY6" s="21">
        <v>13.571168</v>
      </c>
      <c r="FZ6" s="21">
        <v>13.571168</v>
      </c>
      <c r="GA6" s="21">
        <v>13.571168</v>
      </c>
      <c r="GB6" s="21">
        <v>13.571168</v>
      </c>
      <c r="GC6" s="21">
        <v>13.571168</v>
      </c>
      <c r="GD6" s="21">
        <v>13.571168</v>
      </c>
      <c r="GE6" s="21">
        <v>13.571168</v>
      </c>
      <c r="GF6" s="21">
        <v>13.571168</v>
      </c>
      <c r="GG6" s="21">
        <v>13.571168</v>
      </c>
      <c r="GH6" s="21">
        <v>13.571168</v>
      </c>
      <c r="GI6" s="21">
        <v>13.571168</v>
      </c>
      <c r="GJ6" s="21">
        <v>13.571168</v>
      </c>
      <c r="GK6" s="21">
        <v>13.571168</v>
      </c>
      <c r="GL6" s="21">
        <v>13.571168</v>
      </c>
      <c r="GM6" s="21">
        <v>13.571168</v>
      </c>
      <c r="GN6" s="21">
        <v>13.571168</v>
      </c>
      <c r="GO6" s="21">
        <v>13.571168</v>
      </c>
      <c r="GP6" s="21">
        <v>13.571168</v>
      </c>
      <c r="GQ6" s="21">
        <v>13.571168</v>
      </c>
      <c r="GR6" s="21">
        <v>13.571168</v>
      </c>
      <c r="GS6" s="21">
        <v>13.571168</v>
      </c>
      <c r="GT6" s="21">
        <v>13.571168</v>
      </c>
      <c r="GU6" s="21">
        <v>13.571168</v>
      </c>
      <c r="GV6" s="21">
        <v>13.571168</v>
      </c>
      <c r="GW6" s="21">
        <v>13.571168</v>
      </c>
      <c r="GX6" s="21">
        <v>13.571168</v>
      </c>
      <c r="GY6" s="21">
        <v>13.571168</v>
      </c>
      <c r="GZ6" s="21">
        <v>13.571168</v>
      </c>
      <c r="HA6" s="21">
        <v>13.571168</v>
      </c>
      <c r="HB6" s="21">
        <v>13.571168</v>
      </c>
      <c r="HC6" s="21">
        <v>13.571168</v>
      </c>
      <c r="HD6" s="21">
        <v>13.571168</v>
      </c>
      <c r="HE6" s="21">
        <v>13.571168</v>
      </c>
      <c r="HF6" s="21">
        <v>13.571168</v>
      </c>
      <c r="HG6" s="21">
        <v>13.571168</v>
      </c>
      <c r="HH6" s="21">
        <v>13.571168</v>
      </c>
      <c r="HI6" s="21">
        <v>13.571168</v>
      </c>
      <c r="HJ6" s="21">
        <v>13.571168</v>
      </c>
      <c r="HK6" s="21">
        <v>13.571168</v>
      </c>
      <c r="HL6" s="21">
        <v>13.571168</v>
      </c>
      <c r="HM6" s="21">
        <v>13.571168</v>
      </c>
      <c r="HN6" s="21">
        <v>13.571168</v>
      </c>
      <c r="HO6" s="21">
        <v>13.571168</v>
      </c>
      <c r="HP6" s="21">
        <v>13.571168</v>
      </c>
      <c r="HQ6" s="21">
        <v>13.571168</v>
      </c>
      <c r="HR6" s="21">
        <v>13.571168</v>
      </c>
      <c r="HS6" s="21">
        <v>13.571168</v>
      </c>
      <c r="HT6" s="21">
        <v>13.571168</v>
      </c>
      <c r="HU6" s="21">
        <v>13.571168</v>
      </c>
      <c r="HV6" s="21">
        <v>13.571168</v>
      </c>
      <c r="HW6" s="21">
        <v>13.571168</v>
      </c>
      <c r="HX6" s="21">
        <v>13.571168</v>
      </c>
      <c r="HY6" s="21">
        <v>13.571168</v>
      </c>
      <c r="HZ6" s="21">
        <v>13.571168</v>
      </c>
      <c r="IA6" s="21">
        <v>13.571168</v>
      </c>
      <c r="IB6" s="21">
        <v>13.571168</v>
      </c>
      <c r="IC6" s="21">
        <v>13.571168</v>
      </c>
      <c r="ID6" s="21">
        <v>13.571168</v>
      </c>
      <c r="IE6" s="21">
        <v>13.571168</v>
      </c>
      <c r="IF6" s="21">
        <v>13.571168</v>
      </c>
      <c r="IG6" s="21">
        <v>13.571168</v>
      </c>
      <c r="IH6" s="21">
        <v>13.571168</v>
      </c>
      <c r="II6" s="21">
        <v>13.571168</v>
      </c>
      <c r="IJ6" s="21">
        <v>13.571168</v>
      </c>
      <c r="IK6" s="21">
        <v>13.571168</v>
      </c>
      <c r="IL6" s="21">
        <v>13.571168</v>
      </c>
      <c r="IM6" s="21">
        <v>13.571168</v>
      </c>
      <c r="IN6" s="21">
        <v>13.571168</v>
      </c>
      <c r="IO6" s="21">
        <v>13.571168</v>
      </c>
      <c r="IP6" s="21">
        <v>13.571168</v>
      </c>
      <c r="IQ6" s="21">
        <v>13.571168</v>
      </c>
      <c r="IR6" s="21">
        <v>13.571168</v>
      </c>
      <c r="IS6" s="21">
        <v>13.571168</v>
      </c>
      <c r="IT6" s="21">
        <v>13.571168</v>
      </c>
      <c r="IU6" s="21">
        <v>13.571168</v>
      </c>
      <c r="IV6" s="21">
        <v>13.571168</v>
      </c>
      <c r="IW6" s="21">
        <v>13.571168</v>
      </c>
      <c r="IX6" s="21">
        <v>13.571168</v>
      </c>
      <c r="IY6" s="21">
        <v>13.571168</v>
      </c>
      <c r="IZ6" s="21">
        <v>13.571168</v>
      </c>
      <c r="JA6" s="21">
        <v>13.571168</v>
      </c>
      <c r="JB6" s="21">
        <v>13.571168</v>
      </c>
      <c r="JC6" s="21">
        <v>13.571168</v>
      </c>
      <c r="JD6" s="21">
        <v>13.571168</v>
      </c>
      <c r="JE6" s="21">
        <v>13.571168</v>
      </c>
      <c r="JF6" s="21">
        <v>13.571168</v>
      </c>
      <c r="JG6" s="21">
        <v>13.571168</v>
      </c>
      <c r="JH6" s="21">
        <v>13.454412</v>
      </c>
      <c r="JI6" s="21">
        <v>0</v>
      </c>
      <c r="JJ6" s="21">
        <v>0</v>
      </c>
      <c r="JK6" s="21">
        <v>0</v>
      </c>
      <c r="JL6" s="21">
        <v>0</v>
      </c>
      <c r="JM6" s="21">
        <v>0</v>
      </c>
      <c r="JN6" s="21">
        <v>0</v>
      </c>
      <c r="JO6" s="21">
        <v>0</v>
      </c>
      <c r="JP6" s="21">
        <v>0</v>
      </c>
      <c r="JQ6" s="21">
        <v>0</v>
      </c>
      <c r="JR6" s="21">
        <v>0</v>
      </c>
      <c r="JS6" s="21">
        <v>0</v>
      </c>
      <c r="JT6" s="21">
        <v>0</v>
      </c>
      <c r="JU6" s="21">
        <v>0</v>
      </c>
      <c r="JV6" s="21">
        <v>0</v>
      </c>
      <c r="JW6" s="21">
        <v>0</v>
      </c>
      <c r="JX6" s="21">
        <v>0</v>
      </c>
      <c r="JY6" s="21">
        <v>0</v>
      </c>
      <c r="JZ6" s="21">
        <v>0</v>
      </c>
      <c r="KA6" s="21">
        <v>0</v>
      </c>
      <c r="KB6" s="21">
        <v>0</v>
      </c>
      <c r="KC6" s="21">
        <v>0</v>
      </c>
      <c r="KD6" s="21">
        <v>0</v>
      </c>
      <c r="KE6" s="21">
        <v>0</v>
      </c>
      <c r="KF6" s="21">
        <v>0</v>
      </c>
      <c r="KG6" s="21">
        <v>0</v>
      </c>
      <c r="KH6" s="21">
        <v>0</v>
      </c>
      <c r="KI6" s="21">
        <v>0</v>
      </c>
      <c r="KJ6" s="21">
        <v>0</v>
      </c>
      <c r="KK6" s="21">
        <v>0</v>
      </c>
      <c r="KL6" s="21">
        <v>0</v>
      </c>
      <c r="KM6" s="21">
        <v>0</v>
      </c>
      <c r="KN6" s="21">
        <v>0</v>
      </c>
      <c r="KO6" s="21">
        <v>0</v>
      </c>
      <c r="KP6" s="21">
        <v>0</v>
      </c>
      <c r="KQ6" s="21">
        <v>0</v>
      </c>
      <c r="KR6" s="21">
        <v>0</v>
      </c>
      <c r="KS6" s="21">
        <v>0</v>
      </c>
      <c r="KT6" s="21">
        <v>0</v>
      </c>
      <c r="KU6" s="21">
        <v>0</v>
      </c>
      <c r="KV6" s="21">
        <v>0</v>
      </c>
      <c r="KW6" s="21">
        <v>0</v>
      </c>
      <c r="KX6" s="21">
        <v>0</v>
      </c>
      <c r="KY6" s="21">
        <v>0</v>
      </c>
      <c r="KZ6" s="21">
        <v>0</v>
      </c>
      <c r="LA6" s="21">
        <v>0</v>
      </c>
      <c r="LB6" s="21">
        <v>0</v>
      </c>
      <c r="LC6" s="21">
        <v>0</v>
      </c>
      <c r="LD6" s="21">
        <v>0</v>
      </c>
      <c r="LE6" s="21">
        <v>0</v>
      </c>
      <c r="LF6" s="21">
        <v>0</v>
      </c>
      <c r="LG6" s="21">
        <v>0</v>
      </c>
      <c r="LH6" s="21">
        <v>0</v>
      </c>
      <c r="LI6" s="21">
        <v>0</v>
      </c>
      <c r="LJ6" s="21">
        <v>0</v>
      </c>
      <c r="LK6" s="21">
        <v>0</v>
      </c>
      <c r="LL6" s="21">
        <v>0</v>
      </c>
      <c r="LM6" s="21">
        <v>0</v>
      </c>
      <c r="LN6" s="21">
        <v>0</v>
      </c>
      <c r="LO6" s="21">
        <v>0</v>
      </c>
      <c r="LP6" s="21">
        <v>0</v>
      </c>
      <c r="LQ6" s="21">
        <v>0</v>
      </c>
      <c r="LR6" s="21">
        <v>0</v>
      </c>
      <c r="LS6" s="21">
        <v>0</v>
      </c>
      <c r="LT6" s="21">
        <v>0</v>
      </c>
      <c r="LU6" s="21">
        <v>0</v>
      </c>
      <c r="LV6" s="21">
        <v>0</v>
      </c>
      <c r="LW6" s="21">
        <v>0</v>
      </c>
      <c r="LX6" s="21">
        <v>0</v>
      </c>
      <c r="LY6" s="21">
        <v>0</v>
      </c>
      <c r="LZ6" s="21">
        <v>0</v>
      </c>
      <c r="MA6" s="21">
        <v>0</v>
      </c>
      <c r="MB6" s="21">
        <v>0</v>
      </c>
      <c r="MC6" s="21">
        <v>0</v>
      </c>
      <c r="MD6" s="21">
        <v>0</v>
      </c>
      <c r="ME6" s="21">
        <v>0</v>
      </c>
      <c r="MF6" s="21">
        <v>0</v>
      </c>
      <c r="MG6" s="21">
        <v>0</v>
      </c>
      <c r="MH6" s="21">
        <v>0</v>
      </c>
      <c r="MI6" s="21">
        <v>0</v>
      </c>
      <c r="MJ6" s="21">
        <v>0</v>
      </c>
      <c r="MK6" s="21">
        <v>0</v>
      </c>
      <c r="ML6" s="21">
        <v>0</v>
      </c>
      <c r="MM6" s="21">
        <v>0</v>
      </c>
      <c r="MN6" s="21">
        <v>0</v>
      </c>
      <c r="MO6" s="21">
        <v>0</v>
      </c>
      <c r="MP6" s="21">
        <v>0</v>
      </c>
      <c r="MQ6" s="21">
        <v>0</v>
      </c>
      <c r="MR6" s="21">
        <v>0</v>
      </c>
      <c r="MS6" s="21">
        <v>0</v>
      </c>
      <c r="MT6" s="21">
        <v>0</v>
      </c>
      <c r="MU6" s="21">
        <v>0</v>
      </c>
      <c r="MV6" s="21">
        <v>0</v>
      </c>
      <c r="MW6" s="21">
        <v>0</v>
      </c>
      <c r="MX6" s="21">
        <v>0</v>
      </c>
      <c r="MY6" s="21">
        <v>0</v>
      </c>
      <c r="MZ6" s="21">
        <v>0</v>
      </c>
    </row>
    <row r="7" spans="1:364" s="78" customFormat="1" x14ac:dyDescent="0.2">
      <c r="A7" s="7">
        <v>5</v>
      </c>
      <c r="B7" s="16" t="s">
        <v>542</v>
      </c>
      <c r="C7" s="74">
        <v>6</v>
      </c>
      <c r="D7" s="21">
        <v>0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10.986879999999999</v>
      </c>
      <c r="K7" s="21">
        <v>10.986879999999999</v>
      </c>
      <c r="L7" s="21">
        <v>10.986879999999999</v>
      </c>
      <c r="M7" s="21">
        <v>10.986879999999999</v>
      </c>
      <c r="N7" s="21">
        <v>10.986879999999999</v>
      </c>
      <c r="O7" s="21">
        <v>10.986879999999999</v>
      </c>
      <c r="P7" s="21">
        <v>10.986879999999999</v>
      </c>
      <c r="Q7" s="21">
        <v>10.986879999999999</v>
      </c>
      <c r="R7" s="21">
        <v>10.986879999999999</v>
      </c>
      <c r="S7" s="21">
        <v>10.986879999999999</v>
      </c>
      <c r="T7" s="21">
        <v>10.986879999999999</v>
      </c>
      <c r="U7" s="21">
        <v>10.986879999999999</v>
      </c>
      <c r="V7" s="21">
        <v>10.986879999999999</v>
      </c>
      <c r="W7" s="21">
        <v>10.986879999999999</v>
      </c>
      <c r="X7" s="21">
        <v>10.986879999999999</v>
      </c>
      <c r="Y7" s="21">
        <v>10.986879999999999</v>
      </c>
      <c r="Z7" s="21">
        <v>10.986879999999999</v>
      </c>
      <c r="AA7" s="21">
        <v>10.986879999999999</v>
      </c>
      <c r="AB7" s="21">
        <v>10.986879999999999</v>
      </c>
      <c r="AC7" s="21">
        <v>10.986879999999999</v>
      </c>
      <c r="AD7" s="21">
        <v>10.986879999999999</v>
      </c>
      <c r="AE7" s="21">
        <v>10.986879999999999</v>
      </c>
      <c r="AF7" s="21">
        <v>10.986879999999999</v>
      </c>
      <c r="AG7" s="21">
        <v>10.986879999999999</v>
      </c>
      <c r="AH7" s="21">
        <v>10.986879999999999</v>
      </c>
      <c r="AI7" s="21">
        <v>10.986879999999999</v>
      </c>
      <c r="AJ7" s="21">
        <v>10.986879999999999</v>
      </c>
      <c r="AK7" s="21">
        <v>10.986879999999999</v>
      </c>
      <c r="AL7" s="21">
        <v>10.986879999999999</v>
      </c>
      <c r="AM7" s="21">
        <v>10.986879999999999</v>
      </c>
      <c r="AN7" s="21">
        <v>10.986879999999999</v>
      </c>
      <c r="AO7" s="21">
        <v>10.986879999999999</v>
      </c>
      <c r="AP7" s="21">
        <v>10.986879999999999</v>
      </c>
      <c r="AQ7" s="21">
        <v>10.986879999999999</v>
      </c>
      <c r="AR7" s="21">
        <v>10.986879999999999</v>
      </c>
      <c r="AS7" s="21">
        <v>10.986879999999999</v>
      </c>
      <c r="AT7" s="21">
        <v>10.986879999999999</v>
      </c>
      <c r="AU7" s="21">
        <v>10.986879999999999</v>
      </c>
      <c r="AV7" s="21">
        <v>10.986879999999999</v>
      </c>
      <c r="AW7" s="21">
        <v>10.986879999999999</v>
      </c>
      <c r="AX7" s="21">
        <v>10.986879999999999</v>
      </c>
      <c r="AY7" s="21">
        <v>10.986879999999999</v>
      </c>
      <c r="AZ7" s="21">
        <v>10.986879999999999</v>
      </c>
      <c r="BA7" s="21">
        <v>10.986879999999999</v>
      </c>
      <c r="BB7" s="21">
        <v>10.986879999999999</v>
      </c>
      <c r="BC7" s="21">
        <v>10.986879999999999</v>
      </c>
      <c r="BD7" s="21">
        <v>10.986879999999999</v>
      </c>
      <c r="BE7" s="21">
        <v>10.986879999999999</v>
      </c>
      <c r="BF7" s="21">
        <v>10.986879999999999</v>
      </c>
      <c r="BG7" s="21">
        <v>10.986879999999999</v>
      </c>
      <c r="BH7" s="21">
        <v>10.986879999999999</v>
      </c>
      <c r="BI7" s="21">
        <v>10.986879999999999</v>
      </c>
      <c r="BJ7" s="21">
        <v>10.986879999999999</v>
      </c>
      <c r="BK7" s="21">
        <v>10.986879999999999</v>
      </c>
      <c r="BL7" s="21">
        <v>10.986879999999999</v>
      </c>
      <c r="BM7" s="21">
        <v>10.986879999999999</v>
      </c>
      <c r="BN7" s="21">
        <v>10.986879999999999</v>
      </c>
      <c r="BO7" s="21">
        <v>10.986879999999999</v>
      </c>
      <c r="BP7" s="21">
        <v>10.986879999999999</v>
      </c>
      <c r="BQ7" s="21">
        <v>10.986879999999999</v>
      </c>
      <c r="BR7" s="21">
        <v>10.986879999999999</v>
      </c>
      <c r="BS7" s="21">
        <v>10.986879999999999</v>
      </c>
      <c r="BT7" s="21">
        <v>10.986879999999999</v>
      </c>
      <c r="BU7" s="21">
        <v>10.986879999999999</v>
      </c>
      <c r="BV7" s="21">
        <v>10.986879999999999</v>
      </c>
      <c r="BW7" s="21">
        <v>10.986879999999999</v>
      </c>
      <c r="BX7" s="21">
        <v>10.986879999999999</v>
      </c>
      <c r="BY7" s="21">
        <v>10.986879999999999</v>
      </c>
      <c r="BZ7" s="21">
        <v>10.986879999999999</v>
      </c>
      <c r="CA7" s="21">
        <v>10.986879999999999</v>
      </c>
      <c r="CB7" s="21">
        <v>10.986879999999999</v>
      </c>
      <c r="CC7" s="21">
        <v>10.986879999999999</v>
      </c>
      <c r="CD7" s="21">
        <v>10.986879999999999</v>
      </c>
      <c r="CE7" s="21">
        <v>10.986879999999999</v>
      </c>
      <c r="CF7" s="21">
        <v>10.986879999999999</v>
      </c>
      <c r="CG7" s="21">
        <v>10.986879999999999</v>
      </c>
      <c r="CH7" s="21">
        <v>10.986879999999999</v>
      </c>
      <c r="CI7" s="21">
        <v>10.986879999999999</v>
      </c>
      <c r="CJ7" s="21">
        <v>10.986879999999999</v>
      </c>
      <c r="CK7" s="21">
        <v>10.986879999999999</v>
      </c>
      <c r="CL7" s="21">
        <v>10.986879999999999</v>
      </c>
      <c r="CM7" s="21">
        <v>10.986879999999999</v>
      </c>
      <c r="CN7" s="21">
        <v>10.986879999999999</v>
      </c>
      <c r="CO7" s="21">
        <v>10.986879999999999</v>
      </c>
      <c r="CP7" s="21">
        <v>10.986879999999999</v>
      </c>
      <c r="CQ7" s="21">
        <v>10.986879999999999</v>
      </c>
      <c r="CR7" s="21">
        <v>10.986879999999999</v>
      </c>
      <c r="CS7" s="21">
        <v>10.986879999999999</v>
      </c>
      <c r="CT7" s="21">
        <v>10.986879999999999</v>
      </c>
      <c r="CU7" s="21">
        <v>10.986879999999999</v>
      </c>
      <c r="CV7" s="21">
        <v>10.986879999999999</v>
      </c>
      <c r="CW7" s="21">
        <v>10.986879999999999</v>
      </c>
      <c r="CX7" s="21">
        <v>10.986879999999999</v>
      </c>
      <c r="CY7" s="21">
        <v>10.986879999999999</v>
      </c>
      <c r="CZ7" s="21">
        <v>10.986879999999999</v>
      </c>
      <c r="DA7" s="21">
        <v>10.986879999999999</v>
      </c>
      <c r="DB7" s="21">
        <v>10.986879999999999</v>
      </c>
      <c r="DC7" s="21">
        <v>10.986879999999999</v>
      </c>
      <c r="DD7" s="21">
        <v>10.986879999999999</v>
      </c>
      <c r="DE7" s="21">
        <v>10.986879999999999</v>
      </c>
      <c r="DF7" s="21">
        <v>10.986879999999999</v>
      </c>
      <c r="DG7" s="21">
        <v>10.986879999999999</v>
      </c>
      <c r="DH7" s="21">
        <v>10.986879999999999</v>
      </c>
      <c r="DI7" s="21">
        <v>10.986879999999999</v>
      </c>
      <c r="DJ7" s="21">
        <v>10.986879999999999</v>
      </c>
      <c r="DK7" s="21">
        <v>10.986879999999999</v>
      </c>
      <c r="DL7" s="21">
        <v>10.986879999999999</v>
      </c>
      <c r="DM7" s="21">
        <v>10.986879999999999</v>
      </c>
      <c r="DN7" s="21">
        <v>10.986879999999999</v>
      </c>
      <c r="DO7" s="21">
        <v>10.986879999999999</v>
      </c>
      <c r="DP7" s="21">
        <v>10.986879999999999</v>
      </c>
      <c r="DQ7" s="21">
        <v>10.986879999999999</v>
      </c>
      <c r="DR7" s="21">
        <v>10.986879999999999</v>
      </c>
      <c r="DS7" s="21">
        <v>10.986879999999999</v>
      </c>
      <c r="DT7" s="21">
        <v>10.986879999999999</v>
      </c>
      <c r="DU7" s="21">
        <v>10.986879999999999</v>
      </c>
      <c r="DV7" s="21">
        <v>10.986879999999999</v>
      </c>
      <c r="DW7" s="21">
        <v>10.986879999999999</v>
      </c>
      <c r="DX7" s="21">
        <v>10.986879999999999</v>
      </c>
      <c r="DY7" s="21">
        <v>10.986879999999999</v>
      </c>
      <c r="DZ7" s="21">
        <v>10.986879999999999</v>
      </c>
      <c r="EA7" s="21">
        <v>10.986879999999999</v>
      </c>
      <c r="EB7" s="21">
        <v>10.986879999999999</v>
      </c>
      <c r="EC7" s="21">
        <v>10.986879999999999</v>
      </c>
      <c r="ED7" s="21">
        <v>10.986879999999999</v>
      </c>
      <c r="EE7" s="21">
        <v>10.986879999999999</v>
      </c>
      <c r="EF7" s="21">
        <v>10.986879999999999</v>
      </c>
      <c r="EG7" s="21">
        <v>10.986879999999999</v>
      </c>
      <c r="EH7" s="21">
        <v>10.986879999999999</v>
      </c>
      <c r="EI7" s="21">
        <v>10.986879999999999</v>
      </c>
      <c r="EJ7" s="21">
        <v>10.986879999999999</v>
      </c>
      <c r="EK7" s="21">
        <v>10.986879999999999</v>
      </c>
      <c r="EL7" s="21">
        <v>10.986879999999999</v>
      </c>
      <c r="EM7" s="21">
        <v>10.986879999999999</v>
      </c>
      <c r="EN7" s="21">
        <v>10.986879999999999</v>
      </c>
      <c r="EO7" s="21">
        <v>10.986879999999999</v>
      </c>
      <c r="EP7" s="21">
        <v>10.986879999999999</v>
      </c>
      <c r="EQ7" s="21">
        <v>10.986879999999999</v>
      </c>
      <c r="ER7" s="21">
        <v>10.986879999999999</v>
      </c>
      <c r="ES7" s="21">
        <v>10.986879999999999</v>
      </c>
      <c r="ET7" s="21">
        <v>10.986879999999999</v>
      </c>
      <c r="EU7" s="21">
        <v>10.986879999999999</v>
      </c>
      <c r="EV7" s="21">
        <v>10.986879999999999</v>
      </c>
      <c r="EW7" s="21">
        <v>10.986879999999999</v>
      </c>
      <c r="EX7" s="21">
        <v>10.986879999999999</v>
      </c>
      <c r="EY7" s="21">
        <v>10.986879999999999</v>
      </c>
      <c r="EZ7" s="21">
        <v>10.986879999999999</v>
      </c>
      <c r="FA7" s="21">
        <v>10.986879999999999</v>
      </c>
      <c r="FB7" s="21">
        <v>10.986879999999999</v>
      </c>
      <c r="FC7" s="21">
        <v>10.986879999999999</v>
      </c>
      <c r="FD7" s="21">
        <v>10.986879999999999</v>
      </c>
      <c r="FE7" s="21">
        <v>10.986879999999999</v>
      </c>
      <c r="FF7" s="21">
        <v>10.986879999999999</v>
      </c>
      <c r="FG7" s="21">
        <v>10.986879999999999</v>
      </c>
      <c r="FH7" s="21">
        <v>10.986879999999999</v>
      </c>
      <c r="FI7" s="21">
        <v>10.986879999999999</v>
      </c>
      <c r="FJ7" s="21">
        <v>10.986879999999999</v>
      </c>
      <c r="FK7" s="21">
        <v>10.986879999999999</v>
      </c>
      <c r="FL7" s="21">
        <v>10.986879999999999</v>
      </c>
      <c r="FM7" s="21">
        <v>10.986879999999999</v>
      </c>
      <c r="FN7" s="21">
        <v>10.986879999999999</v>
      </c>
      <c r="FO7" s="21">
        <v>10.986879999999999</v>
      </c>
      <c r="FP7" s="21">
        <v>10.986879999999999</v>
      </c>
      <c r="FQ7" s="21">
        <v>10.986879999999999</v>
      </c>
      <c r="FR7" s="21">
        <v>10.986879999999999</v>
      </c>
      <c r="FS7" s="21">
        <v>10.986879999999999</v>
      </c>
      <c r="FT7" s="21">
        <v>10.986879999999999</v>
      </c>
      <c r="FU7" s="21">
        <v>10.986879999999999</v>
      </c>
      <c r="FV7" s="21">
        <v>10.986879999999999</v>
      </c>
      <c r="FW7" s="21">
        <v>10.986879999999999</v>
      </c>
      <c r="FX7" s="21">
        <v>10.986879999999999</v>
      </c>
      <c r="FY7" s="21">
        <v>10.986879999999999</v>
      </c>
      <c r="FZ7" s="21">
        <v>10.986879999999999</v>
      </c>
      <c r="GA7" s="21">
        <v>10.986879999999999</v>
      </c>
      <c r="GB7" s="21">
        <v>10.986879999999999</v>
      </c>
      <c r="GC7" s="21">
        <v>10.986879999999999</v>
      </c>
      <c r="GD7" s="21">
        <v>10.986879999999999</v>
      </c>
      <c r="GE7" s="21">
        <v>10.986879999999999</v>
      </c>
      <c r="GF7" s="21">
        <v>10.986879999999999</v>
      </c>
      <c r="GG7" s="21">
        <v>10.986879999999999</v>
      </c>
      <c r="GH7" s="21">
        <v>10.986879999999999</v>
      </c>
      <c r="GI7" s="21">
        <v>10.986879999999999</v>
      </c>
      <c r="GJ7" s="21">
        <v>10.986879999999999</v>
      </c>
      <c r="GK7" s="21">
        <v>10.986879999999999</v>
      </c>
      <c r="GL7" s="21">
        <v>10.986879999999999</v>
      </c>
      <c r="GM7" s="21">
        <v>10.986879999999999</v>
      </c>
      <c r="GN7" s="21">
        <v>10.986879999999999</v>
      </c>
      <c r="GO7" s="21">
        <v>10.986879999999999</v>
      </c>
      <c r="GP7" s="21">
        <v>10.986879999999999</v>
      </c>
      <c r="GQ7" s="21">
        <v>10.986879999999999</v>
      </c>
      <c r="GR7" s="21">
        <v>10.986879999999999</v>
      </c>
      <c r="GS7" s="21">
        <v>10.986879999999999</v>
      </c>
      <c r="GT7" s="21">
        <v>10.986879999999999</v>
      </c>
      <c r="GU7" s="21">
        <v>10.986879999999999</v>
      </c>
      <c r="GV7" s="21">
        <v>10.986879999999999</v>
      </c>
      <c r="GW7" s="21">
        <v>10.986879999999999</v>
      </c>
      <c r="GX7" s="21">
        <v>10.986879999999999</v>
      </c>
      <c r="GY7" s="21">
        <v>10.986879999999999</v>
      </c>
      <c r="GZ7" s="21">
        <v>10.986879999999999</v>
      </c>
      <c r="HA7" s="21">
        <v>10.986879999999999</v>
      </c>
      <c r="HB7" s="21">
        <v>10.986879999999999</v>
      </c>
      <c r="HC7" s="21">
        <v>10.986879999999999</v>
      </c>
      <c r="HD7" s="21">
        <v>10.986879999999999</v>
      </c>
      <c r="HE7" s="21">
        <v>10.986879999999999</v>
      </c>
      <c r="HF7" s="21">
        <v>10.986879999999999</v>
      </c>
      <c r="HG7" s="21">
        <v>10.986879999999999</v>
      </c>
      <c r="HH7" s="21">
        <v>10.986879999999999</v>
      </c>
      <c r="HI7" s="21">
        <v>10.986879999999999</v>
      </c>
      <c r="HJ7" s="21">
        <v>10.986879999999999</v>
      </c>
      <c r="HK7" s="21">
        <v>10.986879999999999</v>
      </c>
      <c r="HL7" s="21">
        <v>10.986879999999999</v>
      </c>
      <c r="HM7" s="21">
        <v>10.986879999999999</v>
      </c>
      <c r="HN7" s="21">
        <v>10.986879999999999</v>
      </c>
      <c r="HO7" s="21">
        <v>10.986879999999999</v>
      </c>
      <c r="HP7" s="21">
        <v>10.986879999999999</v>
      </c>
      <c r="HQ7" s="21">
        <v>10.986879999999999</v>
      </c>
      <c r="HR7" s="21">
        <v>10.986879999999999</v>
      </c>
      <c r="HS7" s="21">
        <v>10.986879999999999</v>
      </c>
      <c r="HT7" s="21">
        <v>10.986879999999999</v>
      </c>
      <c r="HU7" s="21">
        <v>10.986879999999999</v>
      </c>
      <c r="HV7" s="21">
        <v>10.986879999999999</v>
      </c>
      <c r="HW7" s="21">
        <v>10.986879999999999</v>
      </c>
      <c r="HX7" s="21">
        <v>10.986879999999999</v>
      </c>
      <c r="HY7" s="21">
        <v>10.986879999999999</v>
      </c>
      <c r="HZ7" s="21">
        <v>10.986879999999999</v>
      </c>
      <c r="IA7" s="21">
        <v>10.986879999999999</v>
      </c>
      <c r="IB7" s="21">
        <v>10.986879999999999</v>
      </c>
      <c r="IC7" s="21">
        <v>10.986879999999999</v>
      </c>
      <c r="ID7" s="21">
        <v>10.986879999999999</v>
      </c>
      <c r="IE7" s="21">
        <v>10.986879999999999</v>
      </c>
      <c r="IF7" s="21">
        <v>10.986879999999999</v>
      </c>
      <c r="IG7" s="21">
        <v>10.986879999999999</v>
      </c>
      <c r="IH7" s="21">
        <v>10.986879999999999</v>
      </c>
      <c r="II7" s="21">
        <v>10.986879999999999</v>
      </c>
      <c r="IJ7" s="21">
        <v>10.986879999999999</v>
      </c>
      <c r="IK7" s="21">
        <v>10.986879999999999</v>
      </c>
      <c r="IL7" s="21">
        <v>10.986879999999999</v>
      </c>
      <c r="IM7" s="21">
        <v>10.986879999999999</v>
      </c>
      <c r="IN7" s="21">
        <v>10.986879999999999</v>
      </c>
      <c r="IO7" s="21">
        <v>10.986879999999999</v>
      </c>
      <c r="IP7" s="21">
        <v>10.986879999999999</v>
      </c>
      <c r="IQ7" s="21">
        <v>10.986879999999999</v>
      </c>
      <c r="IR7" s="21">
        <v>10.986879999999999</v>
      </c>
      <c r="IS7" s="21">
        <v>10.986879999999999</v>
      </c>
      <c r="IT7" s="21">
        <v>10.986879999999999</v>
      </c>
      <c r="IU7" s="21">
        <v>10.986879999999999</v>
      </c>
      <c r="IV7" s="21">
        <v>10.986879999999999</v>
      </c>
      <c r="IW7" s="21">
        <v>10.986879999999999</v>
      </c>
      <c r="IX7" s="21">
        <v>10.986879999999999</v>
      </c>
      <c r="IY7" s="21">
        <v>10.986879999999999</v>
      </c>
      <c r="IZ7" s="21">
        <v>10.986879999999999</v>
      </c>
      <c r="JA7" s="21">
        <v>10.986879999999999</v>
      </c>
      <c r="JB7" s="21">
        <v>10.986879999999999</v>
      </c>
      <c r="JC7" s="21">
        <v>10.986879999999999</v>
      </c>
      <c r="JD7" s="21">
        <v>10.986879999999999</v>
      </c>
      <c r="JE7" s="21">
        <v>10.986879999999999</v>
      </c>
      <c r="JF7" s="21">
        <v>10.986879999999999</v>
      </c>
      <c r="JG7" s="21">
        <v>10.986879999999999</v>
      </c>
      <c r="JH7" s="21">
        <v>10.986879999999999</v>
      </c>
      <c r="JI7" s="21">
        <v>10.986879999999999</v>
      </c>
      <c r="JJ7" s="21">
        <v>10.986879999999999</v>
      </c>
      <c r="JK7" s="21">
        <v>10.986879999999999</v>
      </c>
      <c r="JL7" s="21">
        <v>10.986879999999999</v>
      </c>
      <c r="JM7" s="21">
        <v>10.986879999999999</v>
      </c>
      <c r="JN7" s="21">
        <v>10.986879999999999</v>
      </c>
      <c r="JO7" s="21">
        <v>10.986879999999999</v>
      </c>
      <c r="JP7" s="21">
        <v>10.986879999999999</v>
      </c>
      <c r="JQ7" s="21">
        <v>10.986879999999999</v>
      </c>
      <c r="JR7" s="21">
        <v>10.986879999999999</v>
      </c>
      <c r="JS7" s="21">
        <v>10.986879999999999</v>
      </c>
      <c r="JT7" s="21">
        <v>10.986879999999999</v>
      </c>
      <c r="JU7" s="21">
        <v>10.986879999999999</v>
      </c>
      <c r="JV7" s="21">
        <v>10.986879999999999</v>
      </c>
      <c r="JW7" s="21">
        <v>10.986879999999999</v>
      </c>
      <c r="JX7" s="21">
        <v>10.986879999999999</v>
      </c>
      <c r="JY7" s="21">
        <v>10.986879999999999</v>
      </c>
      <c r="JZ7" s="21">
        <v>10.986879999999999</v>
      </c>
      <c r="KA7" s="21">
        <v>10.986879999999999</v>
      </c>
      <c r="KB7" s="21">
        <v>10.986879999999999</v>
      </c>
      <c r="KC7" s="21">
        <v>10.986879999999999</v>
      </c>
      <c r="KD7" s="21">
        <v>10.986879999999999</v>
      </c>
      <c r="KE7" s="21">
        <v>10.986879999999999</v>
      </c>
      <c r="KF7" s="21">
        <v>10.986879999999999</v>
      </c>
      <c r="KG7" s="21">
        <v>10.986879999999999</v>
      </c>
      <c r="KH7" s="21">
        <v>10.986879999999999</v>
      </c>
      <c r="KI7" s="21">
        <v>10.986879999999999</v>
      </c>
      <c r="KJ7" s="21">
        <v>10.986879999999999</v>
      </c>
      <c r="KK7" s="21">
        <v>10.986879999999999</v>
      </c>
      <c r="KL7" s="21">
        <v>10.986879999999999</v>
      </c>
      <c r="KM7" s="21">
        <v>10.986879999999999</v>
      </c>
      <c r="KN7" s="21">
        <v>10.986879999999999</v>
      </c>
      <c r="KO7" s="21">
        <v>10.986879999999999</v>
      </c>
      <c r="KP7" s="21">
        <v>10.986879999999999</v>
      </c>
      <c r="KQ7" s="21">
        <v>10.986879999999999</v>
      </c>
      <c r="KR7" s="21">
        <v>10.986879999999999</v>
      </c>
      <c r="KS7" s="21">
        <v>10.986879999999999</v>
      </c>
      <c r="KT7" s="21">
        <v>10.986879999999999</v>
      </c>
      <c r="KU7" s="21">
        <v>10.986879999999999</v>
      </c>
      <c r="KV7" s="21">
        <v>10.986879999999999</v>
      </c>
      <c r="KW7" s="21">
        <v>10.986879999999999</v>
      </c>
      <c r="KX7" s="21">
        <v>10.986879999999999</v>
      </c>
      <c r="KY7" s="21">
        <v>10.986879999999999</v>
      </c>
      <c r="KZ7" s="21">
        <v>10.986879999999999</v>
      </c>
      <c r="LA7" s="21">
        <v>10.986879999999999</v>
      </c>
      <c r="LB7" s="21">
        <v>10.986879999999999</v>
      </c>
      <c r="LC7" s="21">
        <v>10.986879999999999</v>
      </c>
      <c r="LD7" s="21">
        <v>10.986879999999999</v>
      </c>
      <c r="LE7" s="21">
        <v>10.986879999999999</v>
      </c>
      <c r="LF7" s="21">
        <v>10.986879999999999</v>
      </c>
      <c r="LG7" s="21">
        <v>10.986879999999999</v>
      </c>
      <c r="LH7" s="21">
        <v>10.986879999999999</v>
      </c>
      <c r="LI7" s="21">
        <v>10.986879999999999</v>
      </c>
      <c r="LJ7" s="21">
        <v>10.986879999999999</v>
      </c>
      <c r="LK7" s="21">
        <v>10.986879999999999</v>
      </c>
      <c r="LL7" s="21">
        <v>10.986879999999999</v>
      </c>
      <c r="LM7" s="21">
        <v>10.986879999999999</v>
      </c>
      <c r="LN7" s="21">
        <v>10.986879999999999</v>
      </c>
      <c r="LO7" s="21">
        <v>10.986879999999999</v>
      </c>
      <c r="LP7" s="21">
        <v>10.986879999999999</v>
      </c>
      <c r="LQ7" s="21">
        <v>10.986879999999999</v>
      </c>
      <c r="LR7" s="21">
        <v>10.986879999999999</v>
      </c>
      <c r="LS7" s="21">
        <v>10.986879999999999</v>
      </c>
      <c r="LT7" s="21">
        <v>10.986879999999999</v>
      </c>
      <c r="LU7" s="21">
        <v>10.986879999999999</v>
      </c>
      <c r="LV7" s="21">
        <v>10.986879999999999</v>
      </c>
      <c r="LW7" s="21">
        <v>10.986879999999999</v>
      </c>
      <c r="LX7" s="21">
        <v>10.986879999999999</v>
      </c>
      <c r="LY7" s="21">
        <v>10.986879999999999</v>
      </c>
      <c r="LZ7" s="21">
        <v>10.986879999999999</v>
      </c>
      <c r="MA7" s="21">
        <v>10.986879999999999</v>
      </c>
      <c r="MB7" s="21">
        <v>10.986879999999999</v>
      </c>
      <c r="MC7" s="21">
        <v>10.986879999999999</v>
      </c>
      <c r="MD7" s="21">
        <v>10.986879999999999</v>
      </c>
      <c r="ME7" s="21">
        <v>10.986879999999999</v>
      </c>
      <c r="MF7" s="21">
        <v>10.986879999999999</v>
      </c>
      <c r="MG7" s="21">
        <v>10.986879999999999</v>
      </c>
      <c r="MH7" s="21">
        <v>10.986879999999999</v>
      </c>
      <c r="MI7" s="21">
        <v>10.986879999999999</v>
      </c>
      <c r="MJ7" s="21">
        <v>10.986879999999999</v>
      </c>
      <c r="MK7" s="21">
        <v>10.986879999999999</v>
      </c>
      <c r="ML7" s="21">
        <v>10.986879999999999</v>
      </c>
      <c r="MM7" s="21">
        <v>10.986879999999999</v>
      </c>
      <c r="MN7" s="21">
        <v>10.986879999999999</v>
      </c>
      <c r="MO7" s="21">
        <v>10.986879999999999</v>
      </c>
      <c r="MP7" s="21">
        <v>10.986879999999999</v>
      </c>
      <c r="MQ7" s="21">
        <v>10.986879999999999</v>
      </c>
      <c r="MR7" s="21">
        <v>10.986879999999999</v>
      </c>
      <c r="MS7" s="21">
        <v>10.986879999999999</v>
      </c>
      <c r="MT7" s="21">
        <v>10.986879999999999</v>
      </c>
      <c r="MU7" s="21">
        <v>10.986879999999999</v>
      </c>
      <c r="MV7" s="21">
        <v>10.986879999999999</v>
      </c>
      <c r="MW7" s="21">
        <v>10.986879999999999</v>
      </c>
      <c r="MX7" s="21">
        <v>10.986879999999999</v>
      </c>
      <c r="MY7" s="21">
        <v>10.986879999999999</v>
      </c>
      <c r="MZ7" s="21">
        <v>11.27858</v>
      </c>
    </row>
    <row r="8" spans="1:364" s="78" customFormat="1" x14ac:dyDescent="0.2">
      <c r="A8" s="7">
        <v>6</v>
      </c>
      <c r="B8" s="16" t="s">
        <v>548</v>
      </c>
      <c r="C8" s="74">
        <v>6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12.508353</v>
      </c>
      <c r="K8" s="21">
        <v>12.508353</v>
      </c>
      <c r="L8" s="21">
        <v>12.508353</v>
      </c>
      <c r="M8" s="21">
        <v>12.508353</v>
      </c>
      <c r="N8" s="21">
        <v>12.508353</v>
      </c>
      <c r="O8" s="21">
        <v>12.508353</v>
      </c>
      <c r="P8" s="21">
        <v>12.508353</v>
      </c>
      <c r="Q8" s="21">
        <v>12.508353</v>
      </c>
      <c r="R8" s="21">
        <v>12.508353</v>
      </c>
      <c r="S8" s="21">
        <v>12.508353</v>
      </c>
      <c r="T8" s="21">
        <v>12.508353</v>
      </c>
      <c r="U8" s="21">
        <v>12.508353</v>
      </c>
      <c r="V8" s="21">
        <v>12.508353</v>
      </c>
      <c r="W8" s="21">
        <v>12.508353</v>
      </c>
      <c r="X8" s="21">
        <v>12.508353</v>
      </c>
      <c r="Y8" s="21">
        <v>12.508353</v>
      </c>
      <c r="Z8" s="21">
        <v>12.508353</v>
      </c>
      <c r="AA8" s="21">
        <v>12.508353</v>
      </c>
      <c r="AB8" s="21">
        <v>12.508353</v>
      </c>
      <c r="AC8" s="21">
        <v>12.508353</v>
      </c>
      <c r="AD8" s="21">
        <v>12.508353</v>
      </c>
      <c r="AE8" s="21">
        <v>12.508353</v>
      </c>
      <c r="AF8" s="21">
        <v>12.508353</v>
      </c>
      <c r="AG8" s="21">
        <v>12.508353</v>
      </c>
      <c r="AH8" s="21">
        <v>12.508353</v>
      </c>
      <c r="AI8" s="21">
        <v>12.508353</v>
      </c>
      <c r="AJ8" s="21">
        <v>12.508353</v>
      </c>
      <c r="AK8" s="21">
        <v>12.508353</v>
      </c>
      <c r="AL8" s="21">
        <v>12.508353</v>
      </c>
      <c r="AM8" s="21">
        <v>12.508353</v>
      </c>
      <c r="AN8" s="21">
        <v>12.508353</v>
      </c>
      <c r="AO8" s="21">
        <v>12.508353</v>
      </c>
      <c r="AP8" s="21">
        <v>12.508353</v>
      </c>
      <c r="AQ8" s="21">
        <v>12.508353</v>
      </c>
      <c r="AR8" s="21">
        <v>12.508353</v>
      </c>
      <c r="AS8" s="21">
        <v>12.508353</v>
      </c>
      <c r="AT8" s="21">
        <v>12.508353</v>
      </c>
      <c r="AU8" s="21">
        <v>12.508353</v>
      </c>
      <c r="AV8" s="21">
        <v>12.508353</v>
      </c>
      <c r="AW8" s="21">
        <v>12.508353</v>
      </c>
      <c r="AX8" s="21">
        <v>12.508353</v>
      </c>
      <c r="AY8" s="21">
        <v>12.508353</v>
      </c>
      <c r="AZ8" s="21">
        <v>12.508353</v>
      </c>
      <c r="BA8" s="21">
        <v>12.508353</v>
      </c>
      <c r="BB8" s="21">
        <v>12.508353</v>
      </c>
      <c r="BC8" s="21">
        <v>12.508353</v>
      </c>
      <c r="BD8" s="21">
        <v>12.508353</v>
      </c>
      <c r="BE8" s="21">
        <v>12.508353</v>
      </c>
      <c r="BF8" s="21">
        <v>12.508353</v>
      </c>
      <c r="BG8" s="21">
        <v>12.508353</v>
      </c>
      <c r="BH8" s="21">
        <v>12.508353</v>
      </c>
      <c r="BI8" s="21">
        <v>12.508353</v>
      </c>
      <c r="BJ8" s="21">
        <v>12.508353</v>
      </c>
      <c r="BK8" s="21">
        <v>12.508353</v>
      </c>
      <c r="BL8" s="21">
        <v>12.508353</v>
      </c>
      <c r="BM8" s="21">
        <v>12.508353</v>
      </c>
      <c r="BN8" s="21">
        <v>12.508353</v>
      </c>
      <c r="BO8" s="21">
        <v>12.508353</v>
      </c>
      <c r="BP8" s="21">
        <v>12.508353</v>
      </c>
      <c r="BQ8" s="21">
        <v>12.508353</v>
      </c>
      <c r="BR8" s="21">
        <v>12.508353</v>
      </c>
      <c r="BS8" s="21">
        <v>12.508353</v>
      </c>
      <c r="BT8" s="21">
        <v>12.508353</v>
      </c>
      <c r="BU8" s="21">
        <v>12.508353</v>
      </c>
      <c r="BV8" s="21">
        <v>12.508353</v>
      </c>
      <c r="BW8" s="21">
        <v>12.508353</v>
      </c>
      <c r="BX8" s="21">
        <v>12.508353</v>
      </c>
      <c r="BY8" s="21">
        <v>12.508353</v>
      </c>
      <c r="BZ8" s="21">
        <v>12.508353</v>
      </c>
      <c r="CA8" s="21">
        <v>12.508353</v>
      </c>
      <c r="CB8" s="21">
        <v>12.508353</v>
      </c>
      <c r="CC8" s="21">
        <v>12.508353</v>
      </c>
      <c r="CD8" s="21">
        <v>12.508353</v>
      </c>
      <c r="CE8" s="21">
        <v>12.508353</v>
      </c>
      <c r="CF8" s="21">
        <v>12.508353</v>
      </c>
      <c r="CG8" s="21">
        <v>12.508353</v>
      </c>
      <c r="CH8" s="21">
        <v>12.508353</v>
      </c>
      <c r="CI8" s="21">
        <v>12.508353</v>
      </c>
      <c r="CJ8" s="21">
        <v>12.508353</v>
      </c>
      <c r="CK8" s="21">
        <v>12.508353</v>
      </c>
      <c r="CL8" s="21">
        <v>12.508353</v>
      </c>
      <c r="CM8" s="21">
        <v>12.508353</v>
      </c>
      <c r="CN8" s="21">
        <v>12.508353</v>
      </c>
      <c r="CO8" s="21">
        <v>12.508353</v>
      </c>
      <c r="CP8" s="21">
        <v>12.508353</v>
      </c>
      <c r="CQ8" s="21">
        <v>12.508353</v>
      </c>
      <c r="CR8" s="21">
        <v>12.508353</v>
      </c>
      <c r="CS8" s="21">
        <v>12.508353</v>
      </c>
      <c r="CT8" s="21">
        <v>12.508353</v>
      </c>
      <c r="CU8" s="21">
        <v>12.508353</v>
      </c>
      <c r="CV8" s="21">
        <v>12.508353</v>
      </c>
      <c r="CW8" s="21">
        <v>12.508353</v>
      </c>
      <c r="CX8" s="21">
        <v>12.508353</v>
      </c>
      <c r="CY8" s="21">
        <v>12.508353</v>
      </c>
      <c r="CZ8" s="21">
        <v>12.508353</v>
      </c>
      <c r="DA8" s="21">
        <v>12.508353</v>
      </c>
      <c r="DB8" s="21">
        <v>12.508353</v>
      </c>
      <c r="DC8" s="21">
        <v>12.508353</v>
      </c>
      <c r="DD8" s="21">
        <v>12.508353</v>
      </c>
      <c r="DE8" s="21">
        <v>12.508353</v>
      </c>
      <c r="DF8" s="21">
        <v>12.508353</v>
      </c>
      <c r="DG8" s="21">
        <v>12.508353</v>
      </c>
      <c r="DH8" s="21">
        <v>12.508353</v>
      </c>
      <c r="DI8" s="21">
        <v>12.508353</v>
      </c>
      <c r="DJ8" s="21">
        <v>12.508353</v>
      </c>
      <c r="DK8" s="21">
        <v>12.508353</v>
      </c>
      <c r="DL8" s="21">
        <v>12.508353</v>
      </c>
      <c r="DM8" s="21">
        <v>12.508353</v>
      </c>
      <c r="DN8" s="21">
        <v>12.508353</v>
      </c>
      <c r="DO8" s="21">
        <v>12.508353</v>
      </c>
      <c r="DP8" s="21">
        <v>12.508353</v>
      </c>
      <c r="DQ8" s="21">
        <v>12.508353</v>
      </c>
      <c r="DR8" s="21">
        <v>12.508353</v>
      </c>
      <c r="DS8" s="21">
        <v>12.508353</v>
      </c>
      <c r="DT8" s="21">
        <v>12.508353</v>
      </c>
      <c r="DU8" s="21">
        <v>12.508353</v>
      </c>
      <c r="DV8" s="21">
        <v>12.508353</v>
      </c>
      <c r="DW8" s="21">
        <v>12.508353</v>
      </c>
      <c r="DX8" s="21">
        <v>12.508353</v>
      </c>
      <c r="DY8" s="21">
        <v>12.508353</v>
      </c>
      <c r="DZ8" s="21">
        <v>12.508353</v>
      </c>
      <c r="EA8" s="21">
        <v>12.508353</v>
      </c>
      <c r="EB8" s="21">
        <v>12.508353</v>
      </c>
      <c r="EC8" s="21">
        <v>12.508353</v>
      </c>
      <c r="ED8" s="21">
        <v>12.508353</v>
      </c>
      <c r="EE8" s="21">
        <v>12.508353</v>
      </c>
      <c r="EF8" s="21">
        <v>12.508353</v>
      </c>
      <c r="EG8" s="21">
        <v>12.508353</v>
      </c>
      <c r="EH8" s="21">
        <v>12.508353</v>
      </c>
      <c r="EI8" s="21">
        <v>12.508353</v>
      </c>
      <c r="EJ8" s="21">
        <v>12.508353</v>
      </c>
      <c r="EK8" s="21">
        <v>12.508353</v>
      </c>
      <c r="EL8" s="21">
        <v>12.508353</v>
      </c>
      <c r="EM8" s="21">
        <v>12.508353</v>
      </c>
      <c r="EN8" s="21">
        <v>12.508353</v>
      </c>
      <c r="EO8" s="21">
        <v>12.508353</v>
      </c>
      <c r="EP8" s="21">
        <v>12.508353</v>
      </c>
      <c r="EQ8" s="21">
        <v>12.508353</v>
      </c>
      <c r="ER8" s="21">
        <v>12.508353</v>
      </c>
      <c r="ES8" s="21">
        <v>12.508353</v>
      </c>
      <c r="ET8" s="21">
        <v>12.508353</v>
      </c>
      <c r="EU8" s="21">
        <v>12.508353</v>
      </c>
      <c r="EV8" s="21">
        <v>12.508353</v>
      </c>
      <c r="EW8" s="21">
        <v>12.508353</v>
      </c>
      <c r="EX8" s="21">
        <v>12.508353</v>
      </c>
      <c r="EY8" s="21">
        <v>12.508353</v>
      </c>
      <c r="EZ8" s="21">
        <v>12.508353</v>
      </c>
      <c r="FA8" s="21">
        <v>12.508353</v>
      </c>
      <c r="FB8" s="21">
        <v>12.508353</v>
      </c>
      <c r="FC8" s="21">
        <v>12.508353</v>
      </c>
      <c r="FD8" s="21">
        <v>12.508353</v>
      </c>
      <c r="FE8" s="21">
        <v>12.508353</v>
      </c>
      <c r="FF8" s="21">
        <v>12.508353</v>
      </c>
      <c r="FG8" s="21">
        <v>12.508353</v>
      </c>
      <c r="FH8" s="21">
        <v>12.508353</v>
      </c>
      <c r="FI8" s="21">
        <v>12.508353</v>
      </c>
      <c r="FJ8" s="21">
        <v>12.508353</v>
      </c>
      <c r="FK8" s="21">
        <v>12.508353</v>
      </c>
      <c r="FL8" s="21">
        <v>12.508353</v>
      </c>
      <c r="FM8" s="21">
        <v>12.508353</v>
      </c>
      <c r="FN8" s="21">
        <v>12.508353</v>
      </c>
      <c r="FO8" s="21">
        <v>12.508353</v>
      </c>
      <c r="FP8" s="21">
        <v>12.508353</v>
      </c>
      <c r="FQ8" s="21">
        <v>12.508353</v>
      </c>
      <c r="FR8" s="21">
        <v>12.508353</v>
      </c>
      <c r="FS8" s="21">
        <v>12.508353</v>
      </c>
      <c r="FT8" s="21">
        <v>12.508353</v>
      </c>
      <c r="FU8" s="21">
        <v>12.508353</v>
      </c>
      <c r="FV8" s="21">
        <v>12.508353</v>
      </c>
      <c r="FW8" s="21">
        <v>12.508353</v>
      </c>
      <c r="FX8" s="21">
        <v>12.508353</v>
      </c>
      <c r="FY8" s="21">
        <v>12.508353</v>
      </c>
      <c r="FZ8" s="21">
        <v>12.508353</v>
      </c>
      <c r="GA8" s="21">
        <v>12.508353</v>
      </c>
      <c r="GB8" s="21">
        <v>12.508353</v>
      </c>
      <c r="GC8" s="21">
        <v>12.508353</v>
      </c>
      <c r="GD8" s="21">
        <v>12.508353</v>
      </c>
      <c r="GE8" s="21">
        <v>12.508353</v>
      </c>
      <c r="GF8" s="21">
        <v>12.508353</v>
      </c>
      <c r="GG8" s="21">
        <v>12.508353</v>
      </c>
      <c r="GH8" s="21">
        <v>12.508353</v>
      </c>
      <c r="GI8" s="21">
        <v>12.508353</v>
      </c>
      <c r="GJ8" s="21">
        <v>12.508353</v>
      </c>
      <c r="GK8" s="21">
        <v>12.508353</v>
      </c>
      <c r="GL8" s="21">
        <v>12.508353</v>
      </c>
      <c r="GM8" s="21">
        <v>12.508353</v>
      </c>
      <c r="GN8" s="21">
        <v>12.508353</v>
      </c>
      <c r="GO8" s="21">
        <v>12.508353</v>
      </c>
      <c r="GP8" s="21">
        <v>12.508353</v>
      </c>
      <c r="GQ8" s="21">
        <v>12.508353</v>
      </c>
      <c r="GR8" s="21">
        <v>12.508353</v>
      </c>
      <c r="GS8" s="21">
        <v>12.508353</v>
      </c>
      <c r="GT8" s="21">
        <v>12.508353</v>
      </c>
      <c r="GU8" s="21">
        <v>12.508353</v>
      </c>
      <c r="GV8" s="21">
        <v>12.508353</v>
      </c>
      <c r="GW8" s="21">
        <v>12.508353</v>
      </c>
      <c r="GX8" s="21">
        <v>12.508353</v>
      </c>
      <c r="GY8" s="21">
        <v>12.508353</v>
      </c>
      <c r="GZ8" s="21">
        <v>12.508353</v>
      </c>
      <c r="HA8" s="21">
        <v>12.508353</v>
      </c>
      <c r="HB8" s="21">
        <v>12.508353</v>
      </c>
      <c r="HC8" s="21">
        <v>12.508353</v>
      </c>
      <c r="HD8" s="21">
        <v>12.508353</v>
      </c>
      <c r="HE8" s="21">
        <v>12.508353</v>
      </c>
      <c r="HF8" s="21">
        <v>12.508353</v>
      </c>
      <c r="HG8" s="21">
        <v>12.508353</v>
      </c>
      <c r="HH8" s="21">
        <v>12.508353</v>
      </c>
      <c r="HI8" s="21">
        <v>12.508353</v>
      </c>
      <c r="HJ8" s="21">
        <v>12.508353</v>
      </c>
      <c r="HK8" s="21">
        <v>12.508353</v>
      </c>
      <c r="HL8" s="21">
        <v>12.508353</v>
      </c>
      <c r="HM8" s="21">
        <v>12.508353</v>
      </c>
      <c r="HN8" s="21">
        <v>12.508353</v>
      </c>
      <c r="HO8" s="21">
        <v>12.508353</v>
      </c>
      <c r="HP8" s="21">
        <v>12.508353</v>
      </c>
      <c r="HQ8" s="21">
        <v>12.508353</v>
      </c>
      <c r="HR8" s="21">
        <v>12.508353</v>
      </c>
      <c r="HS8" s="21">
        <v>12.508353</v>
      </c>
      <c r="HT8" s="21">
        <v>12.508353</v>
      </c>
      <c r="HU8" s="21">
        <v>12.508353</v>
      </c>
      <c r="HV8" s="21">
        <v>12.508353</v>
      </c>
      <c r="HW8" s="21">
        <v>12.508353</v>
      </c>
      <c r="HX8" s="21">
        <v>12.508353</v>
      </c>
      <c r="HY8" s="21">
        <v>12.508353</v>
      </c>
      <c r="HZ8" s="21">
        <v>12.508353</v>
      </c>
      <c r="IA8" s="21">
        <v>12.508353</v>
      </c>
      <c r="IB8" s="21">
        <v>12.508353</v>
      </c>
      <c r="IC8" s="21">
        <v>12.508353</v>
      </c>
      <c r="ID8" s="21">
        <v>12.508353</v>
      </c>
      <c r="IE8" s="21">
        <v>12.508353</v>
      </c>
      <c r="IF8" s="21">
        <v>12.508353</v>
      </c>
      <c r="IG8" s="21">
        <v>12.508353</v>
      </c>
      <c r="IH8" s="21">
        <v>12.508353</v>
      </c>
      <c r="II8" s="21">
        <v>12.508353</v>
      </c>
      <c r="IJ8" s="21">
        <v>12.508353</v>
      </c>
      <c r="IK8" s="21">
        <v>12.508353</v>
      </c>
      <c r="IL8" s="21">
        <v>12.508353</v>
      </c>
      <c r="IM8" s="21">
        <v>12.508353</v>
      </c>
      <c r="IN8" s="21">
        <v>12.508353</v>
      </c>
      <c r="IO8" s="21">
        <v>12.508353</v>
      </c>
      <c r="IP8" s="21">
        <v>12.508353</v>
      </c>
      <c r="IQ8" s="21">
        <v>12.508353</v>
      </c>
      <c r="IR8" s="21">
        <v>12.508353</v>
      </c>
      <c r="IS8" s="21">
        <v>12.508353</v>
      </c>
      <c r="IT8" s="21">
        <v>12.508353</v>
      </c>
      <c r="IU8" s="21">
        <v>12.508353</v>
      </c>
      <c r="IV8" s="21">
        <v>12.508353</v>
      </c>
      <c r="IW8" s="21">
        <v>12.508353</v>
      </c>
      <c r="IX8" s="21">
        <v>12.508353</v>
      </c>
      <c r="IY8" s="21">
        <v>12.508353</v>
      </c>
      <c r="IZ8" s="21">
        <v>12.508353</v>
      </c>
      <c r="JA8" s="21">
        <v>12.508353</v>
      </c>
      <c r="JB8" s="21">
        <v>12.508353</v>
      </c>
      <c r="JC8" s="21">
        <v>12.508353</v>
      </c>
      <c r="JD8" s="21">
        <v>12.508353</v>
      </c>
      <c r="JE8" s="21">
        <v>12.508353</v>
      </c>
      <c r="JF8" s="21">
        <v>12.508353</v>
      </c>
      <c r="JG8" s="21">
        <v>12.508353</v>
      </c>
      <c r="JH8" s="21">
        <v>12.508353</v>
      </c>
      <c r="JI8" s="21">
        <v>12.508353</v>
      </c>
      <c r="JJ8" s="21">
        <v>12.508353</v>
      </c>
      <c r="JK8" s="21">
        <v>12.508353</v>
      </c>
      <c r="JL8" s="21">
        <v>12.508353</v>
      </c>
      <c r="JM8" s="21">
        <v>12.508353</v>
      </c>
      <c r="JN8" s="21">
        <v>12.508353</v>
      </c>
      <c r="JO8" s="21">
        <v>12.508353</v>
      </c>
      <c r="JP8" s="21">
        <v>12.508353</v>
      </c>
      <c r="JQ8" s="21">
        <v>12.508353</v>
      </c>
      <c r="JR8" s="21">
        <v>12.508353</v>
      </c>
      <c r="JS8" s="21">
        <v>12.508353</v>
      </c>
      <c r="JT8" s="21">
        <v>12.508353</v>
      </c>
      <c r="JU8" s="21">
        <v>12.508353</v>
      </c>
      <c r="JV8" s="21">
        <v>12.508353</v>
      </c>
      <c r="JW8" s="21">
        <v>12.508353</v>
      </c>
      <c r="JX8" s="21">
        <v>12.508353</v>
      </c>
      <c r="JY8" s="21">
        <v>12.508353</v>
      </c>
      <c r="JZ8" s="21">
        <v>12.508353</v>
      </c>
      <c r="KA8" s="21">
        <v>12.508353</v>
      </c>
      <c r="KB8" s="21">
        <v>12.508353</v>
      </c>
      <c r="KC8" s="21">
        <v>12.508353</v>
      </c>
      <c r="KD8" s="21">
        <v>12.508353</v>
      </c>
      <c r="KE8" s="21">
        <v>12.508353</v>
      </c>
      <c r="KF8" s="21">
        <v>12.508353</v>
      </c>
      <c r="KG8" s="21">
        <v>12.508353</v>
      </c>
      <c r="KH8" s="21">
        <v>12.508353</v>
      </c>
      <c r="KI8" s="21">
        <v>12.508353</v>
      </c>
      <c r="KJ8" s="21">
        <v>12.508353</v>
      </c>
      <c r="KK8" s="21">
        <v>12.508353</v>
      </c>
      <c r="KL8" s="21">
        <v>12.508353</v>
      </c>
      <c r="KM8" s="21">
        <v>12.508353</v>
      </c>
      <c r="KN8" s="21">
        <v>12.508353</v>
      </c>
      <c r="KO8" s="21">
        <v>12.508353</v>
      </c>
      <c r="KP8" s="21">
        <v>12.508353</v>
      </c>
      <c r="KQ8" s="21">
        <v>12.508353</v>
      </c>
      <c r="KR8" s="21">
        <v>12.436790999999999</v>
      </c>
      <c r="KS8" s="21">
        <v>0</v>
      </c>
      <c r="KT8" s="21">
        <v>0</v>
      </c>
      <c r="KU8" s="21">
        <v>0</v>
      </c>
      <c r="KV8" s="21">
        <v>0</v>
      </c>
      <c r="KW8" s="21">
        <v>0</v>
      </c>
      <c r="KX8" s="21">
        <v>0</v>
      </c>
      <c r="KY8" s="21">
        <v>0</v>
      </c>
      <c r="KZ8" s="21">
        <v>0</v>
      </c>
      <c r="LA8" s="21">
        <v>0</v>
      </c>
      <c r="LB8" s="21">
        <v>0</v>
      </c>
      <c r="LC8" s="21">
        <v>0</v>
      </c>
      <c r="LD8" s="21">
        <v>0</v>
      </c>
      <c r="LE8" s="21">
        <v>0</v>
      </c>
      <c r="LF8" s="21">
        <v>0</v>
      </c>
      <c r="LG8" s="21">
        <v>0</v>
      </c>
      <c r="LH8" s="21">
        <v>0</v>
      </c>
      <c r="LI8" s="21">
        <v>0</v>
      </c>
      <c r="LJ8" s="21">
        <v>0</v>
      </c>
      <c r="LK8" s="21">
        <v>0</v>
      </c>
      <c r="LL8" s="21">
        <v>0</v>
      </c>
      <c r="LM8" s="21">
        <v>0</v>
      </c>
      <c r="LN8" s="21">
        <v>0</v>
      </c>
      <c r="LO8" s="21">
        <v>0</v>
      </c>
      <c r="LP8" s="21">
        <v>0</v>
      </c>
      <c r="LQ8" s="21">
        <v>0</v>
      </c>
      <c r="LR8" s="21">
        <v>0</v>
      </c>
      <c r="LS8" s="21">
        <v>0</v>
      </c>
      <c r="LT8" s="21">
        <v>0</v>
      </c>
      <c r="LU8" s="21">
        <v>0</v>
      </c>
      <c r="LV8" s="21">
        <v>0</v>
      </c>
      <c r="LW8" s="21">
        <v>0</v>
      </c>
      <c r="LX8" s="21">
        <v>0</v>
      </c>
      <c r="LY8" s="21">
        <v>0</v>
      </c>
      <c r="LZ8" s="21">
        <v>0</v>
      </c>
      <c r="MA8" s="21">
        <v>0</v>
      </c>
      <c r="MB8" s="21">
        <v>0</v>
      </c>
      <c r="MC8" s="21">
        <v>0</v>
      </c>
      <c r="MD8" s="21">
        <v>0</v>
      </c>
      <c r="ME8" s="21">
        <v>0</v>
      </c>
      <c r="MF8" s="21">
        <v>0</v>
      </c>
      <c r="MG8" s="21">
        <v>0</v>
      </c>
      <c r="MH8" s="21">
        <v>0</v>
      </c>
      <c r="MI8" s="21">
        <v>0</v>
      </c>
      <c r="MJ8" s="21">
        <v>0</v>
      </c>
      <c r="MK8" s="21">
        <v>0</v>
      </c>
      <c r="ML8" s="21">
        <v>0</v>
      </c>
      <c r="MM8" s="21">
        <v>0</v>
      </c>
      <c r="MN8" s="21">
        <v>0</v>
      </c>
      <c r="MO8" s="21">
        <v>0</v>
      </c>
      <c r="MP8" s="21">
        <v>0</v>
      </c>
      <c r="MQ8" s="21">
        <v>0</v>
      </c>
      <c r="MR8" s="21">
        <v>0</v>
      </c>
      <c r="MS8" s="21">
        <v>0</v>
      </c>
      <c r="MT8" s="21">
        <v>0</v>
      </c>
      <c r="MU8" s="21">
        <v>0</v>
      </c>
      <c r="MV8" s="21">
        <v>0</v>
      </c>
      <c r="MW8" s="21">
        <v>0</v>
      </c>
      <c r="MX8" s="21">
        <v>0</v>
      </c>
      <c r="MY8" s="21">
        <v>0</v>
      </c>
      <c r="MZ8" s="21">
        <v>0</v>
      </c>
    </row>
    <row r="9" spans="1:364" s="78" customFormat="1" x14ac:dyDescent="0.2">
      <c r="A9" s="7">
        <v>7</v>
      </c>
      <c r="B9" s="16" t="s">
        <v>553</v>
      </c>
      <c r="C9" s="74">
        <v>6</v>
      </c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11.548933999999999</v>
      </c>
      <c r="K9" s="21">
        <v>11.548933999999999</v>
      </c>
      <c r="L9" s="21">
        <v>11.548933999999999</v>
      </c>
      <c r="M9" s="21">
        <v>11.548933999999999</v>
      </c>
      <c r="N9" s="21">
        <v>11.548933999999999</v>
      </c>
      <c r="O9" s="21">
        <v>11.548933999999999</v>
      </c>
      <c r="P9" s="21">
        <v>11.548933999999999</v>
      </c>
      <c r="Q9" s="21">
        <v>11.548933999999999</v>
      </c>
      <c r="R9" s="21">
        <v>11.548933999999999</v>
      </c>
      <c r="S9" s="21">
        <v>11.548933999999999</v>
      </c>
      <c r="T9" s="21">
        <v>11.548933999999999</v>
      </c>
      <c r="U9" s="21">
        <v>11.548933999999999</v>
      </c>
      <c r="V9" s="21">
        <v>11.548933999999999</v>
      </c>
      <c r="W9" s="21">
        <v>11.548933999999999</v>
      </c>
      <c r="X9" s="21">
        <v>11.548933999999999</v>
      </c>
      <c r="Y9" s="21">
        <v>11.548933999999999</v>
      </c>
      <c r="Z9" s="21">
        <v>11.548933999999999</v>
      </c>
      <c r="AA9" s="21">
        <v>11.548933999999999</v>
      </c>
      <c r="AB9" s="21">
        <v>11.548933999999999</v>
      </c>
      <c r="AC9" s="21">
        <v>11.548933999999999</v>
      </c>
      <c r="AD9" s="21">
        <v>11.548933999999999</v>
      </c>
      <c r="AE9" s="21">
        <v>11.548933999999999</v>
      </c>
      <c r="AF9" s="21">
        <v>11.548933999999999</v>
      </c>
      <c r="AG9" s="21">
        <v>11.548933999999999</v>
      </c>
      <c r="AH9" s="21">
        <v>11.548933999999999</v>
      </c>
      <c r="AI9" s="21">
        <v>11.548933999999999</v>
      </c>
      <c r="AJ9" s="21">
        <v>11.548933999999999</v>
      </c>
      <c r="AK9" s="21">
        <v>11.548933999999999</v>
      </c>
      <c r="AL9" s="21">
        <v>11.548933999999999</v>
      </c>
      <c r="AM9" s="21">
        <v>11.548933999999999</v>
      </c>
      <c r="AN9" s="21">
        <v>11.548933999999999</v>
      </c>
      <c r="AO9" s="21">
        <v>11.548933999999999</v>
      </c>
      <c r="AP9" s="21">
        <v>11.548933999999999</v>
      </c>
      <c r="AQ9" s="21">
        <v>11.548933999999999</v>
      </c>
      <c r="AR9" s="21">
        <v>11.548933999999999</v>
      </c>
      <c r="AS9" s="21">
        <v>11.548933999999999</v>
      </c>
      <c r="AT9" s="21">
        <v>11.548933999999999</v>
      </c>
      <c r="AU9" s="21">
        <v>11.548933999999999</v>
      </c>
      <c r="AV9" s="21">
        <v>11.548933999999999</v>
      </c>
      <c r="AW9" s="21">
        <v>11.548933999999999</v>
      </c>
      <c r="AX9" s="21">
        <v>11.548933999999999</v>
      </c>
      <c r="AY9" s="21">
        <v>11.548933999999999</v>
      </c>
      <c r="AZ9" s="21">
        <v>11.548933999999999</v>
      </c>
      <c r="BA9" s="21">
        <v>11.548933999999999</v>
      </c>
      <c r="BB9" s="21">
        <v>11.548933999999999</v>
      </c>
      <c r="BC9" s="21">
        <v>11.548933999999999</v>
      </c>
      <c r="BD9" s="21">
        <v>11.548933999999999</v>
      </c>
      <c r="BE9" s="21">
        <v>11.548933999999999</v>
      </c>
      <c r="BF9" s="21">
        <v>11.548933999999999</v>
      </c>
      <c r="BG9" s="21">
        <v>11.548933999999999</v>
      </c>
      <c r="BH9" s="21">
        <v>11.548933999999999</v>
      </c>
      <c r="BI9" s="21">
        <v>11.548933999999999</v>
      </c>
      <c r="BJ9" s="21">
        <v>11.548933999999999</v>
      </c>
      <c r="BK9" s="21">
        <v>11.548933999999999</v>
      </c>
      <c r="BL9" s="21">
        <v>11.548933999999999</v>
      </c>
      <c r="BM9" s="21">
        <v>11.548933999999999</v>
      </c>
      <c r="BN9" s="21">
        <v>11.548933999999999</v>
      </c>
      <c r="BO9" s="21">
        <v>11.548933999999999</v>
      </c>
      <c r="BP9" s="21">
        <v>11.548933999999999</v>
      </c>
      <c r="BQ9" s="21">
        <v>11.548933999999999</v>
      </c>
      <c r="BR9" s="21">
        <v>11.548933999999999</v>
      </c>
      <c r="BS9" s="21">
        <v>11.548933999999999</v>
      </c>
      <c r="BT9" s="21">
        <v>11.548933999999999</v>
      </c>
      <c r="BU9" s="21">
        <v>11.548933999999999</v>
      </c>
      <c r="BV9" s="21">
        <v>11.548933999999999</v>
      </c>
      <c r="BW9" s="21">
        <v>11.548933999999999</v>
      </c>
      <c r="BX9" s="21">
        <v>11.548933999999999</v>
      </c>
      <c r="BY9" s="21">
        <v>11.548933999999999</v>
      </c>
      <c r="BZ9" s="21">
        <v>11.548933999999999</v>
      </c>
      <c r="CA9" s="21">
        <v>11.548933999999999</v>
      </c>
      <c r="CB9" s="21">
        <v>11.548933999999999</v>
      </c>
      <c r="CC9" s="21">
        <v>11.548933999999999</v>
      </c>
      <c r="CD9" s="21">
        <v>11.548933999999999</v>
      </c>
      <c r="CE9" s="21">
        <v>11.548933999999999</v>
      </c>
      <c r="CF9" s="21">
        <v>11.548933999999999</v>
      </c>
      <c r="CG9" s="21">
        <v>11.548933999999999</v>
      </c>
      <c r="CH9" s="21">
        <v>11.548933999999999</v>
      </c>
      <c r="CI9" s="21">
        <v>11.548933999999999</v>
      </c>
      <c r="CJ9" s="21">
        <v>11.548933999999999</v>
      </c>
      <c r="CK9" s="21">
        <v>11.548933999999999</v>
      </c>
      <c r="CL9" s="21">
        <v>11.548933999999999</v>
      </c>
      <c r="CM9" s="21">
        <v>11.548933999999999</v>
      </c>
      <c r="CN9" s="21">
        <v>11.548933999999999</v>
      </c>
      <c r="CO9" s="21">
        <v>11.548933999999999</v>
      </c>
      <c r="CP9" s="21">
        <v>11.548933999999999</v>
      </c>
      <c r="CQ9" s="21">
        <v>11.548933999999999</v>
      </c>
      <c r="CR9" s="21">
        <v>11.548933999999999</v>
      </c>
      <c r="CS9" s="21">
        <v>11.548933999999999</v>
      </c>
      <c r="CT9" s="21">
        <v>11.548933999999999</v>
      </c>
      <c r="CU9" s="21">
        <v>11.548933999999999</v>
      </c>
      <c r="CV9" s="21">
        <v>11.548933999999999</v>
      </c>
      <c r="CW9" s="21">
        <v>11.548933999999999</v>
      </c>
      <c r="CX9" s="21">
        <v>11.548933999999999</v>
      </c>
      <c r="CY9" s="21">
        <v>11.548933999999999</v>
      </c>
      <c r="CZ9" s="21">
        <v>11.548933999999999</v>
      </c>
      <c r="DA9" s="21">
        <v>11.548933999999999</v>
      </c>
      <c r="DB9" s="21">
        <v>11.548933999999999</v>
      </c>
      <c r="DC9" s="21">
        <v>11.548933999999999</v>
      </c>
      <c r="DD9" s="21">
        <v>11.548933999999999</v>
      </c>
      <c r="DE9" s="21">
        <v>11.548933999999999</v>
      </c>
      <c r="DF9" s="21">
        <v>11.548933999999999</v>
      </c>
      <c r="DG9" s="21">
        <v>11.548933999999999</v>
      </c>
      <c r="DH9" s="21">
        <v>11.548933999999999</v>
      </c>
      <c r="DI9" s="21">
        <v>11.548933999999999</v>
      </c>
      <c r="DJ9" s="21">
        <v>11.548933999999999</v>
      </c>
      <c r="DK9" s="21">
        <v>11.548933999999999</v>
      </c>
      <c r="DL9" s="21">
        <v>11.548933999999999</v>
      </c>
      <c r="DM9" s="21">
        <v>11.548933999999999</v>
      </c>
      <c r="DN9" s="21">
        <v>11.548933999999999</v>
      </c>
      <c r="DO9" s="21">
        <v>11.548933999999999</v>
      </c>
      <c r="DP9" s="21">
        <v>11.548933999999999</v>
      </c>
      <c r="DQ9" s="21">
        <v>11.548933999999999</v>
      </c>
      <c r="DR9" s="21">
        <v>11.548933999999999</v>
      </c>
      <c r="DS9" s="21">
        <v>11.548933999999999</v>
      </c>
      <c r="DT9" s="21">
        <v>11.548933999999999</v>
      </c>
      <c r="DU9" s="21">
        <v>11.548933999999999</v>
      </c>
      <c r="DV9" s="21">
        <v>11.548933999999999</v>
      </c>
      <c r="DW9" s="21">
        <v>11.548933999999999</v>
      </c>
      <c r="DX9" s="21">
        <v>11.548933999999999</v>
      </c>
      <c r="DY9" s="21">
        <v>11.548933999999999</v>
      </c>
      <c r="DZ9" s="21">
        <v>11.548933999999999</v>
      </c>
      <c r="EA9" s="21">
        <v>11.548933999999999</v>
      </c>
      <c r="EB9" s="21">
        <v>11.548933999999999</v>
      </c>
      <c r="EC9" s="21">
        <v>11.548933999999999</v>
      </c>
      <c r="ED9" s="21">
        <v>11.548933999999999</v>
      </c>
      <c r="EE9" s="21">
        <v>11.548933999999999</v>
      </c>
      <c r="EF9" s="21">
        <v>11.548933999999999</v>
      </c>
      <c r="EG9" s="21">
        <v>11.548933999999999</v>
      </c>
      <c r="EH9" s="21">
        <v>11.548933999999999</v>
      </c>
      <c r="EI9" s="21">
        <v>11.548933999999999</v>
      </c>
      <c r="EJ9" s="21">
        <v>11.548933999999999</v>
      </c>
      <c r="EK9" s="21">
        <v>11.548933999999999</v>
      </c>
      <c r="EL9" s="21">
        <v>11.548933999999999</v>
      </c>
      <c r="EM9" s="21">
        <v>11.548933999999999</v>
      </c>
      <c r="EN9" s="21">
        <v>11.548933999999999</v>
      </c>
      <c r="EO9" s="21">
        <v>11.548933999999999</v>
      </c>
      <c r="EP9" s="21">
        <v>11.548933999999999</v>
      </c>
      <c r="EQ9" s="21">
        <v>11.548933999999999</v>
      </c>
      <c r="ER9" s="21">
        <v>11.548933999999999</v>
      </c>
      <c r="ES9" s="21">
        <v>11.548933999999999</v>
      </c>
      <c r="ET9" s="21">
        <v>11.548933999999999</v>
      </c>
      <c r="EU9" s="21">
        <v>11.548933999999999</v>
      </c>
      <c r="EV9" s="21">
        <v>11.548933999999999</v>
      </c>
      <c r="EW9" s="21">
        <v>11.548933999999999</v>
      </c>
      <c r="EX9" s="21">
        <v>11.548933999999999</v>
      </c>
      <c r="EY9" s="21">
        <v>11.548933999999999</v>
      </c>
      <c r="EZ9" s="21">
        <v>11.548933999999999</v>
      </c>
      <c r="FA9" s="21">
        <v>11.548933999999999</v>
      </c>
      <c r="FB9" s="21">
        <v>11.548933999999999</v>
      </c>
      <c r="FC9" s="21">
        <v>11.548933999999999</v>
      </c>
      <c r="FD9" s="21">
        <v>11.548933999999999</v>
      </c>
      <c r="FE9" s="21">
        <v>11.548933999999999</v>
      </c>
      <c r="FF9" s="21">
        <v>11.548933999999999</v>
      </c>
      <c r="FG9" s="21">
        <v>11.548933999999999</v>
      </c>
      <c r="FH9" s="21">
        <v>11.548933999999999</v>
      </c>
      <c r="FI9" s="21">
        <v>11.548933999999999</v>
      </c>
      <c r="FJ9" s="21">
        <v>11.548933999999999</v>
      </c>
      <c r="FK9" s="21">
        <v>11.548933999999999</v>
      </c>
      <c r="FL9" s="21">
        <v>11.548933999999999</v>
      </c>
      <c r="FM9" s="21">
        <v>11.548933999999999</v>
      </c>
      <c r="FN9" s="21">
        <v>11.548933999999999</v>
      </c>
      <c r="FO9" s="21">
        <v>11.548933999999999</v>
      </c>
      <c r="FP9" s="21">
        <v>11.548933999999999</v>
      </c>
      <c r="FQ9" s="21">
        <v>11.548933999999999</v>
      </c>
      <c r="FR9" s="21">
        <v>11.548933999999999</v>
      </c>
      <c r="FS9" s="21">
        <v>11.548933999999999</v>
      </c>
      <c r="FT9" s="21">
        <v>11.548933999999999</v>
      </c>
      <c r="FU9" s="21">
        <v>11.548933999999999</v>
      </c>
      <c r="FV9" s="21">
        <v>11.548933999999999</v>
      </c>
      <c r="FW9" s="21">
        <v>11.548933999999999</v>
      </c>
      <c r="FX9" s="21">
        <v>11.548933999999999</v>
      </c>
      <c r="FY9" s="21">
        <v>11.548933999999999</v>
      </c>
      <c r="FZ9" s="21">
        <v>11.548933999999999</v>
      </c>
      <c r="GA9" s="21">
        <v>11.548933999999999</v>
      </c>
      <c r="GB9" s="21">
        <v>11.548933999999999</v>
      </c>
      <c r="GC9" s="21">
        <v>11.548933999999999</v>
      </c>
      <c r="GD9" s="21">
        <v>11.548933999999999</v>
      </c>
      <c r="GE9" s="21">
        <v>11.548933999999999</v>
      </c>
      <c r="GF9" s="21">
        <v>11.548933999999999</v>
      </c>
      <c r="GG9" s="21">
        <v>11.548933999999999</v>
      </c>
      <c r="GH9" s="21">
        <v>11.548933999999999</v>
      </c>
      <c r="GI9" s="21">
        <v>11.548933999999999</v>
      </c>
      <c r="GJ9" s="21">
        <v>11.548933999999999</v>
      </c>
      <c r="GK9" s="21">
        <v>11.548933999999999</v>
      </c>
      <c r="GL9" s="21">
        <v>11.548933999999999</v>
      </c>
      <c r="GM9" s="21">
        <v>11.548933999999999</v>
      </c>
      <c r="GN9" s="21">
        <v>11.548933999999999</v>
      </c>
      <c r="GO9" s="21">
        <v>11.548933999999999</v>
      </c>
      <c r="GP9" s="21">
        <v>11.548933999999999</v>
      </c>
      <c r="GQ9" s="21">
        <v>11.548933999999999</v>
      </c>
      <c r="GR9" s="21">
        <v>11.548933999999999</v>
      </c>
      <c r="GS9" s="21">
        <v>11.548933999999999</v>
      </c>
      <c r="GT9" s="21">
        <v>11.548933999999999</v>
      </c>
      <c r="GU9" s="21">
        <v>11.548933999999999</v>
      </c>
      <c r="GV9" s="21">
        <v>11.548933999999999</v>
      </c>
      <c r="GW9" s="21">
        <v>11.548933999999999</v>
      </c>
      <c r="GX9" s="21">
        <v>11.548933999999999</v>
      </c>
      <c r="GY9" s="21">
        <v>11.548933999999999</v>
      </c>
      <c r="GZ9" s="21">
        <v>11.548933999999999</v>
      </c>
      <c r="HA9" s="21">
        <v>11.548933999999999</v>
      </c>
      <c r="HB9" s="21">
        <v>11.548933999999999</v>
      </c>
      <c r="HC9" s="21">
        <v>11.548933999999999</v>
      </c>
      <c r="HD9" s="21">
        <v>11.548933999999999</v>
      </c>
      <c r="HE9" s="21">
        <v>11.548933999999999</v>
      </c>
      <c r="HF9" s="21">
        <v>11.548933999999999</v>
      </c>
      <c r="HG9" s="21">
        <v>11.548933999999999</v>
      </c>
      <c r="HH9" s="21">
        <v>11.548933999999999</v>
      </c>
      <c r="HI9" s="21">
        <v>11.548933999999999</v>
      </c>
      <c r="HJ9" s="21">
        <v>11.548933999999999</v>
      </c>
      <c r="HK9" s="21">
        <v>11.548933999999999</v>
      </c>
      <c r="HL9" s="21">
        <v>11.548933999999999</v>
      </c>
      <c r="HM9" s="21">
        <v>11.548933999999999</v>
      </c>
      <c r="HN9" s="21">
        <v>11.548933999999999</v>
      </c>
      <c r="HO9" s="21">
        <v>11.548933999999999</v>
      </c>
      <c r="HP9" s="21">
        <v>11.548933999999999</v>
      </c>
      <c r="HQ9" s="21">
        <v>11.548933999999999</v>
      </c>
      <c r="HR9" s="21">
        <v>11.548933999999999</v>
      </c>
      <c r="HS9" s="21">
        <v>11.548933999999999</v>
      </c>
      <c r="HT9" s="21">
        <v>11.548933999999999</v>
      </c>
      <c r="HU9" s="21">
        <v>11.548933999999999</v>
      </c>
      <c r="HV9" s="21">
        <v>11.548933999999999</v>
      </c>
      <c r="HW9" s="21">
        <v>11.548933999999999</v>
      </c>
      <c r="HX9" s="21">
        <v>11.548933999999999</v>
      </c>
      <c r="HY9" s="21">
        <v>11.548933999999999</v>
      </c>
      <c r="HZ9" s="21">
        <v>11.548933999999999</v>
      </c>
      <c r="IA9" s="21">
        <v>11.548933999999999</v>
      </c>
      <c r="IB9" s="21">
        <v>11.548933999999999</v>
      </c>
      <c r="IC9" s="21">
        <v>11.548933999999999</v>
      </c>
      <c r="ID9" s="21">
        <v>11.548933999999999</v>
      </c>
      <c r="IE9" s="21">
        <v>11.548933999999999</v>
      </c>
      <c r="IF9" s="21">
        <v>11.548933999999999</v>
      </c>
      <c r="IG9" s="21">
        <v>11.548933999999999</v>
      </c>
      <c r="IH9" s="21">
        <v>11.548933999999999</v>
      </c>
      <c r="II9" s="21">
        <v>11.548933999999999</v>
      </c>
      <c r="IJ9" s="21">
        <v>11.548933999999999</v>
      </c>
      <c r="IK9" s="21">
        <v>11.548933999999999</v>
      </c>
      <c r="IL9" s="21">
        <v>11.548933999999999</v>
      </c>
      <c r="IM9" s="21">
        <v>11.548933999999999</v>
      </c>
      <c r="IN9" s="21">
        <v>11.548933999999999</v>
      </c>
      <c r="IO9" s="21">
        <v>11.548933999999999</v>
      </c>
      <c r="IP9" s="21">
        <v>11.548933999999999</v>
      </c>
      <c r="IQ9" s="21">
        <v>11.548933999999999</v>
      </c>
      <c r="IR9" s="21">
        <v>11.548933999999999</v>
      </c>
      <c r="IS9" s="21">
        <v>11.548933999999999</v>
      </c>
      <c r="IT9" s="21">
        <v>11.548933999999999</v>
      </c>
      <c r="IU9" s="21">
        <v>11.548933999999999</v>
      </c>
      <c r="IV9" s="21">
        <v>11.548933999999999</v>
      </c>
      <c r="IW9" s="21">
        <v>11.548933999999999</v>
      </c>
      <c r="IX9" s="21">
        <v>11.548933999999999</v>
      </c>
      <c r="IY9" s="21">
        <v>11.548933999999999</v>
      </c>
      <c r="IZ9" s="21">
        <v>11.548933999999999</v>
      </c>
      <c r="JA9" s="21">
        <v>11.548933999999999</v>
      </c>
      <c r="JB9" s="21">
        <v>11.548933999999999</v>
      </c>
      <c r="JC9" s="21">
        <v>11.548933999999999</v>
      </c>
      <c r="JD9" s="21">
        <v>11.548933999999999</v>
      </c>
      <c r="JE9" s="21">
        <v>11.548933999999999</v>
      </c>
      <c r="JF9" s="21">
        <v>11.548933999999999</v>
      </c>
      <c r="JG9" s="21">
        <v>11.548933999999999</v>
      </c>
      <c r="JH9" s="21">
        <v>11.548933999999999</v>
      </c>
      <c r="JI9" s="21">
        <v>11.548933999999999</v>
      </c>
      <c r="JJ9" s="21">
        <v>11.548933999999999</v>
      </c>
      <c r="JK9" s="21">
        <v>11.548933999999999</v>
      </c>
      <c r="JL9" s="21">
        <v>11.548933999999999</v>
      </c>
      <c r="JM9" s="21">
        <v>11.548933999999999</v>
      </c>
      <c r="JN9" s="21">
        <v>11.548933999999999</v>
      </c>
      <c r="JO9" s="21">
        <v>11.548933999999999</v>
      </c>
      <c r="JP9" s="21">
        <v>11.548933999999999</v>
      </c>
      <c r="JQ9" s="21">
        <v>11.548933999999999</v>
      </c>
      <c r="JR9" s="21">
        <v>11.548933999999999</v>
      </c>
      <c r="JS9" s="21">
        <v>11.548933999999999</v>
      </c>
      <c r="JT9" s="21">
        <v>11.548933999999999</v>
      </c>
      <c r="JU9" s="21">
        <v>11.548933999999999</v>
      </c>
      <c r="JV9" s="21">
        <v>11.548933999999999</v>
      </c>
      <c r="JW9" s="21">
        <v>11.548933999999999</v>
      </c>
      <c r="JX9" s="21">
        <v>11.548933999999999</v>
      </c>
      <c r="JY9" s="21">
        <v>11.548933999999999</v>
      </c>
      <c r="JZ9" s="21">
        <v>11.548933999999999</v>
      </c>
      <c r="KA9" s="21">
        <v>11.548933999999999</v>
      </c>
      <c r="KB9" s="21">
        <v>11.548933999999999</v>
      </c>
      <c r="KC9" s="21">
        <v>11.548933999999999</v>
      </c>
      <c r="KD9" s="21">
        <v>11.548933999999999</v>
      </c>
      <c r="KE9" s="21">
        <v>11.548933999999999</v>
      </c>
      <c r="KF9" s="21">
        <v>11.548933999999999</v>
      </c>
      <c r="KG9" s="21">
        <v>11.548933999999999</v>
      </c>
      <c r="KH9" s="21">
        <v>11.548933999999999</v>
      </c>
      <c r="KI9" s="21">
        <v>11.548933999999999</v>
      </c>
      <c r="KJ9" s="21">
        <v>11.548933999999999</v>
      </c>
      <c r="KK9" s="21">
        <v>11.548933999999999</v>
      </c>
      <c r="KL9" s="21">
        <v>11.548933999999999</v>
      </c>
      <c r="KM9" s="21">
        <v>11.548933999999999</v>
      </c>
      <c r="KN9" s="21">
        <v>11.548933999999999</v>
      </c>
      <c r="KO9" s="21">
        <v>11.548933999999999</v>
      </c>
      <c r="KP9" s="21">
        <v>11.548933999999999</v>
      </c>
      <c r="KQ9" s="21">
        <v>11.548933999999999</v>
      </c>
      <c r="KR9" s="21">
        <v>11.548933999999999</v>
      </c>
      <c r="KS9" s="21">
        <v>11.548933999999999</v>
      </c>
      <c r="KT9" s="21">
        <v>11.548933999999999</v>
      </c>
      <c r="KU9" s="21">
        <v>11.548933999999999</v>
      </c>
      <c r="KV9" s="21">
        <v>11.548933999999999</v>
      </c>
      <c r="KW9" s="21">
        <v>11.548933999999999</v>
      </c>
      <c r="KX9" s="21">
        <v>11.548933999999999</v>
      </c>
      <c r="KY9" s="21">
        <v>11.548933999999999</v>
      </c>
      <c r="KZ9" s="21">
        <v>11.548933999999999</v>
      </c>
      <c r="LA9" s="21">
        <v>11.548933999999999</v>
      </c>
      <c r="LB9" s="21">
        <v>11.548933999999999</v>
      </c>
      <c r="LC9" s="21">
        <v>11.548933999999999</v>
      </c>
      <c r="LD9" s="21">
        <v>11.548933999999999</v>
      </c>
      <c r="LE9" s="21">
        <v>11.548933999999999</v>
      </c>
      <c r="LF9" s="21">
        <v>11.548933999999999</v>
      </c>
      <c r="LG9" s="21">
        <v>11.548933999999999</v>
      </c>
      <c r="LH9" s="21">
        <v>11.548933999999999</v>
      </c>
      <c r="LI9" s="21">
        <v>11.548933999999999</v>
      </c>
      <c r="LJ9" s="21">
        <v>11.548933999999999</v>
      </c>
      <c r="LK9" s="21">
        <v>11.548933999999999</v>
      </c>
      <c r="LL9" s="21">
        <v>11.548933999999999</v>
      </c>
      <c r="LM9" s="21">
        <v>11.548933999999999</v>
      </c>
      <c r="LN9" s="21">
        <v>11.548933999999999</v>
      </c>
      <c r="LO9" s="21">
        <v>11.548933999999999</v>
      </c>
      <c r="LP9" s="21">
        <v>11.548933999999999</v>
      </c>
      <c r="LQ9" s="21">
        <v>11.548933999999999</v>
      </c>
      <c r="LR9" s="21">
        <v>11.548933999999999</v>
      </c>
      <c r="LS9" s="21">
        <v>11.548933999999999</v>
      </c>
      <c r="LT9" s="21">
        <v>11.548933999999999</v>
      </c>
      <c r="LU9" s="21">
        <v>11.548933999999999</v>
      </c>
      <c r="LV9" s="21">
        <v>11.548933999999999</v>
      </c>
      <c r="LW9" s="21">
        <v>11.548933999999999</v>
      </c>
      <c r="LX9" s="21">
        <v>11.548933999999999</v>
      </c>
      <c r="LY9" s="21">
        <v>11.548933999999999</v>
      </c>
      <c r="LZ9" s="21">
        <v>11.548933999999999</v>
      </c>
      <c r="MA9" s="21">
        <v>11.548933999999999</v>
      </c>
      <c r="MB9" s="21">
        <v>11.548933999999999</v>
      </c>
      <c r="MC9" s="21">
        <v>11.548933999999999</v>
      </c>
      <c r="MD9" s="21">
        <v>11.548933999999999</v>
      </c>
      <c r="ME9" s="21">
        <v>11.548933999999999</v>
      </c>
      <c r="MF9" s="21">
        <v>11.548933999999999</v>
      </c>
      <c r="MG9" s="21">
        <v>11.548933999999999</v>
      </c>
      <c r="MH9" s="21">
        <v>11.548933999999999</v>
      </c>
      <c r="MI9" s="21">
        <v>11.548933999999999</v>
      </c>
      <c r="MJ9" s="21">
        <v>11.548933999999999</v>
      </c>
      <c r="MK9" s="21">
        <v>11.548933999999999</v>
      </c>
      <c r="ML9" s="21">
        <v>11.548933999999999</v>
      </c>
      <c r="MM9" s="21">
        <v>11.548933999999999</v>
      </c>
      <c r="MN9" s="21">
        <v>11.548933999999999</v>
      </c>
      <c r="MO9" s="21">
        <v>11.548933999999999</v>
      </c>
      <c r="MP9" s="21">
        <v>11.548933999999999</v>
      </c>
      <c r="MQ9" s="21">
        <v>11.548933999999999</v>
      </c>
      <c r="MR9" s="21">
        <v>11.548933999999999</v>
      </c>
      <c r="MS9" s="21">
        <v>11.548933999999999</v>
      </c>
      <c r="MT9" s="21">
        <v>11.548933999999999</v>
      </c>
      <c r="MU9" s="21">
        <v>11.548933999999999</v>
      </c>
      <c r="MV9" s="21">
        <v>11.548933999999999</v>
      </c>
      <c r="MW9" s="21">
        <v>11.548933999999999</v>
      </c>
      <c r="MX9" s="21">
        <v>11.548933999999999</v>
      </c>
      <c r="MY9" s="21">
        <v>11.548933999999999</v>
      </c>
      <c r="MZ9" s="21">
        <v>11.855556999999999</v>
      </c>
    </row>
    <row r="10" spans="1:364" s="78" customFormat="1" x14ac:dyDescent="0.2">
      <c r="A10" s="7">
        <v>8</v>
      </c>
      <c r="B10" s="16" t="s">
        <v>559</v>
      </c>
      <c r="C10" s="74">
        <v>6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5.5328809999999997</v>
      </c>
      <c r="K10" s="21">
        <v>5.5328809999999997</v>
      </c>
      <c r="L10" s="21">
        <v>5.5328809999999997</v>
      </c>
      <c r="M10" s="21">
        <v>5.5328809999999997</v>
      </c>
      <c r="N10" s="21">
        <v>5.5328809999999997</v>
      </c>
      <c r="O10" s="21">
        <v>5.5328809999999997</v>
      </c>
      <c r="P10" s="21">
        <v>5.5328809999999997</v>
      </c>
      <c r="Q10" s="21">
        <v>5.5328809999999997</v>
      </c>
      <c r="R10" s="21">
        <v>5.5328809999999997</v>
      </c>
      <c r="S10" s="21">
        <v>5.5328809999999997</v>
      </c>
      <c r="T10" s="21">
        <v>5.5328809999999997</v>
      </c>
      <c r="U10" s="21">
        <v>5.5328809999999997</v>
      </c>
      <c r="V10" s="21">
        <v>5.5328809999999997</v>
      </c>
      <c r="W10" s="21">
        <v>5.5328809999999997</v>
      </c>
      <c r="X10" s="21">
        <v>5.5328809999999997</v>
      </c>
      <c r="Y10" s="21">
        <v>5.5328809999999997</v>
      </c>
      <c r="Z10" s="21">
        <v>5.5328809999999997</v>
      </c>
      <c r="AA10" s="21">
        <v>5.5328809999999997</v>
      </c>
      <c r="AB10" s="21">
        <v>5.5328809999999997</v>
      </c>
      <c r="AC10" s="21">
        <v>5.5328809999999997</v>
      </c>
      <c r="AD10" s="21">
        <v>5.5328809999999997</v>
      </c>
      <c r="AE10" s="21">
        <v>5.5328809999999997</v>
      </c>
      <c r="AF10" s="21">
        <v>5.5328809999999997</v>
      </c>
      <c r="AG10" s="21">
        <v>5.5328809999999997</v>
      </c>
      <c r="AH10" s="21">
        <v>5.5328809999999997</v>
      </c>
      <c r="AI10" s="21">
        <v>5.5328809999999997</v>
      </c>
      <c r="AJ10" s="21">
        <v>5.5328809999999997</v>
      </c>
      <c r="AK10" s="21">
        <v>5.5328809999999997</v>
      </c>
      <c r="AL10" s="21">
        <v>5.5328809999999997</v>
      </c>
      <c r="AM10" s="21">
        <v>5.5328809999999997</v>
      </c>
      <c r="AN10" s="21">
        <v>5.5328809999999997</v>
      </c>
      <c r="AO10" s="21">
        <v>5.5328809999999997</v>
      </c>
      <c r="AP10" s="21">
        <v>5.5328809999999997</v>
      </c>
      <c r="AQ10" s="21">
        <v>5.5328809999999997</v>
      </c>
      <c r="AR10" s="21">
        <v>5.5328809999999997</v>
      </c>
      <c r="AS10" s="21">
        <v>5.5328809999999997</v>
      </c>
      <c r="AT10" s="21">
        <v>5.5328809999999997</v>
      </c>
      <c r="AU10" s="21">
        <v>5.5328809999999997</v>
      </c>
      <c r="AV10" s="21">
        <v>5.5328809999999997</v>
      </c>
      <c r="AW10" s="21">
        <v>5.5328809999999997</v>
      </c>
      <c r="AX10" s="21">
        <v>5.5328809999999997</v>
      </c>
      <c r="AY10" s="21">
        <v>5.5328809999999997</v>
      </c>
      <c r="AZ10" s="21">
        <v>5.5328809999999997</v>
      </c>
      <c r="BA10" s="21">
        <v>5.5328809999999997</v>
      </c>
      <c r="BB10" s="21">
        <v>5.5328809999999997</v>
      </c>
      <c r="BC10" s="21">
        <v>5.5328809999999997</v>
      </c>
      <c r="BD10" s="21">
        <v>5.5328809999999997</v>
      </c>
      <c r="BE10" s="21">
        <v>5.5328809999999997</v>
      </c>
      <c r="BF10" s="21">
        <v>5.5328809999999997</v>
      </c>
      <c r="BG10" s="21">
        <v>5.5328809999999997</v>
      </c>
      <c r="BH10" s="21">
        <v>5.5328809999999997</v>
      </c>
      <c r="BI10" s="21">
        <v>5.5328809999999997</v>
      </c>
      <c r="BJ10" s="21">
        <v>5.5328809999999997</v>
      </c>
      <c r="BK10" s="21">
        <v>5.5328809999999997</v>
      </c>
      <c r="BL10" s="21">
        <v>5.5328809999999997</v>
      </c>
      <c r="BM10" s="21">
        <v>5.5328809999999997</v>
      </c>
      <c r="BN10" s="21">
        <v>5.5328809999999997</v>
      </c>
      <c r="BO10" s="21">
        <v>5.5328809999999997</v>
      </c>
      <c r="BP10" s="21">
        <v>5.5328809999999997</v>
      </c>
      <c r="BQ10" s="21">
        <v>5.5328809999999997</v>
      </c>
      <c r="BR10" s="21">
        <v>5.5328809999999997</v>
      </c>
      <c r="BS10" s="21">
        <v>5.5328809999999997</v>
      </c>
      <c r="BT10" s="21">
        <v>5.5328809999999997</v>
      </c>
      <c r="BU10" s="21">
        <v>5.5328809999999997</v>
      </c>
      <c r="BV10" s="21">
        <v>5.5328809999999997</v>
      </c>
      <c r="BW10" s="21">
        <v>5.5328809999999997</v>
      </c>
      <c r="BX10" s="21">
        <v>5.5328809999999997</v>
      </c>
      <c r="BY10" s="21">
        <v>5.5328809999999997</v>
      </c>
      <c r="BZ10" s="21">
        <v>5.5328809999999997</v>
      </c>
      <c r="CA10" s="21">
        <v>5.5328809999999997</v>
      </c>
      <c r="CB10" s="21">
        <v>5.5328809999999997</v>
      </c>
      <c r="CC10" s="21">
        <v>5.5328809999999997</v>
      </c>
      <c r="CD10" s="21">
        <v>5.5328809999999997</v>
      </c>
      <c r="CE10" s="21">
        <v>5.5328809999999997</v>
      </c>
      <c r="CF10" s="21">
        <v>5.5328809999999997</v>
      </c>
      <c r="CG10" s="21">
        <v>5.5328809999999997</v>
      </c>
      <c r="CH10" s="21">
        <v>5.5328809999999997</v>
      </c>
      <c r="CI10" s="21">
        <v>5.5328809999999997</v>
      </c>
      <c r="CJ10" s="21">
        <v>5.5328809999999997</v>
      </c>
      <c r="CK10" s="21">
        <v>5.5328809999999997</v>
      </c>
      <c r="CL10" s="21">
        <v>5.5328809999999997</v>
      </c>
      <c r="CM10" s="21">
        <v>5.5328809999999997</v>
      </c>
      <c r="CN10" s="21">
        <v>5.5328809999999997</v>
      </c>
      <c r="CO10" s="21">
        <v>5.5328809999999997</v>
      </c>
      <c r="CP10" s="21">
        <v>5.5328809999999997</v>
      </c>
      <c r="CQ10" s="21">
        <v>5.5328809999999997</v>
      </c>
      <c r="CR10" s="21">
        <v>5.5328809999999997</v>
      </c>
      <c r="CS10" s="21">
        <v>5.5328809999999997</v>
      </c>
      <c r="CT10" s="21">
        <v>5.5328809999999997</v>
      </c>
      <c r="CU10" s="21">
        <v>5.5328809999999997</v>
      </c>
      <c r="CV10" s="21">
        <v>5.5328809999999997</v>
      </c>
      <c r="CW10" s="21">
        <v>5.5328809999999997</v>
      </c>
      <c r="CX10" s="21">
        <v>5.5328809999999997</v>
      </c>
      <c r="CY10" s="21">
        <v>5.5328809999999997</v>
      </c>
      <c r="CZ10" s="21">
        <v>5.5328809999999997</v>
      </c>
      <c r="DA10" s="21">
        <v>5.5328809999999997</v>
      </c>
      <c r="DB10" s="21">
        <v>5.5328809999999997</v>
      </c>
      <c r="DC10" s="21">
        <v>5.5328809999999997</v>
      </c>
      <c r="DD10" s="21">
        <v>5.5328809999999997</v>
      </c>
      <c r="DE10" s="21">
        <v>5.5328809999999997</v>
      </c>
      <c r="DF10" s="21">
        <v>5.5328809999999997</v>
      </c>
      <c r="DG10" s="21">
        <v>5.5328809999999997</v>
      </c>
      <c r="DH10" s="21">
        <v>5.5328809999999997</v>
      </c>
      <c r="DI10" s="21">
        <v>5.5328809999999997</v>
      </c>
      <c r="DJ10" s="21">
        <v>5.5328809999999997</v>
      </c>
      <c r="DK10" s="21">
        <v>5.5328809999999997</v>
      </c>
      <c r="DL10" s="21">
        <v>5.5328809999999997</v>
      </c>
      <c r="DM10" s="21">
        <v>5.5328809999999997</v>
      </c>
      <c r="DN10" s="21">
        <v>5.5328809999999997</v>
      </c>
      <c r="DO10" s="21">
        <v>5.5328809999999997</v>
      </c>
      <c r="DP10" s="21">
        <v>5.5328809999999997</v>
      </c>
      <c r="DQ10" s="21">
        <v>5.5328809999999997</v>
      </c>
      <c r="DR10" s="21">
        <v>5.5328809999999997</v>
      </c>
      <c r="DS10" s="21">
        <v>5.5328809999999997</v>
      </c>
      <c r="DT10" s="21">
        <v>5.5328809999999997</v>
      </c>
      <c r="DU10" s="21">
        <v>5.5328809999999997</v>
      </c>
      <c r="DV10" s="21">
        <v>5.5328809999999997</v>
      </c>
      <c r="DW10" s="21">
        <v>5.5328809999999997</v>
      </c>
      <c r="DX10" s="21">
        <v>5.5328809999999997</v>
      </c>
      <c r="DY10" s="21">
        <v>5.5328809999999997</v>
      </c>
      <c r="DZ10" s="21">
        <v>5.5328809999999997</v>
      </c>
      <c r="EA10" s="21">
        <v>5.5328809999999997</v>
      </c>
      <c r="EB10" s="21">
        <v>5.5328809999999997</v>
      </c>
      <c r="EC10" s="21">
        <v>5.5328809999999997</v>
      </c>
      <c r="ED10" s="21">
        <v>5.5328809999999997</v>
      </c>
      <c r="EE10" s="21">
        <v>5.5328809999999997</v>
      </c>
      <c r="EF10" s="21">
        <v>5.5328809999999997</v>
      </c>
      <c r="EG10" s="21">
        <v>5.5328809999999997</v>
      </c>
      <c r="EH10" s="21">
        <v>5.5328809999999997</v>
      </c>
      <c r="EI10" s="21">
        <v>5.5328809999999997</v>
      </c>
      <c r="EJ10" s="21">
        <v>5.5328809999999997</v>
      </c>
      <c r="EK10" s="21">
        <v>5.5328809999999997</v>
      </c>
      <c r="EL10" s="21">
        <v>5.5328809999999997</v>
      </c>
      <c r="EM10" s="21">
        <v>5.5328809999999997</v>
      </c>
      <c r="EN10" s="21">
        <v>5.5328809999999997</v>
      </c>
      <c r="EO10" s="21">
        <v>5.5328809999999997</v>
      </c>
      <c r="EP10" s="21">
        <v>5.5328809999999997</v>
      </c>
      <c r="EQ10" s="21">
        <v>5.5328809999999997</v>
      </c>
      <c r="ER10" s="21">
        <v>5.5328809999999997</v>
      </c>
      <c r="ES10" s="21">
        <v>5.5328809999999997</v>
      </c>
      <c r="ET10" s="21">
        <v>5.5328809999999997</v>
      </c>
      <c r="EU10" s="21">
        <v>5.5328809999999997</v>
      </c>
      <c r="EV10" s="21">
        <v>5.5328809999999997</v>
      </c>
      <c r="EW10" s="21">
        <v>5.5328809999999997</v>
      </c>
      <c r="EX10" s="21">
        <v>5.5328809999999997</v>
      </c>
      <c r="EY10" s="21">
        <v>5.5328809999999997</v>
      </c>
      <c r="EZ10" s="21">
        <v>5.5328809999999997</v>
      </c>
      <c r="FA10" s="21">
        <v>5.5328809999999997</v>
      </c>
      <c r="FB10" s="21">
        <v>5.5328809999999997</v>
      </c>
      <c r="FC10" s="21">
        <v>5.5328809999999997</v>
      </c>
      <c r="FD10" s="21">
        <v>5.5328809999999997</v>
      </c>
      <c r="FE10" s="21">
        <v>5.5328809999999997</v>
      </c>
      <c r="FF10" s="21">
        <v>5.5328809999999997</v>
      </c>
      <c r="FG10" s="21">
        <v>5.5328809999999997</v>
      </c>
      <c r="FH10" s="21">
        <v>5.5328809999999997</v>
      </c>
      <c r="FI10" s="21">
        <v>5.5328809999999997</v>
      </c>
      <c r="FJ10" s="21">
        <v>5.5328809999999997</v>
      </c>
      <c r="FK10" s="21">
        <v>5.5328809999999997</v>
      </c>
      <c r="FL10" s="21">
        <v>5.5328809999999997</v>
      </c>
      <c r="FM10" s="21">
        <v>5.5328809999999997</v>
      </c>
      <c r="FN10" s="21">
        <v>5.5328809999999997</v>
      </c>
      <c r="FO10" s="21">
        <v>5.5328809999999997</v>
      </c>
      <c r="FP10" s="21">
        <v>5.5328809999999997</v>
      </c>
      <c r="FQ10" s="21">
        <v>5.5328809999999997</v>
      </c>
      <c r="FR10" s="21">
        <v>5.5328809999999997</v>
      </c>
      <c r="FS10" s="21">
        <v>5.5328809999999997</v>
      </c>
      <c r="FT10" s="21">
        <v>5.5328809999999997</v>
      </c>
      <c r="FU10" s="21">
        <v>5.5328809999999997</v>
      </c>
      <c r="FV10" s="21">
        <v>5.5328809999999997</v>
      </c>
      <c r="FW10" s="21">
        <v>5.5328809999999997</v>
      </c>
      <c r="FX10" s="21">
        <v>5.5328809999999997</v>
      </c>
      <c r="FY10" s="21">
        <v>5.5328809999999997</v>
      </c>
      <c r="FZ10" s="21">
        <v>5.5328809999999997</v>
      </c>
      <c r="GA10" s="21">
        <v>5.5328809999999997</v>
      </c>
      <c r="GB10" s="21">
        <v>5.5328809999999997</v>
      </c>
      <c r="GC10" s="21">
        <v>5.5328809999999997</v>
      </c>
      <c r="GD10" s="21">
        <v>5.5328809999999997</v>
      </c>
      <c r="GE10" s="21">
        <v>5.5328809999999997</v>
      </c>
      <c r="GF10" s="21">
        <v>5.5328809999999997</v>
      </c>
      <c r="GG10" s="21">
        <v>5.5328809999999997</v>
      </c>
      <c r="GH10" s="21">
        <v>5.5328809999999997</v>
      </c>
      <c r="GI10" s="21">
        <v>5.5328809999999997</v>
      </c>
      <c r="GJ10" s="21">
        <v>5.5328809999999997</v>
      </c>
      <c r="GK10" s="21">
        <v>5.5328809999999997</v>
      </c>
      <c r="GL10" s="21">
        <v>5.5328809999999997</v>
      </c>
      <c r="GM10" s="21">
        <v>5.5328809999999997</v>
      </c>
      <c r="GN10" s="21">
        <v>5.5328809999999997</v>
      </c>
      <c r="GO10" s="21">
        <v>5.5328809999999997</v>
      </c>
      <c r="GP10" s="21">
        <v>5.5328809999999997</v>
      </c>
      <c r="GQ10" s="21">
        <v>5.5328809999999997</v>
      </c>
      <c r="GR10" s="21">
        <v>5.5328809999999997</v>
      </c>
      <c r="GS10" s="21">
        <v>5.5328809999999997</v>
      </c>
      <c r="GT10" s="21">
        <v>5.5328809999999997</v>
      </c>
      <c r="GU10" s="21">
        <v>5.5328809999999997</v>
      </c>
      <c r="GV10" s="21">
        <v>5.5328809999999997</v>
      </c>
      <c r="GW10" s="21">
        <v>5.5328809999999997</v>
      </c>
      <c r="GX10" s="21">
        <v>5.5328809999999997</v>
      </c>
      <c r="GY10" s="21">
        <v>5.5328809999999997</v>
      </c>
      <c r="GZ10" s="21">
        <v>5.5328809999999997</v>
      </c>
      <c r="HA10" s="21">
        <v>5.5328809999999997</v>
      </c>
      <c r="HB10" s="21">
        <v>5.5328809999999997</v>
      </c>
      <c r="HC10" s="21">
        <v>5.5328809999999997</v>
      </c>
      <c r="HD10" s="21">
        <v>5.5328809999999997</v>
      </c>
      <c r="HE10" s="21">
        <v>5.5328809999999997</v>
      </c>
      <c r="HF10" s="21">
        <v>5.5328809999999997</v>
      </c>
      <c r="HG10" s="21">
        <v>5.5328809999999997</v>
      </c>
      <c r="HH10" s="21">
        <v>5.5328809999999997</v>
      </c>
      <c r="HI10" s="21">
        <v>5.5328809999999997</v>
      </c>
      <c r="HJ10" s="21">
        <v>5.5328809999999997</v>
      </c>
      <c r="HK10" s="21">
        <v>5.5328809999999997</v>
      </c>
      <c r="HL10" s="21">
        <v>5.5328809999999997</v>
      </c>
      <c r="HM10" s="21">
        <v>5.5328809999999997</v>
      </c>
      <c r="HN10" s="21">
        <v>5.5328809999999997</v>
      </c>
      <c r="HO10" s="21">
        <v>5.5328809999999997</v>
      </c>
      <c r="HP10" s="21">
        <v>5.5328809999999997</v>
      </c>
      <c r="HQ10" s="21">
        <v>5.5328809999999997</v>
      </c>
      <c r="HR10" s="21">
        <v>5.5328809999999997</v>
      </c>
      <c r="HS10" s="21">
        <v>5.5328809999999997</v>
      </c>
      <c r="HT10" s="21">
        <v>5.5328809999999997</v>
      </c>
      <c r="HU10" s="21">
        <v>5.5328809999999997</v>
      </c>
      <c r="HV10" s="21">
        <v>5.5328809999999997</v>
      </c>
      <c r="HW10" s="21">
        <v>5.5328809999999997</v>
      </c>
      <c r="HX10" s="21">
        <v>5.5328809999999997</v>
      </c>
      <c r="HY10" s="21">
        <v>5.5328809999999997</v>
      </c>
      <c r="HZ10" s="21">
        <v>5.5328809999999997</v>
      </c>
      <c r="IA10" s="21">
        <v>5.5328809999999997</v>
      </c>
      <c r="IB10" s="21">
        <v>5.5328809999999997</v>
      </c>
      <c r="IC10" s="21">
        <v>5.5328809999999997</v>
      </c>
      <c r="ID10" s="21">
        <v>5.5328809999999997</v>
      </c>
      <c r="IE10" s="21">
        <v>5.5328809999999997</v>
      </c>
      <c r="IF10" s="21">
        <v>5.5328809999999997</v>
      </c>
      <c r="IG10" s="21">
        <v>5.5328809999999997</v>
      </c>
      <c r="IH10" s="21">
        <v>5.5328809999999997</v>
      </c>
      <c r="II10" s="21">
        <v>5.5328809999999997</v>
      </c>
      <c r="IJ10" s="21">
        <v>5.5328809999999997</v>
      </c>
      <c r="IK10" s="21">
        <v>5.5328809999999997</v>
      </c>
      <c r="IL10" s="21">
        <v>5.5328809999999997</v>
      </c>
      <c r="IM10" s="21">
        <v>5.5328809999999997</v>
      </c>
      <c r="IN10" s="21">
        <v>5.5328809999999997</v>
      </c>
      <c r="IO10" s="21">
        <v>5.5328809999999997</v>
      </c>
      <c r="IP10" s="21">
        <v>5.5328809999999997</v>
      </c>
      <c r="IQ10" s="21">
        <v>5.5328809999999997</v>
      </c>
      <c r="IR10" s="21">
        <v>5.5328809999999997</v>
      </c>
      <c r="IS10" s="21">
        <v>5.5328809999999997</v>
      </c>
      <c r="IT10" s="21">
        <v>5.5328809999999997</v>
      </c>
      <c r="IU10" s="21">
        <v>5.5328809999999997</v>
      </c>
      <c r="IV10" s="21">
        <v>5.5328809999999997</v>
      </c>
      <c r="IW10" s="21">
        <v>5.5328809999999997</v>
      </c>
      <c r="IX10" s="21">
        <v>5.5328809999999997</v>
      </c>
      <c r="IY10" s="21">
        <v>5.5328809999999997</v>
      </c>
      <c r="IZ10" s="21">
        <v>5.5328809999999997</v>
      </c>
      <c r="JA10" s="21">
        <v>5.5328809999999997</v>
      </c>
      <c r="JB10" s="21">
        <v>5.5328809999999997</v>
      </c>
      <c r="JC10" s="21">
        <v>5.5328809999999997</v>
      </c>
      <c r="JD10" s="21">
        <v>5.5328809999999997</v>
      </c>
      <c r="JE10" s="21">
        <v>5.5328809999999997</v>
      </c>
      <c r="JF10" s="21">
        <v>5.5328809999999997</v>
      </c>
      <c r="JG10" s="21">
        <v>5.5328809999999997</v>
      </c>
      <c r="JH10" s="21">
        <v>5.5328809999999997</v>
      </c>
      <c r="JI10" s="21">
        <v>5.5328809999999997</v>
      </c>
      <c r="JJ10" s="21">
        <v>5.5328809999999997</v>
      </c>
      <c r="JK10" s="21">
        <v>5.5328809999999997</v>
      </c>
      <c r="JL10" s="21">
        <v>5.5328809999999997</v>
      </c>
      <c r="JM10" s="21">
        <v>5.5328809999999997</v>
      </c>
      <c r="JN10" s="21">
        <v>5.5328809999999997</v>
      </c>
      <c r="JO10" s="21">
        <v>5.5328809999999997</v>
      </c>
      <c r="JP10" s="21">
        <v>5.5328809999999997</v>
      </c>
      <c r="JQ10" s="21">
        <v>5.5328809999999997</v>
      </c>
      <c r="JR10" s="21">
        <v>5.5328809999999997</v>
      </c>
      <c r="JS10" s="21">
        <v>5.5328809999999997</v>
      </c>
      <c r="JT10" s="21">
        <v>5.5328809999999997</v>
      </c>
      <c r="JU10" s="21">
        <v>5.5328809999999997</v>
      </c>
      <c r="JV10" s="21">
        <v>5.5328809999999997</v>
      </c>
      <c r="JW10" s="21">
        <v>5.5328809999999997</v>
      </c>
      <c r="JX10" s="21">
        <v>5.5328809999999997</v>
      </c>
      <c r="JY10" s="21">
        <v>5.5328809999999997</v>
      </c>
      <c r="JZ10" s="21">
        <v>5.5328809999999997</v>
      </c>
      <c r="KA10" s="21">
        <v>5.5328809999999997</v>
      </c>
      <c r="KB10" s="21">
        <v>5.5328809999999997</v>
      </c>
      <c r="KC10" s="21">
        <v>5.5328809999999997</v>
      </c>
      <c r="KD10" s="21">
        <v>5.5328809999999997</v>
      </c>
      <c r="KE10" s="21">
        <v>5.5328809999999997</v>
      </c>
      <c r="KF10" s="21">
        <v>5.5328809999999997</v>
      </c>
      <c r="KG10" s="21">
        <v>5.5328809999999997</v>
      </c>
      <c r="KH10" s="21">
        <v>5.5328809999999997</v>
      </c>
      <c r="KI10" s="21">
        <v>5.5328809999999997</v>
      </c>
      <c r="KJ10" s="21">
        <v>5.5328809999999997</v>
      </c>
      <c r="KK10" s="21">
        <v>5.5328809999999997</v>
      </c>
      <c r="KL10" s="21">
        <v>5.5328809999999997</v>
      </c>
      <c r="KM10" s="21">
        <v>5.5328809999999997</v>
      </c>
      <c r="KN10" s="21">
        <v>5.5328809999999997</v>
      </c>
      <c r="KO10" s="21">
        <v>5.5328809999999997</v>
      </c>
      <c r="KP10" s="21">
        <v>5.5328809999999997</v>
      </c>
      <c r="KQ10" s="21">
        <v>5.5328809999999997</v>
      </c>
      <c r="KR10" s="21">
        <v>5.5328809999999997</v>
      </c>
      <c r="KS10" s="21">
        <v>5.5328809999999997</v>
      </c>
      <c r="KT10" s="21">
        <v>5.5328809999999997</v>
      </c>
      <c r="KU10" s="21">
        <v>5.5328809999999997</v>
      </c>
      <c r="KV10" s="21">
        <v>5.5328809999999997</v>
      </c>
      <c r="KW10" s="21">
        <v>5.5328809999999997</v>
      </c>
      <c r="KX10" s="21">
        <v>5.5328809999999997</v>
      </c>
      <c r="KY10" s="21">
        <v>5.5328809999999997</v>
      </c>
      <c r="KZ10" s="21">
        <v>5.5328809999999997</v>
      </c>
      <c r="LA10" s="21">
        <v>5.5328809999999997</v>
      </c>
      <c r="LB10" s="21">
        <v>5.5328809999999997</v>
      </c>
      <c r="LC10" s="21">
        <v>5.5328809999999997</v>
      </c>
      <c r="LD10" s="21">
        <v>5.5328809999999997</v>
      </c>
      <c r="LE10" s="21">
        <v>5.5328809999999997</v>
      </c>
      <c r="LF10" s="21">
        <v>5.5328809999999997</v>
      </c>
      <c r="LG10" s="21">
        <v>5.5328809999999997</v>
      </c>
      <c r="LH10" s="21">
        <v>5.5328809999999997</v>
      </c>
      <c r="LI10" s="21">
        <v>5.5328809999999997</v>
      </c>
      <c r="LJ10" s="21">
        <v>5.5328809999999997</v>
      </c>
      <c r="LK10" s="21">
        <v>5.5328809999999997</v>
      </c>
      <c r="LL10" s="21">
        <v>5.5328809999999997</v>
      </c>
      <c r="LM10" s="21">
        <v>5.5328809999999997</v>
      </c>
      <c r="LN10" s="21">
        <v>5.5328809999999997</v>
      </c>
      <c r="LO10" s="21">
        <v>5.5328809999999997</v>
      </c>
      <c r="LP10" s="21">
        <v>5.5328809999999997</v>
      </c>
      <c r="LQ10" s="21">
        <v>5.5328809999999997</v>
      </c>
      <c r="LR10" s="21">
        <v>5.5328809999999997</v>
      </c>
      <c r="LS10" s="21">
        <v>5.5328809999999997</v>
      </c>
      <c r="LT10" s="21">
        <v>5.5328809999999997</v>
      </c>
      <c r="LU10" s="21">
        <v>5.5328809999999997</v>
      </c>
      <c r="LV10" s="21">
        <v>5.5328809999999997</v>
      </c>
      <c r="LW10" s="21">
        <v>5.5328809999999997</v>
      </c>
      <c r="LX10" s="21">
        <v>5.5328809999999997</v>
      </c>
      <c r="LY10" s="21">
        <v>5.5328809999999997</v>
      </c>
      <c r="LZ10" s="21">
        <v>5.5328809999999997</v>
      </c>
      <c r="MA10" s="21">
        <v>5.5328809999999997</v>
      </c>
      <c r="MB10" s="21">
        <v>5.5328809999999997</v>
      </c>
      <c r="MC10" s="21">
        <v>5.5328809999999997</v>
      </c>
      <c r="MD10" s="21">
        <v>5.5328809999999997</v>
      </c>
      <c r="ME10" s="21">
        <v>5.5328809999999997</v>
      </c>
      <c r="MF10" s="21">
        <v>5.5328809999999997</v>
      </c>
      <c r="MG10" s="21">
        <v>5.5328809999999997</v>
      </c>
      <c r="MH10" s="21">
        <v>5.5328809999999997</v>
      </c>
      <c r="MI10" s="21">
        <v>5.5328809999999997</v>
      </c>
      <c r="MJ10" s="21">
        <v>5.5328809999999997</v>
      </c>
      <c r="MK10" s="21">
        <v>5.5328809999999997</v>
      </c>
      <c r="ML10" s="21">
        <v>5.5328809999999997</v>
      </c>
      <c r="MM10" s="21">
        <v>5.5328809999999997</v>
      </c>
      <c r="MN10" s="21">
        <v>5.5328809999999997</v>
      </c>
      <c r="MO10" s="21">
        <v>5.5328809999999997</v>
      </c>
      <c r="MP10" s="21">
        <v>5.5328809999999997</v>
      </c>
      <c r="MQ10" s="21">
        <v>5.5328809999999997</v>
      </c>
      <c r="MR10" s="21">
        <v>5.5328809999999997</v>
      </c>
      <c r="MS10" s="21">
        <v>5.5328809999999997</v>
      </c>
      <c r="MT10" s="21">
        <v>5.5328809999999997</v>
      </c>
      <c r="MU10" s="21">
        <v>5.5328809999999997</v>
      </c>
      <c r="MV10" s="21">
        <v>5.5328809999999997</v>
      </c>
      <c r="MW10" s="21">
        <v>5.5328809999999997</v>
      </c>
      <c r="MX10" s="21">
        <v>5.5328809999999997</v>
      </c>
      <c r="MY10" s="21">
        <v>5.5328809999999997</v>
      </c>
      <c r="MZ10" s="21">
        <v>5.6797789999999999</v>
      </c>
    </row>
    <row r="11" spans="1:364" s="78" customFormat="1" x14ac:dyDescent="0.2">
      <c r="A11" s="7">
        <v>9</v>
      </c>
      <c r="B11" s="16" t="s">
        <v>565</v>
      </c>
      <c r="C11" s="74">
        <v>6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6.593</v>
      </c>
      <c r="K11" s="21">
        <v>6.593</v>
      </c>
      <c r="L11" s="21">
        <v>6.593</v>
      </c>
      <c r="M11" s="21">
        <v>6.593</v>
      </c>
      <c r="N11" s="21">
        <v>6.593</v>
      </c>
      <c r="O11" s="21">
        <v>6.593</v>
      </c>
      <c r="P11" s="21">
        <v>6.593</v>
      </c>
      <c r="Q11" s="21">
        <v>6.593</v>
      </c>
      <c r="R11" s="21">
        <v>6.593</v>
      </c>
      <c r="S11" s="21">
        <v>6.593</v>
      </c>
      <c r="T11" s="21">
        <v>6.593</v>
      </c>
      <c r="U11" s="21">
        <v>6.593</v>
      </c>
      <c r="V11" s="21">
        <v>6.593</v>
      </c>
      <c r="W11" s="21">
        <v>6.593</v>
      </c>
      <c r="X11" s="21">
        <v>6.593</v>
      </c>
      <c r="Y11" s="21">
        <v>6.593</v>
      </c>
      <c r="Z11" s="21">
        <v>6.593</v>
      </c>
      <c r="AA11" s="21">
        <v>6.593</v>
      </c>
      <c r="AB11" s="21">
        <v>6.593</v>
      </c>
      <c r="AC11" s="21">
        <v>6.593</v>
      </c>
      <c r="AD11" s="21">
        <v>6.593</v>
      </c>
      <c r="AE11" s="21">
        <v>6.593</v>
      </c>
      <c r="AF11" s="21">
        <v>6.593</v>
      </c>
      <c r="AG11" s="21">
        <v>6.593</v>
      </c>
      <c r="AH11" s="21">
        <v>6.593</v>
      </c>
      <c r="AI11" s="21">
        <v>6.593</v>
      </c>
      <c r="AJ11" s="21">
        <v>6.593</v>
      </c>
      <c r="AK11" s="21">
        <v>6.593</v>
      </c>
      <c r="AL11" s="21">
        <v>6.593</v>
      </c>
      <c r="AM11" s="21">
        <v>6.593</v>
      </c>
      <c r="AN11" s="21">
        <v>6.593</v>
      </c>
      <c r="AO11" s="21">
        <v>6.593</v>
      </c>
      <c r="AP11" s="21">
        <v>6.593</v>
      </c>
      <c r="AQ11" s="21">
        <v>6.593</v>
      </c>
      <c r="AR11" s="21">
        <v>6.593</v>
      </c>
      <c r="AS11" s="21">
        <v>6.593</v>
      </c>
      <c r="AT11" s="21">
        <v>6.593</v>
      </c>
      <c r="AU11" s="21">
        <v>6.593</v>
      </c>
      <c r="AV11" s="21">
        <v>6.593</v>
      </c>
      <c r="AW11" s="21">
        <v>6.593</v>
      </c>
      <c r="AX11" s="21">
        <v>6.593</v>
      </c>
      <c r="AY11" s="21">
        <v>6.593</v>
      </c>
      <c r="AZ11" s="21">
        <v>6.593</v>
      </c>
      <c r="BA11" s="21">
        <v>6.593</v>
      </c>
      <c r="BB11" s="21">
        <v>6.593</v>
      </c>
      <c r="BC11" s="21">
        <v>6.593</v>
      </c>
      <c r="BD11" s="21">
        <v>6.593</v>
      </c>
      <c r="BE11" s="21">
        <v>6.593</v>
      </c>
      <c r="BF11" s="21">
        <v>6.593</v>
      </c>
      <c r="BG11" s="21">
        <v>6.593</v>
      </c>
      <c r="BH11" s="21">
        <v>6.593</v>
      </c>
      <c r="BI11" s="21">
        <v>6.593</v>
      </c>
      <c r="BJ11" s="21">
        <v>6.593</v>
      </c>
      <c r="BK11" s="21">
        <v>6.593</v>
      </c>
      <c r="BL11" s="21">
        <v>6.593</v>
      </c>
      <c r="BM11" s="21">
        <v>6.593</v>
      </c>
      <c r="BN11" s="21">
        <v>6.593</v>
      </c>
      <c r="BO11" s="21">
        <v>6.593</v>
      </c>
      <c r="BP11" s="21">
        <v>6.593</v>
      </c>
      <c r="BQ11" s="21">
        <v>6.593</v>
      </c>
      <c r="BR11" s="21">
        <v>6.593</v>
      </c>
      <c r="BS11" s="21">
        <v>6.593</v>
      </c>
      <c r="BT11" s="21">
        <v>6.593</v>
      </c>
      <c r="BU11" s="21">
        <v>6.593</v>
      </c>
      <c r="BV11" s="21">
        <v>6.593</v>
      </c>
      <c r="BW11" s="21">
        <v>6.593</v>
      </c>
      <c r="BX11" s="21">
        <v>6.593</v>
      </c>
      <c r="BY11" s="21">
        <v>6.593</v>
      </c>
      <c r="BZ11" s="21">
        <v>6.593</v>
      </c>
      <c r="CA11" s="21">
        <v>6.593</v>
      </c>
      <c r="CB11" s="21">
        <v>6.593</v>
      </c>
      <c r="CC11" s="21">
        <v>6.593</v>
      </c>
      <c r="CD11" s="21">
        <v>6.593</v>
      </c>
      <c r="CE11" s="21">
        <v>6.593</v>
      </c>
      <c r="CF11" s="21">
        <v>6.593</v>
      </c>
      <c r="CG11" s="21">
        <v>6.593</v>
      </c>
      <c r="CH11" s="21">
        <v>6.593</v>
      </c>
      <c r="CI11" s="21">
        <v>6.593</v>
      </c>
      <c r="CJ11" s="21">
        <v>6.593</v>
      </c>
      <c r="CK11" s="21">
        <v>6.593</v>
      </c>
      <c r="CL11" s="21">
        <v>6.593</v>
      </c>
      <c r="CM11" s="21">
        <v>6.593</v>
      </c>
      <c r="CN11" s="21">
        <v>6.593</v>
      </c>
      <c r="CO11" s="21">
        <v>6.593</v>
      </c>
      <c r="CP11" s="21">
        <v>6.593</v>
      </c>
      <c r="CQ11" s="21">
        <v>6.593</v>
      </c>
      <c r="CR11" s="21">
        <v>6.593</v>
      </c>
      <c r="CS11" s="21">
        <v>6.593</v>
      </c>
      <c r="CT11" s="21">
        <v>6.593</v>
      </c>
      <c r="CU11" s="21">
        <v>6.593</v>
      </c>
      <c r="CV11" s="21">
        <v>6.593</v>
      </c>
      <c r="CW11" s="21">
        <v>6.593</v>
      </c>
      <c r="CX11" s="21">
        <v>6.593</v>
      </c>
      <c r="CY11" s="21">
        <v>6.593</v>
      </c>
      <c r="CZ11" s="21">
        <v>6.593</v>
      </c>
      <c r="DA11" s="21">
        <v>6.593</v>
      </c>
      <c r="DB11" s="21">
        <v>6.593</v>
      </c>
      <c r="DC11" s="21">
        <v>6.593</v>
      </c>
      <c r="DD11" s="21">
        <v>6.593</v>
      </c>
      <c r="DE11" s="21">
        <v>6.593</v>
      </c>
      <c r="DF11" s="21">
        <v>6.593</v>
      </c>
      <c r="DG11" s="21">
        <v>6.593</v>
      </c>
      <c r="DH11" s="21">
        <v>6.593</v>
      </c>
      <c r="DI11" s="21">
        <v>6.593</v>
      </c>
      <c r="DJ11" s="21">
        <v>6.593</v>
      </c>
      <c r="DK11" s="21">
        <v>6.593</v>
      </c>
      <c r="DL11" s="21">
        <v>6.593</v>
      </c>
      <c r="DM11" s="21">
        <v>6.593</v>
      </c>
      <c r="DN11" s="21">
        <v>6.593</v>
      </c>
      <c r="DO11" s="21">
        <v>6.593</v>
      </c>
      <c r="DP11" s="21">
        <v>6.593</v>
      </c>
      <c r="DQ11" s="21">
        <v>6.593</v>
      </c>
      <c r="DR11" s="21">
        <v>6.593</v>
      </c>
      <c r="DS11" s="21">
        <v>6.593</v>
      </c>
      <c r="DT11" s="21">
        <v>6.593</v>
      </c>
      <c r="DU11" s="21">
        <v>6.593</v>
      </c>
      <c r="DV11" s="21">
        <v>6.593</v>
      </c>
      <c r="DW11" s="21">
        <v>6.593</v>
      </c>
      <c r="DX11" s="21">
        <v>6.593</v>
      </c>
      <c r="DY11" s="21">
        <v>6.593</v>
      </c>
      <c r="DZ11" s="21">
        <v>6.593</v>
      </c>
      <c r="EA11" s="21">
        <v>6.593</v>
      </c>
      <c r="EB11" s="21">
        <v>6.593</v>
      </c>
      <c r="EC11" s="21">
        <v>6.593</v>
      </c>
      <c r="ED11" s="21">
        <v>6.593</v>
      </c>
      <c r="EE11" s="21">
        <v>6.593</v>
      </c>
      <c r="EF11" s="21">
        <v>6.593</v>
      </c>
      <c r="EG11" s="21">
        <v>6.593</v>
      </c>
      <c r="EH11" s="21">
        <v>6.593</v>
      </c>
      <c r="EI11" s="21">
        <v>6.593</v>
      </c>
      <c r="EJ11" s="21">
        <v>6.593</v>
      </c>
      <c r="EK11" s="21">
        <v>6.593</v>
      </c>
      <c r="EL11" s="21">
        <v>6.593</v>
      </c>
      <c r="EM11" s="21">
        <v>6.593</v>
      </c>
      <c r="EN11" s="21">
        <v>6.593</v>
      </c>
      <c r="EO11" s="21">
        <v>6.593</v>
      </c>
      <c r="EP11" s="21">
        <v>6.593</v>
      </c>
      <c r="EQ11" s="21">
        <v>6.593</v>
      </c>
      <c r="ER11" s="21">
        <v>6.593</v>
      </c>
      <c r="ES11" s="21">
        <v>6.593</v>
      </c>
      <c r="ET11" s="21">
        <v>6.593</v>
      </c>
      <c r="EU11" s="21">
        <v>6.593</v>
      </c>
      <c r="EV11" s="21">
        <v>6.593</v>
      </c>
      <c r="EW11" s="21">
        <v>6.593</v>
      </c>
      <c r="EX11" s="21">
        <v>6.593</v>
      </c>
      <c r="EY11" s="21">
        <v>6.593</v>
      </c>
      <c r="EZ11" s="21">
        <v>6.593</v>
      </c>
      <c r="FA11" s="21">
        <v>6.593</v>
      </c>
      <c r="FB11" s="21">
        <v>6.593</v>
      </c>
      <c r="FC11" s="21">
        <v>6.593</v>
      </c>
      <c r="FD11" s="21">
        <v>6.593</v>
      </c>
      <c r="FE11" s="21">
        <v>6.593</v>
      </c>
      <c r="FF11" s="21">
        <v>6.593</v>
      </c>
      <c r="FG11" s="21">
        <v>6.593</v>
      </c>
      <c r="FH11" s="21">
        <v>6.593</v>
      </c>
      <c r="FI11" s="21">
        <v>6.593</v>
      </c>
      <c r="FJ11" s="21">
        <v>6.593</v>
      </c>
      <c r="FK11" s="21">
        <v>6.593</v>
      </c>
      <c r="FL11" s="21">
        <v>6.593</v>
      </c>
      <c r="FM11" s="21">
        <v>6.593</v>
      </c>
      <c r="FN11" s="21">
        <v>6.593</v>
      </c>
      <c r="FO11" s="21">
        <v>6.593</v>
      </c>
      <c r="FP11" s="21">
        <v>6.593</v>
      </c>
      <c r="FQ11" s="21">
        <v>6.593</v>
      </c>
      <c r="FR11" s="21">
        <v>6.593</v>
      </c>
      <c r="FS11" s="21">
        <v>6.593</v>
      </c>
      <c r="FT11" s="21">
        <v>6.593</v>
      </c>
      <c r="FU11" s="21">
        <v>6.593</v>
      </c>
      <c r="FV11" s="21">
        <v>6.593</v>
      </c>
      <c r="FW11" s="21">
        <v>6.593</v>
      </c>
      <c r="FX11" s="21">
        <v>6.593</v>
      </c>
      <c r="FY11" s="21">
        <v>6.593</v>
      </c>
      <c r="FZ11" s="21">
        <v>6.593</v>
      </c>
      <c r="GA11" s="21">
        <v>6.593</v>
      </c>
      <c r="GB11" s="21">
        <v>6.593</v>
      </c>
      <c r="GC11" s="21">
        <v>6.593</v>
      </c>
      <c r="GD11" s="21">
        <v>6.593</v>
      </c>
      <c r="GE11" s="21">
        <v>6.593</v>
      </c>
      <c r="GF11" s="21">
        <v>6.593</v>
      </c>
      <c r="GG11" s="21">
        <v>6.593</v>
      </c>
      <c r="GH11" s="21">
        <v>6.593</v>
      </c>
      <c r="GI11" s="21">
        <v>6.593</v>
      </c>
      <c r="GJ11" s="21">
        <v>6.593</v>
      </c>
      <c r="GK11" s="21">
        <v>6.593</v>
      </c>
      <c r="GL11" s="21">
        <v>6.593</v>
      </c>
      <c r="GM11" s="21">
        <v>6.593</v>
      </c>
      <c r="GN11" s="21">
        <v>6.593</v>
      </c>
      <c r="GO11" s="21">
        <v>6.593</v>
      </c>
      <c r="GP11" s="21">
        <v>6.593</v>
      </c>
      <c r="GQ11" s="21">
        <v>6.593</v>
      </c>
      <c r="GR11" s="21">
        <v>6.593</v>
      </c>
      <c r="GS11" s="21">
        <v>6.593</v>
      </c>
      <c r="GT11" s="21">
        <v>6.593</v>
      </c>
      <c r="GU11" s="21">
        <v>6.593</v>
      </c>
      <c r="GV11" s="21">
        <v>6.593</v>
      </c>
      <c r="GW11" s="21">
        <v>6.593</v>
      </c>
      <c r="GX11" s="21">
        <v>6.593</v>
      </c>
      <c r="GY11" s="21">
        <v>6.593</v>
      </c>
      <c r="GZ11" s="21">
        <v>6.593</v>
      </c>
      <c r="HA11" s="21">
        <v>6.593</v>
      </c>
      <c r="HB11" s="21">
        <v>6.593</v>
      </c>
      <c r="HC11" s="21">
        <v>6.593</v>
      </c>
      <c r="HD11" s="21">
        <v>6.593</v>
      </c>
      <c r="HE11" s="21">
        <v>6.593</v>
      </c>
      <c r="HF11" s="21">
        <v>6.593</v>
      </c>
      <c r="HG11" s="21">
        <v>6.593</v>
      </c>
      <c r="HH11" s="21">
        <v>6.593</v>
      </c>
      <c r="HI11" s="21">
        <v>6.593</v>
      </c>
      <c r="HJ11" s="21">
        <v>6.593</v>
      </c>
      <c r="HK11" s="21">
        <v>6.593</v>
      </c>
      <c r="HL11" s="21">
        <v>6.5086399999999998</v>
      </c>
      <c r="HM11" s="21">
        <v>0</v>
      </c>
      <c r="HN11" s="21">
        <v>0</v>
      </c>
      <c r="HO11" s="21">
        <v>0</v>
      </c>
      <c r="HP11" s="21">
        <v>0</v>
      </c>
      <c r="HQ11" s="21">
        <v>0</v>
      </c>
      <c r="HR11" s="21">
        <v>0</v>
      </c>
      <c r="HS11" s="21">
        <v>0</v>
      </c>
      <c r="HT11" s="21">
        <v>0</v>
      </c>
      <c r="HU11" s="21">
        <v>0</v>
      </c>
      <c r="HV11" s="21">
        <v>0</v>
      </c>
      <c r="HW11" s="21">
        <v>0</v>
      </c>
      <c r="HX11" s="21">
        <v>0</v>
      </c>
      <c r="HY11" s="21">
        <v>0</v>
      </c>
      <c r="HZ11" s="21">
        <v>0</v>
      </c>
      <c r="IA11" s="21">
        <v>0</v>
      </c>
      <c r="IB11" s="21">
        <v>0</v>
      </c>
      <c r="IC11" s="21">
        <v>0</v>
      </c>
      <c r="ID11" s="21">
        <v>0</v>
      </c>
      <c r="IE11" s="21">
        <v>0</v>
      </c>
      <c r="IF11" s="21">
        <v>0</v>
      </c>
      <c r="IG11" s="21">
        <v>0</v>
      </c>
      <c r="IH11" s="21">
        <v>0</v>
      </c>
      <c r="II11" s="21">
        <v>0</v>
      </c>
      <c r="IJ11" s="21">
        <v>0</v>
      </c>
      <c r="IK11" s="21">
        <v>0</v>
      </c>
      <c r="IL11" s="21">
        <v>0</v>
      </c>
      <c r="IM11" s="21">
        <v>0</v>
      </c>
      <c r="IN11" s="21">
        <v>0</v>
      </c>
      <c r="IO11" s="21">
        <v>0</v>
      </c>
      <c r="IP11" s="21">
        <v>0</v>
      </c>
      <c r="IQ11" s="21">
        <v>0</v>
      </c>
      <c r="IR11" s="21">
        <v>0</v>
      </c>
      <c r="IS11" s="21">
        <v>0</v>
      </c>
      <c r="IT11" s="21">
        <v>0</v>
      </c>
      <c r="IU11" s="21">
        <v>0</v>
      </c>
      <c r="IV11" s="21">
        <v>0</v>
      </c>
      <c r="IW11" s="21">
        <v>0</v>
      </c>
      <c r="IX11" s="21">
        <v>0</v>
      </c>
      <c r="IY11" s="21">
        <v>0</v>
      </c>
      <c r="IZ11" s="21">
        <v>0</v>
      </c>
      <c r="JA11" s="21">
        <v>0</v>
      </c>
      <c r="JB11" s="21">
        <v>0</v>
      </c>
      <c r="JC11" s="21">
        <v>0</v>
      </c>
      <c r="JD11" s="21">
        <v>0</v>
      </c>
      <c r="JE11" s="21">
        <v>0</v>
      </c>
      <c r="JF11" s="21">
        <v>0</v>
      </c>
      <c r="JG11" s="21">
        <v>0</v>
      </c>
      <c r="JH11" s="21">
        <v>0</v>
      </c>
      <c r="JI11" s="21">
        <v>0</v>
      </c>
      <c r="JJ11" s="21">
        <v>0</v>
      </c>
      <c r="JK11" s="21">
        <v>0</v>
      </c>
      <c r="JL11" s="21">
        <v>0</v>
      </c>
      <c r="JM11" s="21">
        <v>0</v>
      </c>
      <c r="JN11" s="21">
        <v>0</v>
      </c>
      <c r="JO11" s="21">
        <v>0</v>
      </c>
      <c r="JP11" s="21">
        <v>0</v>
      </c>
      <c r="JQ11" s="21">
        <v>0</v>
      </c>
      <c r="JR11" s="21">
        <v>0</v>
      </c>
      <c r="JS11" s="21">
        <v>0</v>
      </c>
      <c r="JT11" s="21">
        <v>0</v>
      </c>
      <c r="JU11" s="21">
        <v>0</v>
      </c>
      <c r="JV11" s="21">
        <v>0</v>
      </c>
      <c r="JW11" s="21">
        <v>0</v>
      </c>
      <c r="JX11" s="21">
        <v>0</v>
      </c>
      <c r="JY11" s="21">
        <v>0</v>
      </c>
      <c r="JZ11" s="21">
        <v>0</v>
      </c>
      <c r="KA11" s="21">
        <v>0</v>
      </c>
      <c r="KB11" s="21">
        <v>0</v>
      </c>
      <c r="KC11" s="21">
        <v>0</v>
      </c>
      <c r="KD11" s="21">
        <v>0</v>
      </c>
      <c r="KE11" s="21">
        <v>0</v>
      </c>
      <c r="KF11" s="21">
        <v>0</v>
      </c>
      <c r="KG11" s="21">
        <v>0</v>
      </c>
      <c r="KH11" s="21">
        <v>0</v>
      </c>
      <c r="KI11" s="21">
        <v>0</v>
      </c>
      <c r="KJ11" s="21">
        <v>0</v>
      </c>
      <c r="KK11" s="21">
        <v>0</v>
      </c>
      <c r="KL11" s="21">
        <v>0</v>
      </c>
      <c r="KM11" s="21">
        <v>0</v>
      </c>
      <c r="KN11" s="21">
        <v>0</v>
      </c>
      <c r="KO11" s="21">
        <v>0</v>
      </c>
      <c r="KP11" s="21">
        <v>0</v>
      </c>
      <c r="KQ11" s="21">
        <v>0</v>
      </c>
      <c r="KR11" s="21">
        <v>0</v>
      </c>
      <c r="KS11" s="21">
        <v>0</v>
      </c>
      <c r="KT11" s="21">
        <v>0</v>
      </c>
      <c r="KU11" s="21">
        <v>0</v>
      </c>
      <c r="KV11" s="21">
        <v>0</v>
      </c>
      <c r="KW11" s="21">
        <v>0</v>
      </c>
      <c r="KX11" s="21">
        <v>0</v>
      </c>
      <c r="KY11" s="21">
        <v>0</v>
      </c>
      <c r="KZ11" s="21">
        <v>0</v>
      </c>
      <c r="LA11" s="21">
        <v>0</v>
      </c>
      <c r="LB11" s="21">
        <v>0</v>
      </c>
      <c r="LC11" s="21">
        <v>0</v>
      </c>
      <c r="LD11" s="21">
        <v>0</v>
      </c>
      <c r="LE11" s="21">
        <v>0</v>
      </c>
      <c r="LF11" s="21">
        <v>0</v>
      </c>
      <c r="LG11" s="21">
        <v>0</v>
      </c>
      <c r="LH11" s="21">
        <v>0</v>
      </c>
      <c r="LI11" s="21">
        <v>0</v>
      </c>
      <c r="LJ11" s="21">
        <v>0</v>
      </c>
      <c r="LK11" s="21">
        <v>0</v>
      </c>
      <c r="LL11" s="21">
        <v>0</v>
      </c>
      <c r="LM11" s="21">
        <v>0</v>
      </c>
      <c r="LN11" s="21">
        <v>0</v>
      </c>
      <c r="LO11" s="21">
        <v>0</v>
      </c>
      <c r="LP11" s="21">
        <v>0</v>
      </c>
      <c r="LQ11" s="21">
        <v>0</v>
      </c>
      <c r="LR11" s="21">
        <v>0</v>
      </c>
      <c r="LS11" s="21">
        <v>0</v>
      </c>
      <c r="LT11" s="21">
        <v>0</v>
      </c>
      <c r="LU11" s="21">
        <v>0</v>
      </c>
      <c r="LV11" s="21">
        <v>0</v>
      </c>
      <c r="LW11" s="21">
        <v>0</v>
      </c>
      <c r="LX11" s="21">
        <v>0</v>
      </c>
      <c r="LY11" s="21">
        <v>0</v>
      </c>
      <c r="LZ11" s="21">
        <v>0</v>
      </c>
      <c r="MA11" s="21">
        <v>0</v>
      </c>
      <c r="MB11" s="21">
        <v>0</v>
      </c>
      <c r="MC11" s="21">
        <v>0</v>
      </c>
      <c r="MD11" s="21">
        <v>0</v>
      </c>
      <c r="ME11" s="21">
        <v>0</v>
      </c>
      <c r="MF11" s="21">
        <v>0</v>
      </c>
      <c r="MG11" s="21">
        <v>0</v>
      </c>
      <c r="MH11" s="21">
        <v>0</v>
      </c>
      <c r="MI11" s="21">
        <v>0</v>
      </c>
      <c r="MJ11" s="21">
        <v>0</v>
      </c>
      <c r="MK11" s="21">
        <v>0</v>
      </c>
      <c r="ML11" s="21">
        <v>0</v>
      </c>
      <c r="MM11" s="21">
        <v>0</v>
      </c>
      <c r="MN11" s="21">
        <v>0</v>
      </c>
      <c r="MO11" s="21">
        <v>0</v>
      </c>
      <c r="MP11" s="21">
        <v>0</v>
      </c>
      <c r="MQ11" s="21">
        <v>0</v>
      </c>
      <c r="MR11" s="21">
        <v>0</v>
      </c>
      <c r="MS11" s="21">
        <v>0</v>
      </c>
      <c r="MT11" s="21">
        <v>0</v>
      </c>
      <c r="MU11" s="21">
        <v>0</v>
      </c>
      <c r="MV11" s="21">
        <v>0</v>
      </c>
      <c r="MW11" s="21">
        <v>0</v>
      </c>
      <c r="MX11" s="21">
        <v>0</v>
      </c>
      <c r="MY11" s="21">
        <v>0</v>
      </c>
      <c r="MZ11" s="21">
        <v>0</v>
      </c>
    </row>
    <row r="12" spans="1:364" s="78" customFormat="1" x14ac:dyDescent="0.2">
      <c r="A12" s="7">
        <v>10</v>
      </c>
      <c r="B12" s="16" t="s">
        <v>572</v>
      </c>
      <c r="C12" s="74">
        <v>6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11.839432</v>
      </c>
      <c r="K12" s="21">
        <v>11.839432</v>
      </c>
      <c r="L12" s="21">
        <v>11.839432</v>
      </c>
      <c r="M12" s="21">
        <v>11.839432</v>
      </c>
      <c r="N12" s="21">
        <v>11.839432</v>
      </c>
      <c r="O12" s="21">
        <v>11.839432</v>
      </c>
      <c r="P12" s="21">
        <v>11.839432</v>
      </c>
      <c r="Q12" s="21">
        <v>11.839432</v>
      </c>
      <c r="R12" s="21">
        <v>11.839432</v>
      </c>
      <c r="S12" s="21">
        <v>11.839432</v>
      </c>
      <c r="T12" s="21">
        <v>11.839432</v>
      </c>
      <c r="U12" s="21">
        <v>11.839432</v>
      </c>
      <c r="V12" s="21">
        <v>11.839432</v>
      </c>
      <c r="W12" s="21">
        <v>11.839432</v>
      </c>
      <c r="X12" s="21">
        <v>11.839432</v>
      </c>
      <c r="Y12" s="21">
        <v>11.839432</v>
      </c>
      <c r="Z12" s="21">
        <v>11.839432</v>
      </c>
      <c r="AA12" s="21">
        <v>11.839432</v>
      </c>
      <c r="AB12" s="21">
        <v>11.839432</v>
      </c>
      <c r="AC12" s="21">
        <v>11.839432</v>
      </c>
      <c r="AD12" s="21">
        <v>11.839432</v>
      </c>
      <c r="AE12" s="21">
        <v>11.839432</v>
      </c>
      <c r="AF12" s="21">
        <v>11.839432</v>
      </c>
      <c r="AG12" s="21">
        <v>11.839432</v>
      </c>
      <c r="AH12" s="21">
        <v>11.839432</v>
      </c>
      <c r="AI12" s="21">
        <v>11.839432</v>
      </c>
      <c r="AJ12" s="21">
        <v>11.839432</v>
      </c>
      <c r="AK12" s="21">
        <v>11.839432</v>
      </c>
      <c r="AL12" s="21">
        <v>11.839432</v>
      </c>
      <c r="AM12" s="21">
        <v>11.839432</v>
      </c>
      <c r="AN12" s="21">
        <v>11.839432</v>
      </c>
      <c r="AO12" s="21">
        <v>11.839432</v>
      </c>
      <c r="AP12" s="21">
        <v>11.839432</v>
      </c>
      <c r="AQ12" s="21">
        <v>11.839432</v>
      </c>
      <c r="AR12" s="21">
        <v>11.839432</v>
      </c>
      <c r="AS12" s="21">
        <v>11.839432</v>
      </c>
      <c r="AT12" s="21">
        <v>11.839432</v>
      </c>
      <c r="AU12" s="21">
        <v>11.839432</v>
      </c>
      <c r="AV12" s="21">
        <v>11.839432</v>
      </c>
      <c r="AW12" s="21">
        <v>11.839432</v>
      </c>
      <c r="AX12" s="21">
        <v>11.839432</v>
      </c>
      <c r="AY12" s="21">
        <v>11.839432</v>
      </c>
      <c r="AZ12" s="21">
        <v>11.839432</v>
      </c>
      <c r="BA12" s="21">
        <v>11.839432</v>
      </c>
      <c r="BB12" s="21">
        <v>11.839432</v>
      </c>
      <c r="BC12" s="21">
        <v>11.839432</v>
      </c>
      <c r="BD12" s="21">
        <v>11.839432</v>
      </c>
      <c r="BE12" s="21">
        <v>11.839432</v>
      </c>
      <c r="BF12" s="21">
        <v>11.839432</v>
      </c>
      <c r="BG12" s="21">
        <v>11.839432</v>
      </c>
      <c r="BH12" s="21">
        <v>11.839432</v>
      </c>
      <c r="BI12" s="21">
        <v>11.839432</v>
      </c>
      <c r="BJ12" s="21">
        <v>11.839432</v>
      </c>
      <c r="BK12" s="21">
        <v>11.839432</v>
      </c>
      <c r="BL12" s="21">
        <v>11.839432</v>
      </c>
      <c r="BM12" s="21">
        <v>11.839432</v>
      </c>
      <c r="BN12" s="21">
        <v>11.839432</v>
      </c>
      <c r="BO12" s="21">
        <v>11.839432</v>
      </c>
      <c r="BP12" s="21">
        <v>11.839432</v>
      </c>
      <c r="BQ12" s="21">
        <v>11.839432</v>
      </c>
      <c r="BR12" s="21">
        <v>11.839432</v>
      </c>
      <c r="BS12" s="21">
        <v>11.839432</v>
      </c>
      <c r="BT12" s="21">
        <v>11.839432</v>
      </c>
      <c r="BU12" s="21">
        <v>11.839432</v>
      </c>
      <c r="BV12" s="21">
        <v>11.839432</v>
      </c>
      <c r="BW12" s="21">
        <v>11.839432</v>
      </c>
      <c r="BX12" s="21">
        <v>11.839432</v>
      </c>
      <c r="BY12" s="21">
        <v>11.839432</v>
      </c>
      <c r="BZ12" s="21">
        <v>11.839432</v>
      </c>
      <c r="CA12" s="21">
        <v>11.839432</v>
      </c>
      <c r="CB12" s="21">
        <v>11.839432</v>
      </c>
      <c r="CC12" s="21">
        <v>11.839432</v>
      </c>
      <c r="CD12" s="21">
        <v>11.839432</v>
      </c>
      <c r="CE12" s="21">
        <v>11.839432</v>
      </c>
      <c r="CF12" s="21">
        <v>11.839432</v>
      </c>
      <c r="CG12" s="21">
        <v>11.839432</v>
      </c>
      <c r="CH12" s="21">
        <v>11.839432</v>
      </c>
      <c r="CI12" s="21">
        <v>11.839432</v>
      </c>
      <c r="CJ12" s="21">
        <v>11.839432</v>
      </c>
      <c r="CK12" s="21">
        <v>11.839432</v>
      </c>
      <c r="CL12" s="21">
        <v>11.839432</v>
      </c>
      <c r="CM12" s="21">
        <v>11.839432</v>
      </c>
      <c r="CN12" s="21">
        <v>11.839432</v>
      </c>
      <c r="CO12" s="21">
        <v>11.839432</v>
      </c>
      <c r="CP12" s="21">
        <v>11.839432</v>
      </c>
      <c r="CQ12" s="21">
        <v>11.839432</v>
      </c>
      <c r="CR12" s="21">
        <v>11.839432</v>
      </c>
      <c r="CS12" s="21">
        <v>11.839432</v>
      </c>
      <c r="CT12" s="21">
        <v>11.839432</v>
      </c>
      <c r="CU12" s="21">
        <v>11.839432</v>
      </c>
      <c r="CV12" s="21">
        <v>11.839432</v>
      </c>
      <c r="CW12" s="21">
        <v>11.839432</v>
      </c>
      <c r="CX12" s="21">
        <v>11.839432</v>
      </c>
      <c r="CY12" s="21">
        <v>11.839432</v>
      </c>
      <c r="CZ12" s="21">
        <v>11.839432</v>
      </c>
      <c r="DA12" s="21">
        <v>11.839432</v>
      </c>
      <c r="DB12" s="21">
        <v>11.839432</v>
      </c>
      <c r="DC12" s="21">
        <v>11.839432</v>
      </c>
      <c r="DD12" s="21">
        <v>11.839432</v>
      </c>
      <c r="DE12" s="21">
        <v>11.839432</v>
      </c>
      <c r="DF12" s="21">
        <v>11.839432</v>
      </c>
      <c r="DG12" s="21">
        <v>11.839432</v>
      </c>
      <c r="DH12" s="21">
        <v>11.839432</v>
      </c>
      <c r="DI12" s="21">
        <v>11.839432</v>
      </c>
      <c r="DJ12" s="21">
        <v>11.839432</v>
      </c>
      <c r="DK12" s="21">
        <v>11.839432</v>
      </c>
      <c r="DL12" s="21">
        <v>11.839432</v>
      </c>
      <c r="DM12" s="21">
        <v>11.839432</v>
      </c>
      <c r="DN12" s="21">
        <v>11.839432</v>
      </c>
      <c r="DO12" s="21">
        <v>11.839432</v>
      </c>
      <c r="DP12" s="21">
        <v>11.839432</v>
      </c>
      <c r="DQ12" s="21">
        <v>11.839432</v>
      </c>
      <c r="DR12" s="21">
        <v>11.839432</v>
      </c>
      <c r="DS12" s="21">
        <v>11.839432</v>
      </c>
      <c r="DT12" s="21">
        <v>11.839432</v>
      </c>
      <c r="DU12" s="21">
        <v>11.839432</v>
      </c>
      <c r="DV12" s="21">
        <v>11.839432</v>
      </c>
      <c r="DW12" s="21">
        <v>11.839432</v>
      </c>
      <c r="DX12" s="21">
        <v>11.839432</v>
      </c>
      <c r="DY12" s="21">
        <v>11.839432</v>
      </c>
      <c r="DZ12" s="21">
        <v>11.839432</v>
      </c>
      <c r="EA12" s="21">
        <v>11.839432</v>
      </c>
      <c r="EB12" s="21">
        <v>11.839432</v>
      </c>
      <c r="EC12" s="21">
        <v>11.839432</v>
      </c>
      <c r="ED12" s="21">
        <v>11.839432</v>
      </c>
      <c r="EE12" s="21">
        <v>11.839432</v>
      </c>
      <c r="EF12" s="21">
        <v>11.839432</v>
      </c>
      <c r="EG12" s="21">
        <v>11.839432</v>
      </c>
      <c r="EH12" s="21">
        <v>11.839432</v>
      </c>
      <c r="EI12" s="21">
        <v>11.839432</v>
      </c>
      <c r="EJ12" s="21">
        <v>11.839432</v>
      </c>
      <c r="EK12" s="21">
        <v>11.839432</v>
      </c>
      <c r="EL12" s="21">
        <v>11.839432</v>
      </c>
      <c r="EM12" s="21">
        <v>11.839432</v>
      </c>
      <c r="EN12" s="21">
        <v>11.839432</v>
      </c>
      <c r="EO12" s="21">
        <v>11.839432</v>
      </c>
      <c r="EP12" s="21">
        <v>11.839432</v>
      </c>
      <c r="EQ12" s="21">
        <v>11.839432</v>
      </c>
      <c r="ER12" s="21">
        <v>11.839432</v>
      </c>
      <c r="ES12" s="21">
        <v>11.839432</v>
      </c>
      <c r="ET12" s="21">
        <v>11.839432</v>
      </c>
      <c r="EU12" s="21">
        <v>11.839432</v>
      </c>
      <c r="EV12" s="21">
        <v>11.839432</v>
      </c>
      <c r="EW12" s="21">
        <v>11.839432</v>
      </c>
      <c r="EX12" s="21">
        <v>11.839432</v>
      </c>
      <c r="EY12" s="21">
        <v>11.839432</v>
      </c>
      <c r="EZ12" s="21">
        <v>11.839432</v>
      </c>
      <c r="FA12" s="21">
        <v>11.839432</v>
      </c>
      <c r="FB12" s="21">
        <v>11.839432</v>
      </c>
      <c r="FC12" s="21">
        <v>11.839432</v>
      </c>
      <c r="FD12" s="21">
        <v>11.839432</v>
      </c>
      <c r="FE12" s="21">
        <v>11.839432</v>
      </c>
      <c r="FF12" s="21">
        <v>11.839432</v>
      </c>
      <c r="FG12" s="21">
        <v>11.839432</v>
      </c>
      <c r="FH12" s="21">
        <v>11.839432</v>
      </c>
      <c r="FI12" s="21">
        <v>11.839432</v>
      </c>
      <c r="FJ12" s="21">
        <v>11.839432</v>
      </c>
      <c r="FK12" s="21">
        <v>11.839432</v>
      </c>
      <c r="FL12" s="21">
        <v>11.839432</v>
      </c>
      <c r="FM12" s="21">
        <v>11.839432</v>
      </c>
      <c r="FN12" s="21">
        <v>11.839432</v>
      </c>
      <c r="FO12" s="21">
        <v>11.839432</v>
      </c>
      <c r="FP12" s="21">
        <v>11.839432</v>
      </c>
      <c r="FQ12" s="21">
        <v>11.839432</v>
      </c>
      <c r="FR12" s="21">
        <v>11.839432</v>
      </c>
      <c r="FS12" s="21">
        <v>11.839432</v>
      </c>
      <c r="FT12" s="21">
        <v>11.839432</v>
      </c>
      <c r="FU12" s="21">
        <v>11.839432</v>
      </c>
      <c r="FV12" s="21">
        <v>11.839432</v>
      </c>
      <c r="FW12" s="21">
        <v>11.839432</v>
      </c>
      <c r="FX12" s="21">
        <v>11.839432</v>
      </c>
      <c r="FY12" s="21">
        <v>11.839432</v>
      </c>
      <c r="FZ12" s="21">
        <v>11.839432</v>
      </c>
      <c r="GA12" s="21">
        <v>11.839432</v>
      </c>
      <c r="GB12" s="21">
        <v>11.839432</v>
      </c>
      <c r="GC12" s="21">
        <v>11.839432</v>
      </c>
      <c r="GD12" s="21">
        <v>11.839432</v>
      </c>
      <c r="GE12" s="21">
        <v>11.839432</v>
      </c>
      <c r="GF12" s="21">
        <v>11.839432</v>
      </c>
      <c r="GG12" s="21">
        <v>11.839432</v>
      </c>
      <c r="GH12" s="21">
        <v>11.839432</v>
      </c>
      <c r="GI12" s="21">
        <v>11.839432</v>
      </c>
      <c r="GJ12" s="21">
        <v>11.839432</v>
      </c>
      <c r="GK12" s="21">
        <v>11.839432</v>
      </c>
      <c r="GL12" s="21">
        <v>11.839432</v>
      </c>
      <c r="GM12" s="21">
        <v>11.839432</v>
      </c>
      <c r="GN12" s="21">
        <v>11.839432</v>
      </c>
      <c r="GO12" s="21">
        <v>11.839432</v>
      </c>
      <c r="GP12" s="21">
        <v>11.839432</v>
      </c>
      <c r="GQ12" s="21">
        <v>11.839432</v>
      </c>
      <c r="GR12" s="21">
        <v>11.839432</v>
      </c>
      <c r="GS12" s="21">
        <v>11.839432</v>
      </c>
      <c r="GT12" s="21">
        <v>11.839432</v>
      </c>
      <c r="GU12" s="21">
        <v>11.839432</v>
      </c>
      <c r="GV12" s="21">
        <v>11.839432</v>
      </c>
      <c r="GW12" s="21">
        <v>11.839432</v>
      </c>
      <c r="GX12" s="21">
        <v>11.839432</v>
      </c>
      <c r="GY12" s="21">
        <v>11.839432</v>
      </c>
      <c r="GZ12" s="21">
        <v>11.839432</v>
      </c>
      <c r="HA12" s="21">
        <v>11.839432</v>
      </c>
      <c r="HB12" s="21">
        <v>11.839432</v>
      </c>
      <c r="HC12" s="21">
        <v>11.839432</v>
      </c>
      <c r="HD12" s="21">
        <v>11.839432</v>
      </c>
      <c r="HE12" s="21">
        <v>11.839432</v>
      </c>
      <c r="HF12" s="21">
        <v>11.839432</v>
      </c>
      <c r="HG12" s="21">
        <v>11.839432</v>
      </c>
      <c r="HH12" s="21">
        <v>11.839432</v>
      </c>
      <c r="HI12" s="21">
        <v>11.839432</v>
      </c>
      <c r="HJ12" s="21">
        <v>11.839432</v>
      </c>
      <c r="HK12" s="21">
        <v>11.839432</v>
      </c>
      <c r="HL12" s="21">
        <v>11.839432</v>
      </c>
      <c r="HM12" s="21">
        <v>11.839432</v>
      </c>
      <c r="HN12" s="21">
        <v>11.839432</v>
      </c>
      <c r="HO12" s="21">
        <v>11.839432</v>
      </c>
      <c r="HP12" s="21">
        <v>11.839432</v>
      </c>
      <c r="HQ12" s="21">
        <v>11.839432</v>
      </c>
      <c r="HR12" s="21">
        <v>11.839432</v>
      </c>
      <c r="HS12" s="21">
        <v>11.839432</v>
      </c>
      <c r="HT12" s="21">
        <v>11.839432</v>
      </c>
      <c r="HU12" s="21">
        <v>11.839432</v>
      </c>
      <c r="HV12" s="21">
        <v>11.839432</v>
      </c>
      <c r="HW12" s="21">
        <v>11.839432</v>
      </c>
      <c r="HX12" s="21">
        <v>11.839432</v>
      </c>
      <c r="HY12" s="21">
        <v>11.839432</v>
      </c>
      <c r="HZ12" s="21">
        <v>11.839432</v>
      </c>
      <c r="IA12" s="21">
        <v>11.839432</v>
      </c>
      <c r="IB12" s="21">
        <v>11.839432</v>
      </c>
      <c r="IC12" s="21">
        <v>11.839432</v>
      </c>
      <c r="ID12" s="21">
        <v>11.839432</v>
      </c>
      <c r="IE12" s="21">
        <v>11.839432</v>
      </c>
      <c r="IF12" s="21">
        <v>11.839432</v>
      </c>
      <c r="IG12" s="21">
        <v>11.839432</v>
      </c>
      <c r="IH12" s="21">
        <v>11.839432</v>
      </c>
      <c r="II12" s="21">
        <v>11.839432</v>
      </c>
      <c r="IJ12" s="21">
        <v>11.839432</v>
      </c>
      <c r="IK12" s="21">
        <v>11.839432</v>
      </c>
      <c r="IL12" s="21">
        <v>11.839432</v>
      </c>
      <c r="IM12" s="21">
        <v>11.839432</v>
      </c>
      <c r="IN12" s="21">
        <v>11.839432</v>
      </c>
      <c r="IO12" s="21">
        <v>11.839432</v>
      </c>
      <c r="IP12" s="21">
        <v>11.839432</v>
      </c>
      <c r="IQ12" s="21">
        <v>11.839432</v>
      </c>
      <c r="IR12" s="21">
        <v>11.839432</v>
      </c>
      <c r="IS12" s="21">
        <v>11.839432</v>
      </c>
      <c r="IT12" s="21">
        <v>11.839432</v>
      </c>
      <c r="IU12" s="21">
        <v>11.839432</v>
      </c>
      <c r="IV12" s="21">
        <v>11.839432</v>
      </c>
      <c r="IW12" s="21">
        <v>11.839432</v>
      </c>
      <c r="IX12" s="21">
        <v>11.839432</v>
      </c>
      <c r="IY12" s="21">
        <v>11.839432</v>
      </c>
      <c r="IZ12" s="21">
        <v>11.839432</v>
      </c>
      <c r="JA12" s="21">
        <v>11.839432</v>
      </c>
      <c r="JB12" s="21">
        <v>11.839432</v>
      </c>
      <c r="JC12" s="21">
        <v>11.839432</v>
      </c>
      <c r="JD12" s="21">
        <v>11.839432</v>
      </c>
      <c r="JE12" s="21">
        <v>11.839432</v>
      </c>
      <c r="JF12" s="21">
        <v>11.839432</v>
      </c>
      <c r="JG12" s="21">
        <v>11.839432</v>
      </c>
      <c r="JH12" s="21">
        <v>11.839432</v>
      </c>
      <c r="JI12" s="21">
        <v>11.839432</v>
      </c>
      <c r="JJ12" s="21">
        <v>11.839432</v>
      </c>
      <c r="JK12" s="21">
        <v>11.839432</v>
      </c>
      <c r="JL12" s="21">
        <v>11.839432</v>
      </c>
      <c r="JM12" s="21">
        <v>11.839432</v>
      </c>
      <c r="JN12" s="21">
        <v>11.839432</v>
      </c>
      <c r="JO12" s="21">
        <v>11.839432</v>
      </c>
      <c r="JP12" s="21">
        <v>11.839432</v>
      </c>
      <c r="JQ12" s="21">
        <v>11.839432</v>
      </c>
      <c r="JR12" s="21">
        <v>11.839432</v>
      </c>
      <c r="JS12" s="21">
        <v>11.839432</v>
      </c>
      <c r="JT12" s="21">
        <v>11.839432</v>
      </c>
      <c r="JU12" s="21">
        <v>11.839432</v>
      </c>
      <c r="JV12" s="21">
        <v>11.839432</v>
      </c>
      <c r="JW12" s="21">
        <v>11.839432</v>
      </c>
      <c r="JX12" s="21">
        <v>11.839432</v>
      </c>
      <c r="JY12" s="21">
        <v>11.839432</v>
      </c>
      <c r="JZ12" s="21">
        <v>11.839432</v>
      </c>
      <c r="KA12" s="21">
        <v>11.839432</v>
      </c>
      <c r="KB12" s="21">
        <v>11.839432</v>
      </c>
      <c r="KC12" s="21">
        <v>11.839432</v>
      </c>
      <c r="KD12" s="21">
        <v>11.839432</v>
      </c>
      <c r="KE12" s="21">
        <v>11.839432</v>
      </c>
      <c r="KF12" s="21">
        <v>11.839432</v>
      </c>
      <c r="KG12" s="21">
        <v>11.839432</v>
      </c>
      <c r="KH12" s="21">
        <v>11.839432</v>
      </c>
      <c r="KI12" s="21">
        <v>11.839432</v>
      </c>
      <c r="KJ12" s="21">
        <v>11.839432</v>
      </c>
      <c r="KK12" s="21">
        <v>11.839432</v>
      </c>
      <c r="KL12" s="21">
        <v>11.839432</v>
      </c>
      <c r="KM12" s="21">
        <v>11.839432</v>
      </c>
      <c r="KN12" s="21">
        <v>11.839432</v>
      </c>
      <c r="KO12" s="21">
        <v>11.839432</v>
      </c>
      <c r="KP12" s="21">
        <v>11.839432</v>
      </c>
      <c r="KQ12" s="21">
        <v>11.839432</v>
      </c>
      <c r="KR12" s="21">
        <v>11.839432</v>
      </c>
      <c r="KS12" s="21">
        <v>11.839432</v>
      </c>
      <c r="KT12" s="21">
        <v>11.839432</v>
      </c>
      <c r="KU12" s="21">
        <v>11.839432</v>
      </c>
      <c r="KV12" s="21">
        <v>11.839432</v>
      </c>
      <c r="KW12" s="21">
        <v>11.839432</v>
      </c>
      <c r="KX12" s="21">
        <v>11.839432</v>
      </c>
      <c r="KY12" s="21">
        <v>11.839432</v>
      </c>
      <c r="KZ12" s="21">
        <v>11.839432</v>
      </c>
      <c r="LA12" s="21">
        <v>11.839432</v>
      </c>
      <c r="LB12" s="21">
        <v>11.839432</v>
      </c>
      <c r="LC12" s="21">
        <v>11.839432</v>
      </c>
      <c r="LD12" s="21">
        <v>11.839432</v>
      </c>
      <c r="LE12" s="21">
        <v>11.839432</v>
      </c>
      <c r="LF12" s="21">
        <v>11.839432</v>
      </c>
      <c r="LG12" s="21">
        <v>11.839432</v>
      </c>
      <c r="LH12" s="21">
        <v>11.839432</v>
      </c>
      <c r="LI12" s="21">
        <v>11.839432</v>
      </c>
      <c r="LJ12" s="21">
        <v>11.839432</v>
      </c>
      <c r="LK12" s="21">
        <v>11.839432</v>
      </c>
      <c r="LL12" s="21">
        <v>11.839432</v>
      </c>
      <c r="LM12" s="21">
        <v>11.839432</v>
      </c>
      <c r="LN12" s="21">
        <v>11.839432</v>
      </c>
      <c r="LO12" s="21">
        <v>11.839432</v>
      </c>
      <c r="LP12" s="21">
        <v>11.839432</v>
      </c>
      <c r="LQ12" s="21">
        <v>11.839432</v>
      </c>
      <c r="LR12" s="21">
        <v>11.839432</v>
      </c>
      <c r="LS12" s="21">
        <v>11.839432</v>
      </c>
      <c r="LT12" s="21">
        <v>11.839432</v>
      </c>
      <c r="LU12" s="21">
        <v>11.839432</v>
      </c>
      <c r="LV12" s="21">
        <v>11.839432</v>
      </c>
      <c r="LW12" s="21">
        <v>11.839432</v>
      </c>
      <c r="LX12" s="21">
        <v>11.839432</v>
      </c>
      <c r="LY12" s="21">
        <v>11.839432</v>
      </c>
      <c r="LZ12" s="21">
        <v>11.839432</v>
      </c>
      <c r="MA12" s="21">
        <v>11.839432</v>
      </c>
      <c r="MB12" s="21">
        <v>11.839432</v>
      </c>
      <c r="MC12" s="21">
        <v>11.839432</v>
      </c>
      <c r="MD12" s="21">
        <v>11.839432</v>
      </c>
      <c r="ME12" s="21">
        <v>11.839432</v>
      </c>
      <c r="MF12" s="21">
        <v>11.839432</v>
      </c>
      <c r="MG12" s="21">
        <v>11.839432</v>
      </c>
      <c r="MH12" s="21">
        <v>11.839432</v>
      </c>
      <c r="MI12" s="21">
        <v>11.839432</v>
      </c>
      <c r="MJ12" s="21">
        <v>11.839432</v>
      </c>
      <c r="MK12" s="21">
        <v>11.839432</v>
      </c>
      <c r="ML12" s="21">
        <v>11.839432</v>
      </c>
      <c r="MM12" s="21">
        <v>11.839432</v>
      </c>
      <c r="MN12" s="21">
        <v>11.839432</v>
      </c>
      <c r="MO12" s="21">
        <v>11.839432</v>
      </c>
      <c r="MP12" s="21">
        <v>11.839432</v>
      </c>
      <c r="MQ12" s="21">
        <v>11.839432</v>
      </c>
      <c r="MR12" s="21">
        <v>11.839432</v>
      </c>
      <c r="MS12" s="21">
        <v>11.839432</v>
      </c>
      <c r="MT12" s="21">
        <v>11.839432</v>
      </c>
      <c r="MU12" s="21">
        <v>11.839432</v>
      </c>
      <c r="MV12" s="21">
        <v>11.839432</v>
      </c>
      <c r="MW12" s="21">
        <v>11.839432</v>
      </c>
      <c r="MX12" s="21">
        <v>11.839432</v>
      </c>
      <c r="MY12" s="21">
        <v>11.839432</v>
      </c>
      <c r="MZ12" s="21">
        <v>12.153767999999999</v>
      </c>
    </row>
    <row r="13" spans="1:364" s="78" customFormat="1" x14ac:dyDescent="0.2">
      <c r="A13" s="7">
        <v>11</v>
      </c>
      <c r="B13" s="16" t="s">
        <v>578</v>
      </c>
      <c r="C13" s="74">
        <v>6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7.2364179999999996</v>
      </c>
      <c r="K13" s="21">
        <v>7.2364179999999996</v>
      </c>
      <c r="L13" s="21">
        <v>7.2364179999999996</v>
      </c>
      <c r="M13" s="21">
        <v>7.2364179999999996</v>
      </c>
      <c r="N13" s="21">
        <v>7.2364179999999996</v>
      </c>
      <c r="O13" s="21">
        <v>7.2364179999999996</v>
      </c>
      <c r="P13" s="21">
        <v>7.2364179999999996</v>
      </c>
      <c r="Q13" s="21">
        <v>7.2364179999999996</v>
      </c>
      <c r="R13" s="21">
        <v>7.2364179999999996</v>
      </c>
      <c r="S13" s="21">
        <v>7.2364179999999996</v>
      </c>
      <c r="T13" s="21">
        <v>7.2364179999999996</v>
      </c>
      <c r="U13" s="21">
        <v>7.2364179999999996</v>
      </c>
      <c r="V13" s="21">
        <v>7.2364179999999996</v>
      </c>
      <c r="W13" s="21">
        <v>7.2364179999999996</v>
      </c>
      <c r="X13" s="21">
        <v>7.2364179999999996</v>
      </c>
      <c r="Y13" s="21">
        <v>7.2364179999999996</v>
      </c>
      <c r="Z13" s="21">
        <v>7.2364179999999996</v>
      </c>
      <c r="AA13" s="21">
        <v>7.2364179999999996</v>
      </c>
      <c r="AB13" s="21">
        <v>7.2364179999999996</v>
      </c>
      <c r="AC13" s="21">
        <v>7.2364179999999996</v>
      </c>
      <c r="AD13" s="21">
        <v>7.2364179999999996</v>
      </c>
      <c r="AE13" s="21">
        <v>7.2364179999999996</v>
      </c>
      <c r="AF13" s="21">
        <v>7.2364179999999996</v>
      </c>
      <c r="AG13" s="21">
        <v>7.2364179999999996</v>
      </c>
      <c r="AH13" s="21">
        <v>7.2364179999999996</v>
      </c>
      <c r="AI13" s="21">
        <v>7.2364179999999996</v>
      </c>
      <c r="AJ13" s="21">
        <v>7.2364179999999996</v>
      </c>
      <c r="AK13" s="21">
        <v>7.2364179999999996</v>
      </c>
      <c r="AL13" s="21">
        <v>7.2364179999999996</v>
      </c>
      <c r="AM13" s="21">
        <v>7.2364179999999996</v>
      </c>
      <c r="AN13" s="21">
        <v>7.2364179999999996</v>
      </c>
      <c r="AO13" s="21">
        <v>7.2364179999999996</v>
      </c>
      <c r="AP13" s="21">
        <v>7.2364179999999996</v>
      </c>
      <c r="AQ13" s="21">
        <v>7.2364179999999996</v>
      </c>
      <c r="AR13" s="21">
        <v>7.2364179999999996</v>
      </c>
      <c r="AS13" s="21">
        <v>7.2364179999999996</v>
      </c>
      <c r="AT13" s="21">
        <v>7.2364179999999996</v>
      </c>
      <c r="AU13" s="21">
        <v>7.2364179999999996</v>
      </c>
      <c r="AV13" s="21">
        <v>7.2364179999999996</v>
      </c>
      <c r="AW13" s="21">
        <v>7.2364179999999996</v>
      </c>
      <c r="AX13" s="21">
        <v>7.2364179999999996</v>
      </c>
      <c r="AY13" s="21">
        <v>7.2364179999999996</v>
      </c>
      <c r="AZ13" s="21">
        <v>7.2364179999999996</v>
      </c>
      <c r="BA13" s="21">
        <v>7.2364179999999996</v>
      </c>
      <c r="BB13" s="21">
        <v>7.2364179999999996</v>
      </c>
      <c r="BC13" s="21">
        <v>7.2364179999999996</v>
      </c>
      <c r="BD13" s="21">
        <v>7.2364179999999996</v>
      </c>
      <c r="BE13" s="21">
        <v>7.2364179999999996</v>
      </c>
      <c r="BF13" s="21">
        <v>7.2364179999999996</v>
      </c>
      <c r="BG13" s="21">
        <v>7.2364179999999996</v>
      </c>
      <c r="BH13" s="21">
        <v>7.2364179999999996</v>
      </c>
      <c r="BI13" s="21">
        <v>7.2364179999999996</v>
      </c>
      <c r="BJ13" s="21">
        <v>7.2364179999999996</v>
      </c>
      <c r="BK13" s="21">
        <v>7.2364179999999996</v>
      </c>
      <c r="BL13" s="21">
        <v>7.2364179999999996</v>
      </c>
      <c r="BM13" s="21">
        <v>7.2364179999999996</v>
      </c>
      <c r="BN13" s="21">
        <v>7.2364179999999996</v>
      </c>
      <c r="BO13" s="21">
        <v>7.2364179999999996</v>
      </c>
      <c r="BP13" s="21">
        <v>7.2364179999999996</v>
      </c>
      <c r="BQ13" s="21">
        <v>7.2364179999999996</v>
      </c>
      <c r="BR13" s="21">
        <v>7.2364179999999996</v>
      </c>
      <c r="BS13" s="21">
        <v>7.2364179999999996</v>
      </c>
      <c r="BT13" s="21">
        <v>7.2364179999999996</v>
      </c>
      <c r="BU13" s="21">
        <v>7.2364179999999996</v>
      </c>
      <c r="BV13" s="21">
        <v>7.2364179999999996</v>
      </c>
      <c r="BW13" s="21">
        <v>7.2364179999999996</v>
      </c>
      <c r="BX13" s="21">
        <v>7.2364179999999996</v>
      </c>
      <c r="BY13" s="21">
        <v>7.2364179999999996</v>
      </c>
      <c r="BZ13" s="21">
        <v>7.2364179999999996</v>
      </c>
      <c r="CA13" s="21">
        <v>7.2364179999999996</v>
      </c>
      <c r="CB13" s="21">
        <v>7.2364179999999996</v>
      </c>
      <c r="CC13" s="21">
        <v>7.2364179999999996</v>
      </c>
      <c r="CD13" s="21">
        <v>7.2364179999999996</v>
      </c>
      <c r="CE13" s="21">
        <v>7.2364179999999996</v>
      </c>
      <c r="CF13" s="21">
        <v>7.2364179999999996</v>
      </c>
      <c r="CG13" s="21">
        <v>7.2364179999999996</v>
      </c>
      <c r="CH13" s="21">
        <v>7.2364179999999996</v>
      </c>
      <c r="CI13" s="21">
        <v>7.2364179999999996</v>
      </c>
      <c r="CJ13" s="21">
        <v>7.2364179999999996</v>
      </c>
      <c r="CK13" s="21">
        <v>7.2364179999999996</v>
      </c>
      <c r="CL13" s="21">
        <v>7.2364179999999996</v>
      </c>
      <c r="CM13" s="21">
        <v>7.2364179999999996</v>
      </c>
      <c r="CN13" s="21">
        <v>7.2364179999999996</v>
      </c>
      <c r="CO13" s="21">
        <v>7.2364179999999996</v>
      </c>
      <c r="CP13" s="21">
        <v>7.2364179999999996</v>
      </c>
      <c r="CQ13" s="21">
        <v>7.2364179999999996</v>
      </c>
      <c r="CR13" s="21">
        <v>7.2364179999999996</v>
      </c>
      <c r="CS13" s="21">
        <v>7.2364179999999996</v>
      </c>
      <c r="CT13" s="21">
        <v>7.2364179999999996</v>
      </c>
      <c r="CU13" s="21">
        <v>7.2364179999999996</v>
      </c>
      <c r="CV13" s="21">
        <v>7.2364179999999996</v>
      </c>
      <c r="CW13" s="21">
        <v>7.2364179999999996</v>
      </c>
      <c r="CX13" s="21">
        <v>7.2364179999999996</v>
      </c>
      <c r="CY13" s="21">
        <v>7.2364179999999996</v>
      </c>
      <c r="CZ13" s="21">
        <v>7.2364179999999996</v>
      </c>
      <c r="DA13" s="21">
        <v>7.2364179999999996</v>
      </c>
      <c r="DB13" s="21">
        <v>7.2364179999999996</v>
      </c>
      <c r="DC13" s="21">
        <v>7.2364179999999996</v>
      </c>
      <c r="DD13" s="21">
        <v>7.2364179999999996</v>
      </c>
      <c r="DE13" s="21">
        <v>7.2364179999999996</v>
      </c>
      <c r="DF13" s="21">
        <v>7.2364179999999996</v>
      </c>
      <c r="DG13" s="21">
        <v>7.2364179999999996</v>
      </c>
      <c r="DH13" s="21">
        <v>7.2364179999999996</v>
      </c>
      <c r="DI13" s="21">
        <v>7.2364179999999996</v>
      </c>
      <c r="DJ13" s="21">
        <v>7.2364179999999996</v>
      </c>
      <c r="DK13" s="21">
        <v>7.2364179999999996</v>
      </c>
      <c r="DL13" s="21">
        <v>7.2364179999999996</v>
      </c>
      <c r="DM13" s="21">
        <v>7.2364179999999996</v>
      </c>
      <c r="DN13" s="21">
        <v>7.2364179999999996</v>
      </c>
      <c r="DO13" s="21">
        <v>7.2364179999999996</v>
      </c>
      <c r="DP13" s="21">
        <v>7.2364179999999996</v>
      </c>
      <c r="DQ13" s="21">
        <v>7.2364179999999996</v>
      </c>
      <c r="DR13" s="21">
        <v>7.2364179999999996</v>
      </c>
      <c r="DS13" s="21">
        <v>7.2364179999999996</v>
      </c>
      <c r="DT13" s="21">
        <v>7.2364179999999996</v>
      </c>
      <c r="DU13" s="21">
        <v>7.2364179999999996</v>
      </c>
      <c r="DV13" s="21">
        <v>7.2364179999999996</v>
      </c>
      <c r="DW13" s="21">
        <v>7.2364179999999996</v>
      </c>
      <c r="DX13" s="21">
        <v>7.2364179999999996</v>
      </c>
      <c r="DY13" s="21">
        <v>7.2364179999999996</v>
      </c>
      <c r="DZ13" s="21">
        <v>7.2364179999999996</v>
      </c>
      <c r="EA13" s="21">
        <v>7.2364179999999996</v>
      </c>
      <c r="EB13" s="21">
        <v>7.2364179999999996</v>
      </c>
      <c r="EC13" s="21">
        <v>7.2364179999999996</v>
      </c>
      <c r="ED13" s="21">
        <v>7.2364179999999996</v>
      </c>
      <c r="EE13" s="21">
        <v>7.2364179999999996</v>
      </c>
      <c r="EF13" s="21">
        <v>7.2364179999999996</v>
      </c>
      <c r="EG13" s="21">
        <v>7.2364179999999996</v>
      </c>
      <c r="EH13" s="21">
        <v>7.2364179999999996</v>
      </c>
      <c r="EI13" s="21">
        <v>7.2364179999999996</v>
      </c>
      <c r="EJ13" s="21">
        <v>7.2364179999999996</v>
      </c>
      <c r="EK13" s="21">
        <v>7.2364179999999996</v>
      </c>
      <c r="EL13" s="21">
        <v>7.2364179999999996</v>
      </c>
      <c r="EM13" s="21">
        <v>7.2364179999999996</v>
      </c>
      <c r="EN13" s="21">
        <v>7.2364179999999996</v>
      </c>
      <c r="EO13" s="21">
        <v>7.2364179999999996</v>
      </c>
      <c r="EP13" s="21">
        <v>7.2364179999999996</v>
      </c>
      <c r="EQ13" s="21">
        <v>7.2364179999999996</v>
      </c>
      <c r="ER13" s="21">
        <v>7.2364179999999996</v>
      </c>
      <c r="ES13" s="21">
        <v>7.2364179999999996</v>
      </c>
      <c r="ET13" s="21">
        <v>7.2364179999999996</v>
      </c>
      <c r="EU13" s="21">
        <v>7.2364179999999996</v>
      </c>
      <c r="EV13" s="21">
        <v>7.2364179999999996</v>
      </c>
      <c r="EW13" s="21">
        <v>7.2364179999999996</v>
      </c>
      <c r="EX13" s="21">
        <v>7.2364179999999996</v>
      </c>
      <c r="EY13" s="21">
        <v>7.2364179999999996</v>
      </c>
      <c r="EZ13" s="21">
        <v>7.2364179999999996</v>
      </c>
      <c r="FA13" s="21">
        <v>7.2364179999999996</v>
      </c>
      <c r="FB13" s="21">
        <v>7.2364179999999996</v>
      </c>
      <c r="FC13" s="21">
        <v>7.2364179999999996</v>
      </c>
      <c r="FD13" s="21">
        <v>7.2364179999999996</v>
      </c>
      <c r="FE13" s="21">
        <v>7.2364179999999996</v>
      </c>
      <c r="FF13" s="21">
        <v>7.2364179999999996</v>
      </c>
      <c r="FG13" s="21">
        <v>7.2364179999999996</v>
      </c>
      <c r="FH13" s="21">
        <v>7.2364179999999996</v>
      </c>
      <c r="FI13" s="21">
        <v>7.2364179999999996</v>
      </c>
      <c r="FJ13" s="21">
        <v>7.2364179999999996</v>
      </c>
      <c r="FK13" s="21">
        <v>7.2364179999999996</v>
      </c>
      <c r="FL13" s="21">
        <v>7.2364179999999996</v>
      </c>
      <c r="FM13" s="21">
        <v>7.2364179999999996</v>
      </c>
      <c r="FN13" s="21">
        <v>7.2364179999999996</v>
      </c>
      <c r="FO13" s="21">
        <v>7.2364179999999996</v>
      </c>
      <c r="FP13" s="21">
        <v>7.2364179999999996</v>
      </c>
      <c r="FQ13" s="21">
        <v>7.2364179999999996</v>
      </c>
      <c r="FR13" s="21">
        <v>7.2364179999999996</v>
      </c>
      <c r="FS13" s="21">
        <v>7.2364179999999996</v>
      </c>
      <c r="FT13" s="21">
        <v>7.2364179999999996</v>
      </c>
      <c r="FU13" s="21">
        <v>7.2364179999999996</v>
      </c>
      <c r="FV13" s="21">
        <v>7.2364179999999996</v>
      </c>
      <c r="FW13" s="21">
        <v>7.2364179999999996</v>
      </c>
      <c r="FX13" s="21">
        <v>7.2364179999999996</v>
      </c>
      <c r="FY13" s="21">
        <v>7.2364179999999996</v>
      </c>
      <c r="FZ13" s="21">
        <v>7.2364179999999996</v>
      </c>
      <c r="GA13" s="21">
        <v>7.2364179999999996</v>
      </c>
      <c r="GB13" s="21">
        <v>7.2364179999999996</v>
      </c>
      <c r="GC13" s="21">
        <v>7.2364179999999996</v>
      </c>
      <c r="GD13" s="21">
        <v>7.2364179999999996</v>
      </c>
      <c r="GE13" s="21">
        <v>7.2364179999999996</v>
      </c>
      <c r="GF13" s="21">
        <v>7.2364179999999996</v>
      </c>
      <c r="GG13" s="21">
        <v>7.2364179999999996</v>
      </c>
      <c r="GH13" s="21">
        <v>7.2364179999999996</v>
      </c>
      <c r="GI13" s="21">
        <v>7.2364179999999996</v>
      </c>
      <c r="GJ13" s="21">
        <v>7.2364179999999996</v>
      </c>
      <c r="GK13" s="21">
        <v>7.2364179999999996</v>
      </c>
      <c r="GL13" s="21">
        <v>7.2364179999999996</v>
      </c>
      <c r="GM13" s="21">
        <v>7.2364179999999996</v>
      </c>
      <c r="GN13" s="21">
        <v>7.2364179999999996</v>
      </c>
      <c r="GO13" s="21">
        <v>7.2364179999999996</v>
      </c>
      <c r="GP13" s="21">
        <v>7.2364179999999996</v>
      </c>
      <c r="GQ13" s="21">
        <v>7.2364179999999996</v>
      </c>
      <c r="GR13" s="21">
        <v>7.2364179999999996</v>
      </c>
      <c r="GS13" s="21">
        <v>7.2364179999999996</v>
      </c>
      <c r="GT13" s="21">
        <v>7.2364179999999996</v>
      </c>
      <c r="GU13" s="21">
        <v>7.2364179999999996</v>
      </c>
      <c r="GV13" s="21">
        <v>7.2364179999999996</v>
      </c>
      <c r="GW13" s="21">
        <v>7.2364179999999996</v>
      </c>
      <c r="GX13" s="21">
        <v>7.2364179999999996</v>
      </c>
      <c r="GY13" s="21">
        <v>7.2364179999999996</v>
      </c>
      <c r="GZ13" s="21">
        <v>7.2364179999999996</v>
      </c>
      <c r="HA13" s="21">
        <v>7.2364179999999996</v>
      </c>
      <c r="HB13" s="21">
        <v>7.2364179999999996</v>
      </c>
      <c r="HC13" s="21">
        <v>7.2364179999999996</v>
      </c>
      <c r="HD13" s="21">
        <v>7.2364179999999996</v>
      </c>
      <c r="HE13" s="21">
        <v>7.2364179999999996</v>
      </c>
      <c r="HF13" s="21">
        <v>7.2364179999999996</v>
      </c>
      <c r="HG13" s="21">
        <v>7.2364179999999996</v>
      </c>
      <c r="HH13" s="21">
        <v>7.2364179999999996</v>
      </c>
      <c r="HI13" s="21">
        <v>7.2364179999999996</v>
      </c>
      <c r="HJ13" s="21">
        <v>7.2364179999999996</v>
      </c>
      <c r="HK13" s="21">
        <v>7.2364179999999996</v>
      </c>
      <c r="HL13" s="21">
        <v>7.2364179999999996</v>
      </c>
      <c r="HM13" s="21">
        <v>7.2364179999999996</v>
      </c>
      <c r="HN13" s="21">
        <v>7.2364179999999996</v>
      </c>
      <c r="HO13" s="21">
        <v>7.2364179999999996</v>
      </c>
      <c r="HP13" s="21">
        <v>7.2364179999999996</v>
      </c>
      <c r="HQ13" s="21">
        <v>7.2364179999999996</v>
      </c>
      <c r="HR13" s="21">
        <v>7.2364179999999996</v>
      </c>
      <c r="HS13" s="21">
        <v>7.2364179999999996</v>
      </c>
      <c r="HT13" s="21">
        <v>7.2364179999999996</v>
      </c>
      <c r="HU13" s="21">
        <v>7.2364179999999996</v>
      </c>
      <c r="HV13" s="21">
        <v>7.2364179999999996</v>
      </c>
      <c r="HW13" s="21">
        <v>7.2364179999999996</v>
      </c>
      <c r="HX13" s="21">
        <v>7.2364179999999996</v>
      </c>
      <c r="HY13" s="21">
        <v>7.2364179999999996</v>
      </c>
      <c r="HZ13" s="21">
        <v>7.2364179999999996</v>
      </c>
      <c r="IA13" s="21">
        <v>7.2364179999999996</v>
      </c>
      <c r="IB13" s="21">
        <v>7.2364179999999996</v>
      </c>
      <c r="IC13" s="21">
        <v>7.2364179999999996</v>
      </c>
      <c r="ID13" s="21">
        <v>7.2364179999999996</v>
      </c>
      <c r="IE13" s="21">
        <v>7.2364179999999996</v>
      </c>
      <c r="IF13" s="21">
        <v>7.2364179999999996</v>
      </c>
      <c r="IG13" s="21">
        <v>7.2364179999999996</v>
      </c>
      <c r="IH13" s="21">
        <v>7.2364179999999996</v>
      </c>
      <c r="II13" s="21">
        <v>7.2364179999999996</v>
      </c>
      <c r="IJ13" s="21">
        <v>7.0687620000000004</v>
      </c>
      <c r="IK13" s="21">
        <v>0</v>
      </c>
      <c r="IL13" s="21">
        <v>0</v>
      </c>
      <c r="IM13" s="21">
        <v>0</v>
      </c>
      <c r="IN13" s="21">
        <v>0</v>
      </c>
      <c r="IO13" s="21">
        <v>0</v>
      </c>
      <c r="IP13" s="21">
        <v>0</v>
      </c>
      <c r="IQ13" s="21">
        <v>0</v>
      </c>
      <c r="IR13" s="21">
        <v>0</v>
      </c>
      <c r="IS13" s="21">
        <v>0</v>
      </c>
      <c r="IT13" s="21">
        <v>0</v>
      </c>
      <c r="IU13" s="21">
        <v>0</v>
      </c>
      <c r="IV13" s="21">
        <v>0</v>
      </c>
      <c r="IW13" s="21">
        <v>0</v>
      </c>
      <c r="IX13" s="21">
        <v>0</v>
      </c>
      <c r="IY13" s="21">
        <v>0</v>
      </c>
      <c r="IZ13" s="21">
        <v>0</v>
      </c>
      <c r="JA13" s="21">
        <v>0</v>
      </c>
      <c r="JB13" s="21">
        <v>0</v>
      </c>
      <c r="JC13" s="21">
        <v>0</v>
      </c>
      <c r="JD13" s="21">
        <v>0</v>
      </c>
      <c r="JE13" s="21">
        <v>0</v>
      </c>
      <c r="JF13" s="21">
        <v>0</v>
      </c>
      <c r="JG13" s="21">
        <v>0</v>
      </c>
      <c r="JH13" s="21">
        <v>0</v>
      </c>
      <c r="JI13" s="21">
        <v>0</v>
      </c>
      <c r="JJ13" s="21">
        <v>0</v>
      </c>
      <c r="JK13" s="21">
        <v>0</v>
      </c>
      <c r="JL13" s="21">
        <v>0</v>
      </c>
      <c r="JM13" s="21">
        <v>0</v>
      </c>
      <c r="JN13" s="21">
        <v>0</v>
      </c>
      <c r="JO13" s="21">
        <v>0</v>
      </c>
      <c r="JP13" s="21">
        <v>0</v>
      </c>
      <c r="JQ13" s="21">
        <v>0</v>
      </c>
      <c r="JR13" s="21">
        <v>0</v>
      </c>
      <c r="JS13" s="21">
        <v>0</v>
      </c>
      <c r="JT13" s="21">
        <v>0</v>
      </c>
      <c r="JU13" s="21">
        <v>0</v>
      </c>
      <c r="JV13" s="21">
        <v>0</v>
      </c>
      <c r="JW13" s="21">
        <v>0</v>
      </c>
      <c r="JX13" s="21">
        <v>0</v>
      </c>
      <c r="JY13" s="21">
        <v>0</v>
      </c>
      <c r="JZ13" s="21">
        <v>0</v>
      </c>
      <c r="KA13" s="21">
        <v>0</v>
      </c>
      <c r="KB13" s="21">
        <v>0</v>
      </c>
      <c r="KC13" s="21">
        <v>0</v>
      </c>
      <c r="KD13" s="21">
        <v>0</v>
      </c>
      <c r="KE13" s="21">
        <v>0</v>
      </c>
      <c r="KF13" s="21">
        <v>0</v>
      </c>
      <c r="KG13" s="21">
        <v>0</v>
      </c>
      <c r="KH13" s="21">
        <v>0</v>
      </c>
      <c r="KI13" s="21">
        <v>0</v>
      </c>
      <c r="KJ13" s="21">
        <v>0</v>
      </c>
      <c r="KK13" s="21">
        <v>0</v>
      </c>
      <c r="KL13" s="21">
        <v>0</v>
      </c>
      <c r="KM13" s="21">
        <v>0</v>
      </c>
      <c r="KN13" s="21">
        <v>0</v>
      </c>
      <c r="KO13" s="21">
        <v>0</v>
      </c>
      <c r="KP13" s="21">
        <v>0</v>
      </c>
      <c r="KQ13" s="21">
        <v>0</v>
      </c>
      <c r="KR13" s="21">
        <v>0</v>
      </c>
      <c r="KS13" s="21">
        <v>0</v>
      </c>
      <c r="KT13" s="21">
        <v>0</v>
      </c>
      <c r="KU13" s="21">
        <v>0</v>
      </c>
      <c r="KV13" s="21">
        <v>0</v>
      </c>
      <c r="KW13" s="21">
        <v>0</v>
      </c>
      <c r="KX13" s="21">
        <v>0</v>
      </c>
      <c r="KY13" s="21">
        <v>0</v>
      </c>
      <c r="KZ13" s="21">
        <v>0</v>
      </c>
      <c r="LA13" s="21">
        <v>0</v>
      </c>
      <c r="LB13" s="21">
        <v>0</v>
      </c>
      <c r="LC13" s="21">
        <v>0</v>
      </c>
      <c r="LD13" s="21">
        <v>0</v>
      </c>
      <c r="LE13" s="21">
        <v>0</v>
      </c>
      <c r="LF13" s="21">
        <v>0</v>
      </c>
      <c r="LG13" s="21">
        <v>0</v>
      </c>
      <c r="LH13" s="21">
        <v>0</v>
      </c>
      <c r="LI13" s="21">
        <v>0</v>
      </c>
      <c r="LJ13" s="21">
        <v>0</v>
      </c>
      <c r="LK13" s="21">
        <v>0</v>
      </c>
      <c r="LL13" s="21">
        <v>0</v>
      </c>
      <c r="LM13" s="21">
        <v>0</v>
      </c>
      <c r="LN13" s="21">
        <v>0</v>
      </c>
      <c r="LO13" s="21">
        <v>0</v>
      </c>
      <c r="LP13" s="21">
        <v>0</v>
      </c>
      <c r="LQ13" s="21">
        <v>0</v>
      </c>
      <c r="LR13" s="21">
        <v>0</v>
      </c>
      <c r="LS13" s="21">
        <v>0</v>
      </c>
      <c r="LT13" s="21">
        <v>0</v>
      </c>
      <c r="LU13" s="21">
        <v>0</v>
      </c>
      <c r="LV13" s="21">
        <v>0</v>
      </c>
      <c r="LW13" s="21">
        <v>0</v>
      </c>
      <c r="LX13" s="21">
        <v>0</v>
      </c>
      <c r="LY13" s="21">
        <v>0</v>
      </c>
      <c r="LZ13" s="21">
        <v>0</v>
      </c>
      <c r="MA13" s="21">
        <v>0</v>
      </c>
      <c r="MB13" s="21">
        <v>0</v>
      </c>
      <c r="MC13" s="21">
        <v>0</v>
      </c>
      <c r="MD13" s="21">
        <v>0</v>
      </c>
      <c r="ME13" s="21">
        <v>0</v>
      </c>
      <c r="MF13" s="21">
        <v>0</v>
      </c>
      <c r="MG13" s="21">
        <v>0</v>
      </c>
      <c r="MH13" s="21">
        <v>0</v>
      </c>
      <c r="MI13" s="21">
        <v>0</v>
      </c>
      <c r="MJ13" s="21">
        <v>0</v>
      </c>
      <c r="MK13" s="21">
        <v>0</v>
      </c>
      <c r="ML13" s="21">
        <v>0</v>
      </c>
      <c r="MM13" s="21">
        <v>0</v>
      </c>
      <c r="MN13" s="21">
        <v>0</v>
      </c>
      <c r="MO13" s="21">
        <v>0</v>
      </c>
      <c r="MP13" s="21">
        <v>0</v>
      </c>
      <c r="MQ13" s="21">
        <v>0</v>
      </c>
      <c r="MR13" s="21">
        <v>0</v>
      </c>
      <c r="MS13" s="21">
        <v>0</v>
      </c>
      <c r="MT13" s="21">
        <v>0</v>
      </c>
      <c r="MU13" s="21">
        <v>0</v>
      </c>
      <c r="MV13" s="21">
        <v>0</v>
      </c>
      <c r="MW13" s="21">
        <v>0</v>
      </c>
      <c r="MX13" s="21">
        <v>0</v>
      </c>
      <c r="MY13" s="21">
        <v>0</v>
      </c>
      <c r="MZ13" s="21">
        <v>0</v>
      </c>
    </row>
    <row r="14" spans="1:364" s="78" customFormat="1" x14ac:dyDescent="0.2">
      <c r="A14" s="7">
        <v>12</v>
      </c>
      <c r="B14" s="16" t="s">
        <v>585</v>
      </c>
      <c r="C14" s="74">
        <v>6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6.850911</v>
      </c>
      <c r="K14" s="21">
        <v>6.850911</v>
      </c>
      <c r="L14" s="21">
        <v>6.850911</v>
      </c>
      <c r="M14" s="21">
        <v>6.850911</v>
      </c>
      <c r="N14" s="21">
        <v>6.850911</v>
      </c>
      <c r="O14" s="21">
        <v>6.850911</v>
      </c>
      <c r="P14" s="21">
        <v>6.850911</v>
      </c>
      <c r="Q14" s="21">
        <v>6.850911</v>
      </c>
      <c r="R14" s="21">
        <v>6.850911</v>
      </c>
      <c r="S14" s="21">
        <v>6.850911</v>
      </c>
      <c r="T14" s="21">
        <v>6.850911</v>
      </c>
      <c r="U14" s="21">
        <v>6.850911</v>
      </c>
      <c r="V14" s="21">
        <v>6.850911</v>
      </c>
      <c r="W14" s="21">
        <v>6.850911</v>
      </c>
      <c r="X14" s="21">
        <v>6.850911</v>
      </c>
      <c r="Y14" s="21">
        <v>6.850911</v>
      </c>
      <c r="Z14" s="21">
        <v>6.850911</v>
      </c>
      <c r="AA14" s="21">
        <v>6.850911</v>
      </c>
      <c r="AB14" s="21">
        <v>6.850911</v>
      </c>
      <c r="AC14" s="21">
        <v>6.850911</v>
      </c>
      <c r="AD14" s="21">
        <v>6.850911</v>
      </c>
      <c r="AE14" s="21">
        <v>6.850911</v>
      </c>
      <c r="AF14" s="21">
        <v>6.850911</v>
      </c>
      <c r="AG14" s="21">
        <v>6.850911</v>
      </c>
      <c r="AH14" s="21">
        <v>6.850911</v>
      </c>
      <c r="AI14" s="21">
        <v>6.850911</v>
      </c>
      <c r="AJ14" s="21">
        <v>6.850911</v>
      </c>
      <c r="AK14" s="21">
        <v>6.850911</v>
      </c>
      <c r="AL14" s="21">
        <v>6.850911</v>
      </c>
      <c r="AM14" s="21">
        <v>6.850911</v>
      </c>
      <c r="AN14" s="21">
        <v>6.850911</v>
      </c>
      <c r="AO14" s="21">
        <v>6.850911</v>
      </c>
      <c r="AP14" s="21">
        <v>6.850911</v>
      </c>
      <c r="AQ14" s="21">
        <v>6.850911</v>
      </c>
      <c r="AR14" s="21">
        <v>6.850911</v>
      </c>
      <c r="AS14" s="21">
        <v>6.850911</v>
      </c>
      <c r="AT14" s="21">
        <v>6.850911</v>
      </c>
      <c r="AU14" s="21">
        <v>6.850911</v>
      </c>
      <c r="AV14" s="21">
        <v>6.850911</v>
      </c>
      <c r="AW14" s="21">
        <v>6.850911</v>
      </c>
      <c r="AX14" s="21">
        <v>6.850911</v>
      </c>
      <c r="AY14" s="21">
        <v>6.850911</v>
      </c>
      <c r="AZ14" s="21">
        <v>6.850911</v>
      </c>
      <c r="BA14" s="21">
        <v>6.850911</v>
      </c>
      <c r="BB14" s="21">
        <v>6.850911</v>
      </c>
      <c r="BC14" s="21">
        <v>6.850911</v>
      </c>
      <c r="BD14" s="21">
        <v>6.850911</v>
      </c>
      <c r="BE14" s="21">
        <v>6.850911</v>
      </c>
      <c r="BF14" s="21">
        <v>6.850911</v>
      </c>
      <c r="BG14" s="21">
        <v>6.850911</v>
      </c>
      <c r="BH14" s="21">
        <v>6.850911</v>
      </c>
      <c r="BI14" s="21">
        <v>6.850911</v>
      </c>
      <c r="BJ14" s="21">
        <v>6.850911</v>
      </c>
      <c r="BK14" s="21">
        <v>6.850911</v>
      </c>
      <c r="BL14" s="21">
        <v>6.850911</v>
      </c>
      <c r="BM14" s="21">
        <v>6.850911</v>
      </c>
      <c r="BN14" s="21">
        <v>6.850911</v>
      </c>
      <c r="BO14" s="21">
        <v>6.850911</v>
      </c>
      <c r="BP14" s="21">
        <v>6.850911</v>
      </c>
      <c r="BQ14" s="21">
        <v>6.850911</v>
      </c>
      <c r="BR14" s="21">
        <v>6.850911</v>
      </c>
      <c r="BS14" s="21">
        <v>6.850911</v>
      </c>
      <c r="BT14" s="21">
        <v>6.850911</v>
      </c>
      <c r="BU14" s="21">
        <v>6.850911</v>
      </c>
      <c r="BV14" s="21">
        <v>6.850911</v>
      </c>
      <c r="BW14" s="21">
        <v>6.850911</v>
      </c>
      <c r="BX14" s="21">
        <v>6.850911</v>
      </c>
      <c r="BY14" s="21">
        <v>6.850911</v>
      </c>
      <c r="BZ14" s="21">
        <v>6.850911</v>
      </c>
      <c r="CA14" s="21">
        <v>6.850911</v>
      </c>
      <c r="CB14" s="21">
        <v>6.850911</v>
      </c>
      <c r="CC14" s="21">
        <v>6.850911</v>
      </c>
      <c r="CD14" s="21">
        <v>6.850911</v>
      </c>
      <c r="CE14" s="21">
        <v>6.850911</v>
      </c>
      <c r="CF14" s="21">
        <v>6.850911</v>
      </c>
      <c r="CG14" s="21">
        <v>6.850911</v>
      </c>
      <c r="CH14" s="21">
        <v>6.850911</v>
      </c>
      <c r="CI14" s="21">
        <v>6.850911</v>
      </c>
      <c r="CJ14" s="21">
        <v>6.850911</v>
      </c>
      <c r="CK14" s="21">
        <v>6.850911</v>
      </c>
      <c r="CL14" s="21">
        <v>6.850911</v>
      </c>
      <c r="CM14" s="21">
        <v>6.850911</v>
      </c>
      <c r="CN14" s="21">
        <v>6.850911</v>
      </c>
      <c r="CO14" s="21">
        <v>6.850911</v>
      </c>
      <c r="CP14" s="21">
        <v>6.850911</v>
      </c>
      <c r="CQ14" s="21">
        <v>6.850911</v>
      </c>
      <c r="CR14" s="21">
        <v>6.850911</v>
      </c>
      <c r="CS14" s="21">
        <v>6.850911</v>
      </c>
      <c r="CT14" s="21">
        <v>6.850911</v>
      </c>
      <c r="CU14" s="21">
        <v>6.850911</v>
      </c>
      <c r="CV14" s="21">
        <v>6.850911</v>
      </c>
      <c r="CW14" s="21">
        <v>6.850911</v>
      </c>
      <c r="CX14" s="21">
        <v>6.850911</v>
      </c>
      <c r="CY14" s="21">
        <v>6.850911</v>
      </c>
      <c r="CZ14" s="21">
        <v>6.850911</v>
      </c>
      <c r="DA14" s="21">
        <v>6.850911</v>
      </c>
      <c r="DB14" s="21">
        <v>6.850911</v>
      </c>
      <c r="DC14" s="21">
        <v>6.850911</v>
      </c>
      <c r="DD14" s="21">
        <v>6.850911</v>
      </c>
      <c r="DE14" s="21">
        <v>6.850911</v>
      </c>
      <c r="DF14" s="21">
        <v>6.850911</v>
      </c>
      <c r="DG14" s="21">
        <v>6.850911</v>
      </c>
      <c r="DH14" s="21">
        <v>6.850911</v>
      </c>
      <c r="DI14" s="21">
        <v>6.850911</v>
      </c>
      <c r="DJ14" s="21">
        <v>6.850911</v>
      </c>
      <c r="DK14" s="21">
        <v>6.850911</v>
      </c>
      <c r="DL14" s="21">
        <v>6.850911</v>
      </c>
      <c r="DM14" s="21">
        <v>6.850911</v>
      </c>
      <c r="DN14" s="21">
        <v>6.850911</v>
      </c>
      <c r="DO14" s="21">
        <v>6.850911</v>
      </c>
      <c r="DP14" s="21">
        <v>6.850911</v>
      </c>
      <c r="DQ14" s="21">
        <v>6.850911</v>
      </c>
      <c r="DR14" s="21">
        <v>6.850911</v>
      </c>
      <c r="DS14" s="21">
        <v>6.850911</v>
      </c>
      <c r="DT14" s="21">
        <v>6.850911</v>
      </c>
      <c r="DU14" s="21">
        <v>6.850911</v>
      </c>
      <c r="DV14" s="21">
        <v>6.850911</v>
      </c>
      <c r="DW14" s="21">
        <v>6.850911</v>
      </c>
      <c r="DX14" s="21">
        <v>6.850911</v>
      </c>
      <c r="DY14" s="21">
        <v>6.850911</v>
      </c>
      <c r="DZ14" s="21">
        <v>6.850911</v>
      </c>
      <c r="EA14" s="21">
        <v>6.850911</v>
      </c>
      <c r="EB14" s="21">
        <v>6.850911</v>
      </c>
      <c r="EC14" s="21">
        <v>6.850911</v>
      </c>
      <c r="ED14" s="21">
        <v>6.850911</v>
      </c>
      <c r="EE14" s="21">
        <v>6.850911</v>
      </c>
      <c r="EF14" s="21">
        <v>6.850911</v>
      </c>
      <c r="EG14" s="21">
        <v>6.850911</v>
      </c>
      <c r="EH14" s="21">
        <v>6.850911</v>
      </c>
      <c r="EI14" s="21">
        <v>6.850911</v>
      </c>
      <c r="EJ14" s="21">
        <v>6.850911</v>
      </c>
      <c r="EK14" s="21">
        <v>6.850911</v>
      </c>
      <c r="EL14" s="21">
        <v>6.850911</v>
      </c>
      <c r="EM14" s="21">
        <v>6.850911</v>
      </c>
      <c r="EN14" s="21">
        <v>6.850911</v>
      </c>
      <c r="EO14" s="21">
        <v>6.850911</v>
      </c>
      <c r="EP14" s="21">
        <v>6.850911</v>
      </c>
      <c r="EQ14" s="21">
        <v>6.850911</v>
      </c>
      <c r="ER14" s="21">
        <v>6.850911</v>
      </c>
      <c r="ES14" s="21">
        <v>6.850911</v>
      </c>
      <c r="ET14" s="21">
        <v>6.850911</v>
      </c>
      <c r="EU14" s="21">
        <v>6.850911</v>
      </c>
      <c r="EV14" s="21">
        <v>6.850911</v>
      </c>
      <c r="EW14" s="21">
        <v>6.850911</v>
      </c>
      <c r="EX14" s="21">
        <v>6.850911</v>
      </c>
      <c r="EY14" s="21">
        <v>6.850911</v>
      </c>
      <c r="EZ14" s="21">
        <v>6.850911</v>
      </c>
      <c r="FA14" s="21">
        <v>6.850911</v>
      </c>
      <c r="FB14" s="21">
        <v>6.850911</v>
      </c>
      <c r="FC14" s="21">
        <v>6.850911</v>
      </c>
      <c r="FD14" s="21">
        <v>6.850911</v>
      </c>
      <c r="FE14" s="21">
        <v>6.850911</v>
      </c>
      <c r="FF14" s="21">
        <v>6.850911</v>
      </c>
      <c r="FG14" s="21">
        <v>6.850911</v>
      </c>
      <c r="FH14" s="21">
        <v>6.850911</v>
      </c>
      <c r="FI14" s="21">
        <v>6.850911</v>
      </c>
      <c r="FJ14" s="21">
        <v>6.850911</v>
      </c>
      <c r="FK14" s="21">
        <v>6.850911</v>
      </c>
      <c r="FL14" s="21">
        <v>6.850911</v>
      </c>
      <c r="FM14" s="21">
        <v>6.850911</v>
      </c>
      <c r="FN14" s="21">
        <v>6.850911</v>
      </c>
      <c r="FO14" s="21">
        <v>6.850911</v>
      </c>
      <c r="FP14" s="21">
        <v>6.850911</v>
      </c>
      <c r="FQ14" s="21">
        <v>6.850911</v>
      </c>
      <c r="FR14" s="21">
        <v>6.850911</v>
      </c>
      <c r="FS14" s="21">
        <v>6.850911</v>
      </c>
      <c r="FT14" s="21">
        <v>6.850911</v>
      </c>
      <c r="FU14" s="21">
        <v>6.850911</v>
      </c>
      <c r="FV14" s="21">
        <v>6.850911</v>
      </c>
      <c r="FW14" s="21">
        <v>6.850911</v>
      </c>
      <c r="FX14" s="21">
        <v>6.850911</v>
      </c>
      <c r="FY14" s="21">
        <v>6.850911</v>
      </c>
      <c r="FZ14" s="21">
        <v>6.850911</v>
      </c>
      <c r="GA14" s="21">
        <v>6.850911</v>
      </c>
      <c r="GB14" s="21">
        <v>6.850911</v>
      </c>
      <c r="GC14" s="21">
        <v>6.850911</v>
      </c>
      <c r="GD14" s="21">
        <v>6.850911</v>
      </c>
      <c r="GE14" s="21">
        <v>6.850911</v>
      </c>
      <c r="GF14" s="21">
        <v>6.850911</v>
      </c>
      <c r="GG14" s="21">
        <v>6.850911</v>
      </c>
      <c r="GH14" s="21">
        <v>6.850911</v>
      </c>
      <c r="GI14" s="21">
        <v>6.850911</v>
      </c>
      <c r="GJ14" s="21">
        <v>6.850911</v>
      </c>
      <c r="GK14" s="21">
        <v>6.850911</v>
      </c>
      <c r="GL14" s="21">
        <v>6.850911</v>
      </c>
      <c r="GM14" s="21">
        <v>6.850911</v>
      </c>
      <c r="GN14" s="21">
        <v>6.850911</v>
      </c>
      <c r="GO14" s="21">
        <v>6.850911</v>
      </c>
      <c r="GP14" s="21">
        <v>6.850911</v>
      </c>
      <c r="GQ14" s="21">
        <v>6.850911</v>
      </c>
      <c r="GR14" s="21">
        <v>6.850911</v>
      </c>
      <c r="GS14" s="21">
        <v>6.850911</v>
      </c>
      <c r="GT14" s="21">
        <v>6.850911</v>
      </c>
      <c r="GU14" s="21">
        <v>6.850911</v>
      </c>
      <c r="GV14" s="21">
        <v>6.850911</v>
      </c>
      <c r="GW14" s="21">
        <v>6.850911</v>
      </c>
      <c r="GX14" s="21">
        <v>6.850911</v>
      </c>
      <c r="GY14" s="21">
        <v>6.850911</v>
      </c>
      <c r="GZ14" s="21">
        <v>6.8938490000000003</v>
      </c>
      <c r="HA14" s="21">
        <v>0</v>
      </c>
      <c r="HB14" s="21">
        <v>0</v>
      </c>
      <c r="HC14" s="21">
        <v>0</v>
      </c>
      <c r="HD14" s="21">
        <v>0</v>
      </c>
      <c r="HE14" s="21">
        <v>0</v>
      </c>
      <c r="HF14" s="21">
        <v>0</v>
      </c>
      <c r="HG14" s="21">
        <v>0</v>
      </c>
      <c r="HH14" s="21">
        <v>0</v>
      </c>
      <c r="HI14" s="21">
        <v>0</v>
      </c>
      <c r="HJ14" s="21">
        <v>0</v>
      </c>
      <c r="HK14" s="21">
        <v>0</v>
      </c>
      <c r="HL14" s="21">
        <v>0</v>
      </c>
      <c r="HM14" s="21">
        <v>0</v>
      </c>
      <c r="HN14" s="21">
        <v>0</v>
      </c>
      <c r="HO14" s="21">
        <v>0</v>
      </c>
      <c r="HP14" s="21">
        <v>0</v>
      </c>
      <c r="HQ14" s="21">
        <v>0</v>
      </c>
      <c r="HR14" s="21">
        <v>0</v>
      </c>
      <c r="HS14" s="21">
        <v>0</v>
      </c>
      <c r="HT14" s="21">
        <v>0</v>
      </c>
      <c r="HU14" s="21">
        <v>0</v>
      </c>
      <c r="HV14" s="21">
        <v>0</v>
      </c>
      <c r="HW14" s="21">
        <v>0</v>
      </c>
      <c r="HX14" s="21">
        <v>0</v>
      </c>
      <c r="HY14" s="21">
        <v>0</v>
      </c>
      <c r="HZ14" s="21">
        <v>0</v>
      </c>
      <c r="IA14" s="21">
        <v>0</v>
      </c>
      <c r="IB14" s="21">
        <v>0</v>
      </c>
      <c r="IC14" s="21">
        <v>0</v>
      </c>
      <c r="ID14" s="21">
        <v>0</v>
      </c>
      <c r="IE14" s="21">
        <v>0</v>
      </c>
      <c r="IF14" s="21">
        <v>0</v>
      </c>
      <c r="IG14" s="21">
        <v>0</v>
      </c>
      <c r="IH14" s="21">
        <v>0</v>
      </c>
      <c r="II14" s="21">
        <v>0</v>
      </c>
      <c r="IJ14" s="21">
        <v>0</v>
      </c>
      <c r="IK14" s="21">
        <v>0</v>
      </c>
      <c r="IL14" s="21">
        <v>0</v>
      </c>
      <c r="IM14" s="21">
        <v>0</v>
      </c>
      <c r="IN14" s="21">
        <v>0</v>
      </c>
      <c r="IO14" s="21">
        <v>0</v>
      </c>
      <c r="IP14" s="21">
        <v>0</v>
      </c>
      <c r="IQ14" s="21">
        <v>0</v>
      </c>
      <c r="IR14" s="21">
        <v>0</v>
      </c>
      <c r="IS14" s="21">
        <v>0</v>
      </c>
      <c r="IT14" s="21">
        <v>0</v>
      </c>
      <c r="IU14" s="21">
        <v>0</v>
      </c>
      <c r="IV14" s="21">
        <v>0</v>
      </c>
      <c r="IW14" s="21">
        <v>0</v>
      </c>
      <c r="IX14" s="21">
        <v>0</v>
      </c>
      <c r="IY14" s="21">
        <v>0</v>
      </c>
      <c r="IZ14" s="21">
        <v>0</v>
      </c>
      <c r="JA14" s="21">
        <v>0</v>
      </c>
      <c r="JB14" s="21">
        <v>0</v>
      </c>
      <c r="JC14" s="21">
        <v>0</v>
      </c>
      <c r="JD14" s="21">
        <v>0</v>
      </c>
      <c r="JE14" s="21">
        <v>0</v>
      </c>
      <c r="JF14" s="21">
        <v>0</v>
      </c>
      <c r="JG14" s="21">
        <v>0</v>
      </c>
      <c r="JH14" s="21">
        <v>0</v>
      </c>
      <c r="JI14" s="21">
        <v>0</v>
      </c>
      <c r="JJ14" s="21">
        <v>0</v>
      </c>
      <c r="JK14" s="21">
        <v>0</v>
      </c>
      <c r="JL14" s="21">
        <v>0</v>
      </c>
      <c r="JM14" s="21">
        <v>0</v>
      </c>
      <c r="JN14" s="21">
        <v>0</v>
      </c>
      <c r="JO14" s="21">
        <v>0</v>
      </c>
      <c r="JP14" s="21">
        <v>0</v>
      </c>
      <c r="JQ14" s="21">
        <v>0</v>
      </c>
      <c r="JR14" s="21">
        <v>0</v>
      </c>
      <c r="JS14" s="21">
        <v>0</v>
      </c>
      <c r="JT14" s="21">
        <v>0</v>
      </c>
      <c r="JU14" s="21">
        <v>0</v>
      </c>
      <c r="JV14" s="21">
        <v>0</v>
      </c>
      <c r="JW14" s="21">
        <v>0</v>
      </c>
      <c r="JX14" s="21">
        <v>0</v>
      </c>
      <c r="JY14" s="21">
        <v>0</v>
      </c>
      <c r="JZ14" s="21">
        <v>0</v>
      </c>
      <c r="KA14" s="21">
        <v>0</v>
      </c>
      <c r="KB14" s="21">
        <v>0</v>
      </c>
      <c r="KC14" s="21">
        <v>0</v>
      </c>
      <c r="KD14" s="21">
        <v>0</v>
      </c>
      <c r="KE14" s="21">
        <v>0</v>
      </c>
      <c r="KF14" s="21">
        <v>0</v>
      </c>
      <c r="KG14" s="21">
        <v>0</v>
      </c>
      <c r="KH14" s="21">
        <v>0</v>
      </c>
      <c r="KI14" s="21">
        <v>0</v>
      </c>
      <c r="KJ14" s="21">
        <v>0</v>
      </c>
      <c r="KK14" s="21">
        <v>0</v>
      </c>
      <c r="KL14" s="21">
        <v>0</v>
      </c>
      <c r="KM14" s="21">
        <v>0</v>
      </c>
      <c r="KN14" s="21">
        <v>0</v>
      </c>
      <c r="KO14" s="21">
        <v>0</v>
      </c>
      <c r="KP14" s="21">
        <v>0</v>
      </c>
      <c r="KQ14" s="21">
        <v>0</v>
      </c>
      <c r="KR14" s="21">
        <v>0</v>
      </c>
      <c r="KS14" s="21">
        <v>0</v>
      </c>
      <c r="KT14" s="21">
        <v>0</v>
      </c>
      <c r="KU14" s="21">
        <v>0</v>
      </c>
      <c r="KV14" s="21">
        <v>0</v>
      </c>
      <c r="KW14" s="21">
        <v>0</v>
      </c>
      <c r="KX14" s="21">
        <v>0</v>
      </c>
      <c r="KY14" s="21">
        <v>0</v>
      </c>
      <c r="KZ14" s="21">
        <v>0</v>
      </c>
      <c r="LA14" s="21">
        <v>0</v>
      </c>
      <c r="LB14" s="21">
        <v>0</v>
      </c>
      <c r="LC14" s="21">
        <v>0</v>
      </c>
      <c r="LD14" s="21">
        <v>0</v>
      </c>
      <c r="LE14" s="21">
        <v>0</v>
      </c>
      <c r="LF14" s="21">
        <v>0</v>
      </c>
      <c r="LG14" s="21">
        <v>0</v>
      </c>
      <c r="LH14" s="21">
        <v>0</v>
      </c>
      <c r="LI14" s="21">
        <v>0</v>
      </c>
      <c r="LJ14" s="21">
        <v>0</v>
      </c>
      <c r="LK14" s="21">
        <v>0</v>
      </c>
      <c r="LL14" s="21">
        <v>0</v>
      </c>
      <c r="LM14" s="21">
        <v>0</v>
      </c>
      <c r="LN14" s="21">
        <v>0</v>
      </c>
      <c r="LO14" s="21">
        <v>0</v>
      </c>
      <c r="LP14" s="21">
        <v>0</v>
      </c>
      <c r="LQ14" s="21">
        <v>0</v>
      </c>
      <c r="LR14" s="21">
        <v>0</v>
      </c>
      <c r="LS14" s="21">
        <v>0</v>
      </c>
      <c r="LT14" s="21">
        <v>0</v>
      </c>
      <c r="LU14" s="21">
        <v>0</v>
      </c>
      <c r="LV14" s="21">
        <v>0</v>
      </c>
      <c r="LW14" s="21">
        <v>0</v>
      </c>
      <c r="LX14" s="21">
        <v>0</v>
      </c>
      <c r="LY14" s="21">
        <v>0</v>
      </c>
      <c r="LZ14" s="21">
        <v>0</v>
      </c>
      <c r="MA14" s="21">
        <v>0</v>
      </c>
      <c r="MB14" s="21">
        <v>0</v>
      </c>
      <c r="MC14" s="21">
        <v>0</v>
      </c>
      <c r="MD14" s="21">
        <v>0</v>
      </c>
      <c r="ME14" s="21">
        <v>0</v>
      </c>
      <c r="MF14" s="21">
        <v>0</v>
      </c>
      <c r="MG14" s="21">
        <v>0</v>
      </c>
      <c r="MH14" s="21">
        <v>0</v>
      </c>
      <c r="MI14" s="21">
        <v>0</v>
      </c>
      <c r="MJ14" s="21">
        <v>0</v>
      </c>
      <c r="MK14" s="21">
        <v>0</v>
      </c>
      <c r="ML14" s="21">
        <v>0</v>
      </c>
      <c r="MM14" s="21">
        <v>0</v>
      </c>
      <c r="MN14" s="21">
        <v>0</v>
      </c>
      <c r="MO14" s="21">
        <v>0</v>
      </c>
      <c r="MP14" s="21">
        <v>0</v>
      </c>
      <c r="MQ14" s="21">
        <v>0</v>
      </c>
      <c r="MR14" s="21">
        <v>0</v>
      </c>
      <c r="MS14" s="21">
        <v>0</v>
      </c>
      <c r="MT14" s="21">
        <v>0</v>
      </c>
      <c r="MU14" s="21">
        <v>0</v>
      </c>
      <c r="MV14" s="21">
        <v>0</v>
      </c>
      <c r="MW14" s="21">
        <v>0</v>
      </c>
      <c r="MX14" s="21">
        <v>0</v>
      </c>
      <c r="MY14" s="21">
        <v>0</v>
      </c>
      <c r="MZ14" s="21">
        <v>0</v>
      </c>
    </row>
    <row r="15" spans="1:364" s="78" customFormat="1" x14ac:dyDescent="0.2">
      <c r="A15" s="7">
        <v>13</v>
      </c>
      <c r="B15" s="16" t="s">
        <v>591</v>
      </c>
      <c r="C15" s="74">
        <v>6</v>
      </c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5.9188619999999998</v>
      </c>
      <c r="K15" s="21">
        <v>5.9188619999999998</v>
      </c>
      <c r="L15" s="21">
        <v>5.9188619999999998</v>
      </c>
      <c r="M15" s="21">
        <v>5.9188619999999998</v>
      </c>
      <c r="N15" s="21">
        <v>5.9188619999999998</v>
      </c>
      <c r="O15" s="21">
        <v>5.9188619999999998</v>
      </c>
      <c r="P15" s="21">
        <v>5.9188619999999998</v>
      </c>
      <c r="Q15" s="21">
        <v>5.9188619999999998</v>
      </c>
      <c r="R15" s="21">
        <v>5.9188619999999998</v>
      </c>
      <c r="S15" s="21">
        <v>5.9188619999999998</v>
      </c>
      <c r="T15" s="21">
        <v>5.9188619999999998</v>
      </c>
      <c r="U15" s="21">
        <v>5.9188619999999998</v>
      </c>
      <c r="V15" s="21">
        <v>5.9188619999999998</v>
      </c>
      <c r="W15" s="21">
        <v>5.9188619999999998</v>
      </c>
      <c r="X15" s="21">
        <v>5.9188619999999998</v>
      </c>
      <c r="Y15" s="21">
        <v>5.9188619999999998</v>
      </c>
      <c r="Z15" s="21">
        <v>5.9188619999999998</v>
      </c>
      <c r="AA15" s="21">
        <v>5.9188619999999998</v>
      </c>
      <c r="AB15" s="21">
        <v>5.9188619999999998</v>
      </c>
      <c r="AC15" s="21">
        <v>5.9188619999999998</v>
      </c>
      <c r="AD15" s="21">
        <v>5.9188619999999998</v>
      </c>
      <c r="AE15" s="21">
        <v>5.9188619999999998</v>
      </c>
      <c r="AF15" s="21">
        <v>5.9188619999999998</v>
      </c>
      <c r="AG15" s="21">
        <v>5.9188619999999998</v>
      </c>
      <c r="AH15" s="21">
        <v>5.9188619999999998</v>
      </c>
      <c r="AI15" s="21">
        <v>5.9188619999999998</v>
      </c>
      <c r="AJ15" s="21">
        <v>5.9188619999999998</v>
      </c>
      <c r="AK15" s="21">
        <v>5.9188619999999998</v>
      </c>
      <c r="AL15" s="21">
        <v>5.9188619999999998</v>
      </c>
      <c r="AM15" s="21">
        <v>5.9188619999999998</v>
      </c>
      <c r="AN15" s="21">
        <v>5.9188619999999998</v>
      </c>
      <c r="AO15" s="21">
        <v>5.9188619999999998</v>
      </c>
      <c r="AP15" s="21">
        <v>5.9188619999999998</v>
      </c>
      <c r="AQ15" s="21">
        <v>5.9188619999999998</v>
      </c>
      <c r="AR15" s="21">
        <v>5.9188619999999998</v>
      </c>
      <c r="AS15" s="21">
        <v>5.9188619999999998</v>
      </c>
      <c r="AT15" s="21">
        <v>5.9188619999999998</v>
      </c>
      <c r="AU15" s="21">
        <v>5.9188619999999998</v>
      </c>
      <c r="AV15" s="21">
        <v>5.9188619999999998</v>
      </c>
      <c r="AW15" s="21">
        <v>5.9188619999999998</v>
      </c>
      <c r="AX15" s="21">
        <v>5.9188619999999998</v>
      </c>
      <c r="AY15" s="21">
        <v>5.9188619999999998</v>
      </c>
      <c r="AZ15" s="21">
        <v>5.9188619999999998</v>
      </c>
      <c r="BA15" s="21">
        <v>5.9188619999999998</v>
      </c>
      <c r="BB15" s="21">
        <v>5.9188619999999998</v>
      </c>
      <c r="BC15" s="21">
        <v>5.9188619999999998</v>
      </c>
      <c r="BD15" s="21">
        <v>5.9188619999999998</v>
      </c>
      <c r="BE15" s="21">
        <v>5.9188619999999998</v>
      </c>
      <c r="BF15" s="21">
        <v>5.9188619999999998</v>
      </c>
      <c r="BG15" s="21">
        <v>5.9188619999999998</v>
      </c>
      <c r="BH15" s="21">
        <v>5.9188619999999998</v>
      </c>
      <c r="BI15" s="21">
        <v>5.9188619999999998</v>
      </c>
      <c r="BJ15" s="21">
        <v>5.9188619999999998</v>
      </c>
      <c r="BK15" s="21">
        <v>5.9188619999999998</v>
      </c>
      <c r="BL15" s="21">
        <v>5.9188619999999998</v>
      </c>
      <c r="BM15" s="21">
        <v>5.9188619999999998</v>
      </c>
      <c r="BN15" s="21">
        <v>5.9188619999999998</v>
      </c>
      <c r="BO15" s="21">
        <v>5.9188619999999998</v>
      </c>
      <c r="BP15" s="21">
        <v>5.9188619999999998</v>
      </c>
      <c r="BQ15" s="21">
        <v>5.9188619999999998</v>
      </c>
      <c r="BR15" s="21">
        <v>5.9188619999999998</v>
      </c>
      <c r="BS15" s="21">
        <v>5.9188619999999998</v>
      </c>
      <c r="BT15" s="21">
        <v>5.9188619999999998</v>
      </c>
      <c r="BU15" s="21">
        <v>5.9188619999999998</v>
      </c>
      <c r="BV15" s="21">
        <v>5.9188619999999998</v>
      </c>
      <c r="BW15" s="21">
        <v>5.9188619999999998</v>
      </c>
      <c r="BX15" s="21">
        <v>5.9188619999999998</v>
      </c>
      <c r="BY15" s="21">
        <v>5.9188619999999998</v>
      </c>
      <c r="BZ15" s="21">
        <v>5.9188619999999998</v>
      </c>
      <c r="CA15" s="21">
        <v>5.9188619999999998</v>
      </c>
      <c r="CB15" s="21">
        <v>5.9188619999999998</v>
      </c>
      <c r="CC15" s="21">
        <v>5.9188619999999998</v>
      </c>
      <c r="CD15" s="21">
        <v>5.9188619999999998</v>
      </c>
      <c r="CE15" s="21">
        <v>5.9188619999999998</v>
      </c>
      <c r="CF15" s="21">
        <v>5.9188619999999998</v>
      </c>
      <c r="CG15" s="21">
        <v>5.9188619999999998</v>
      </c>
      <c r="CH15" s="21">
        <v>5.9188619999999998</v>
      </c>
      <c r="CI15" s="21">
        <v>5.9188619999999998</v>
      </c>
      <c r="CJ15" s="21">
        <v>5.9188619999999998</v>
      </c>
      <c r="CK15" s="21">
        <v>5.9188619999999998</v>
      </c>
      <c r="CL15" s="21">
        <v>5.9188619999999998</v>
      </c>
      <c r="CM15" s="21">
        <v>5.9188619999999998</v>
      </c>
      <c r="CN15" s="21">
        <v>5.9188619999999998</v>
      </c>
      <c r="CO15" s="21">
        <v>5.9188619999999998</v>
      </c>
      <c r="CP15" s="21">
        <v>5.9188619999999998</v>
      </c>
      <c r="CQ15" s="21">
        <v>5.9188619999999998</v>
      </c>
      <c r="CR15" s="21">
        <v>5.9188619999999998</v>
      </c>
      <c r="CS15" s="21">
        <v>5.9188619999999998</v>
      </c>
      <c r="CT15" s="21">
        <v>5.9188619999999998</v>
      </c>
      <c r="CU15" s="21">
        <v>5.9188619999999998</v>
      </c>
      <c r="CV15" s="21">
        <v>5.9188619999999998</v>
      </c>
      <c r="CW15" s="21">
        <v>5.9188619999999998</v>
      </c>
      <c r="CX15" s="21">
        <v>5.9188619999999998</v>
      </c>
      <c r="CY15" s="21">
        <v>5.9188619999999998</v>
      </c>
      <c r="CZ15" s="21">
        <v>5.9188619999999998</v>
      </c>
      <c r="DA15" s="21">
        <v>5.9188619999999998</v>
      </c>
      <c r="DB15" s="21">
        <v>5.9188619999999998</v>
      </c>
      <c r="DC15" s="21">
        <v>5.9188619999999998</v>
      </c>
      <c r="DD15" s="21">
        <v>5.9188619999999998</v>
      </c>
      <c r="DE15" s="21">
        <v>5.9188619999999998</v>
      </c>
      <c r="DF15" s="21">
        <v>5.9188619999999998</v>
      </c>
      <c r="DG15" s="21">
        <v>5.9188619999999998</v>
      </c>
      <c r="DH15" s="21">
        <v>5.9188619999999998</v>
      </c>
      <c r="DI15" s="21">
        <v>5.9188619999999998</v>
      </c>
      <c r="DJ15" s="21">
        <v>5.9188619999999998</v>
      </c>
      <c r="DK15" s="21">
        <v>5.9188619999999998</v>
      </c>
      <c r="DL15" s="21">
        <v>5.9188619999999998</v>
      </c>
      <c r="DM15" s="21">
        <v>5.9188619999999998</v>
      </c>
      <c r="DN15" s="21">
        <v>5.9188619999999998</v>
      </c>
      <c r="DO15" s="21">
        <v>5.9188619999999998</v>
      </c>
      <c r="DP15" s="21">
        <v>5.9188619999999998</v>
      </c>
      <c r="DQ15" s="21">
        <v>5.9188619999999998</v>
      </c>
      <c r="DR15" s="21">
        <v>5.9188619999999998</v>
      </c>
      <c r="DS15" s="21">
        <v>5.9188619999999998</v>
      </c>
      <c r="DT15" s="21">
        <v>5.9188619999999998</v>
      </c>
      <c r="DU15" s="21">
        <v>5.9188619999999998</v>
      </c>
      <c r="DV15" s="21">
        <v>5.9188619999999998</v>
      </c>
      <c r="DW15" s="21">
        <v>5.9188619999999998</v>
      </c>
      <c r="DX15" s="21">
        <v>5.9188619999999998</v>
      </c>
      <c r="DY15" s="21">
        <v>5.9188619999999998</v>
      </c>
      <c r="DZ15" s="21">
        <v>5.9188619999999998</v>
      </c>
      <c r="EA15" s="21">
        <v>5.9188619999999998</v>
      </c>
      <c r="EB15" s="21">
        <v>5.9188619999999998</v>
      </c>
      <c r="EC15" s="21">
        <v>5.9188619999999998</v>
      </c>
      <c r="ED15" s="21">
        <v>5.9188619999999998</v>
      </c>
      <c r="EE15" s="21">
        <v>5.9188619999999998</v>
      </c>
      <c r="EF15" s="21">
        <v>5.9188619999999998</v>
      </c>
      <c r="EG15" s="21">
        <v>5.9188619999999998</v>
      </c>
      <c r="EH15" s="21">
        <v>5.9188619999999998</v>
      </c>
      <c r="EI15" s="21">
        <v>5.9188619999999998</v>
      </c>
      <c r="EJ15" s="21">
        <v>5.9188619999999998</v>
      </c>
      <c r="EK15" s="21">
        <v>5.9188619999999998</v>
      </c>
      <c r="EL15" s="21">
        <v>5.9188619999999998</v>
      </c>
      <c r="EM15" s="21">
        <v>5.9188619999999998</v>
      </c>
      <c r="EN15" s="21">
        <v>5.9188619999999998</v>
      </c>
      <c r="EO15" s="21">
        <v>5.9188619999999998</v>
      </c>
      <c r="EP15" s="21">
        <v>5.9188619999999998</v>
      </c>
      <c r="EQ15" s="21">
        <v>5.9188619999999998</v>
      </c>
      <c r="ER15" s="21">
        <v>5.9188619999999998</v>
      </c>
      <c r="ES15" s="21">
        <v>5.9188619999999998</v>
      </c>
      <c r="ET15" s="21">
        <v>5.9188619999999998</v>
      </c>
      <c r="EU15" s="21">
        <v>5.9188619999999998</v>
      </c>
      <c r="EV15" s="21">
        <v>5.9188619999999998</v>
      </c>
      <c r="EW15" s="21">
        <v>5.9188619999999998</v>
      </c>
      <c r="EX15" s="21">
        <v>5.9188619999999998</v>
      </c>
      <c r="EY15" s="21">
        <v>5.9188619999999998</v>
      </c>
      <c r="EZ15" s="21">
        <v>5.9188619999999998</v>
      </c>
      <c r="FA15" s="21">
        <v>5.9188619999999998</v>
      </c>
      <c r="FB15" s="21">
        <v>5.9188619999999998</v>
      </c>
      <c r="FC15" s="21">
        <v>5.9188619999999998</v>
      </c>
      <c r="FD15" s="21">
        <v>5.9188619999999998</v>
      </c>
      <c r="FE15" s="21">
        <v>5.9188619999999998</v>
      </c>
      <c r="FF15" s="21">
        <v>5.9188619999999998</v>
      </c>
      <c r="FG15" s="21">
        <v>5.9188619999999998</v>
      </c>
      <c r="FH15" s="21">
        <v>5.9188619999999998</v>
      </c>
      <c r="FI15" s="21">
        <v>5.9188619999999998</v>
      </c>
      <c r="FJ15" s="21">
        <v>5.9188619999999998</v>
      </c>
      <c r="FK15" s="21">
        <v>5.9188619999999998</v>
      </c>
      <c r="FL15" s="21">
        <v>5.9188619999999998</v>
      </c>
      <c r="FM15" s="21">
        <v>5.9188619999999998</v>
      </c>
      <c r="FN15" s="21">
        <v>5.9188619999999998</v>
      </c>
      <c r="FO15" s="21">
        <v>5.9188619999999998</v>
      </c>
      <c r="FP15" s="21">
        <v>5.9188619999999998</v>
      </c>
      <c r="FQ15" s="21">
        <v>5.9188619999999998</v>
      </c>
      <c r="FR15" s="21">
        <v>5.9188619999999998</v>
      </c>
      <c r="FS15" s="21">
        <v>5.9188619999999998</v>
      </c>
      <c r="FT15" s="21">
        <v>5.9188619999999998</v>
      </c>
      <c r="FU15" s="21">
        <v>5.9188619999999998</v>
      </c>
      <c r="FV15" s="21">
        <v>5.9188619999999998</v>
      </c>
      <c r="FW15" s="21">
        <v>5.9188619999999998</v>
      </c>
      <c r="FX15" s="21">
        <v>5.9188619999999998</v>
      </c>
      <c r="FY15" s="21">
        <v>5.9188619999999998</v>
      </c>
      <c r="FZ15" s="21">
        <v>5.9188619999999998</v>
      </c>
      <c r="GA15" s="21">
        <v>5.9188619999999998</v>
      </c>
      <c r="GB15" s="21">
        <v>5.9188619999999998</v>
      </c>
      <c r="GC15" s="21">
        <v>5.9188619999999998</v>
      </c>
      <c r="GD15" s="21">
        <v>5.9188619999999998</v>
      </c>
      <c r="GE15" s="21">
        <v>5.9188619999999998</v>
      </c>
      <c r="GF15" s="21">
        <v>5.9188619999999998</v>
      </c>
      <c r="GG15" s="21">
        <v>5.9188619999999998</v>
      </c>
      <c r="GH15" s="21">
        <v>5.9188619999999998</v>
      </c>
      <c r="GI15" s="21">
        <v>5.9188619999999998</v>
      </c>
      <c r="GJ15" s="21">
        <v>5.9188619999999998</v>
      </c>
      <c r="GK15" s="21">
        <v>5.9188619999999998</v>
      </c>
      <c r="GL15" s="21">
        <v>5.9188619999999998</v>
      </c>
      <c r="GM15" s="21">
        <v>5.9188619999999998</v>
      </c>
      <c r="GN15" s="21">
        <v>5.9188619999999998</v>
      </c>
      <c r="GO15" s="21">
        <v>5.9188619999999998</v>
      </c>
      <c r="GP15" s="21">
        <v>5.9188619999999998</v>
      </c>
      <c r="GQ15" s="21">
        <v>5.9188619999999998</v>
      </c>
      <c r="GR15" s="21">
        <v>5.9188619999999998</v>
      </c>
      <c r="GS15" s="21">
        <v>5.9188619999999998</v>
      </c>
      <c r="GT15" s="21">
        <v>5.9188619999999998</v>
      </c>
      <c r="GU15" s="21">
        <v>5.9188619999999998</v>
      </c>
      <c r="GV15" s="21">
        <v>5.9188619999999998</v>
      </c>
      <c r="GW15" s="21">
        <v>5.9188619999999998</v>
      </c>
      <c r="GX15" s="21">
        <v>5.9188619999999998</v>
      </c>
      <c r="GY15" s="21">
        <v>5.9188619999999998</v>
      </c>
      <c r="GZ15" s="21">
        <v>5.9188619999999998</v>
      </c>
      <c r="HA15" s="21">
        <v>5.9188619999999998</v>
      </c>
      <c r="HB15" s="21">
        <v>5.9188619999999998</v>
      </c>
      <c r="HC15" s="21">
        <v>5.9188619999999998</v>
      </c>
      <c r="HD15" s="21">
        <v>5.9188619999999998</v>
      </c>
      <c r="HE15" s="21">
        <v>5.9188619999999998</v>
      </c>
      <c r="HF15" s="21">
        <v>5.9188619999999998</v>
      </c>
      <c r="HG15" s="21">
        <v>5.9188619999999998</v>
      </c>
      <c r="HH15" s="21">
        <v>5.9188619999999998</v>
      </c>
      <c r="HI15" s="21">
        <v>5.9188619999999998</v>
      </c>
      <c r="HJ15" s="21">
        <v>5.9188619999999998</v>
      </c>
      <c r="HK15" s="21">
        <v>5.9188619999999998</v>
      </c>
      <c r="HL15" s="21">
        <v>5.9188619999999998</v>
      </c>
      <c r="HM15" s="21">
        <v>5.9188619999999998</v>
      </c>
      <c r="HN15" s="21">
        <v>5.9188619999999998</v>
      </c>
      <c r="HO15" s="21">
        <v>5.9188619999999998</v>
      </c>
      <c r="HP15" s="21">
        <v>5.9188619999999998</v>
      </c>
      <c r="HQ15" s="21">
        <v>5.9188619999999998</v>
      </c>
      <c r="HR15" s="21">
        <v>5.9188619999999998</v>
      </c>
      <c r="HS15" s="21">
        <v>5.9188619999999998</v>
      </c>
      <c r="HT15" s="21">
        <v>5.9188619999999998</v>
      </c>
      <c r="HU15" s="21">
        <v>5.9188619999999998</v>
      </c>
      <c r="HV15" s="21">
        <v>5.9188619999999998</v>
      </c>
      <c r="HW15" s="21">
        <v>5.9188619999999998</v>
      </c>
      <c r="HX15" s="21">
        <v>5.9188619999999998</v>
      </c>
      <c r="HY15" s="21">
        <v>5.9188619999999998</v>
      </c>
      <c r="HZ15" s="21">
        <v>5.9188619999999998</v>
      </c>
      <c r="IA15" s="21">
        <v>5.9188619999999998</v>
      </c>
      <c r="IB15" s="21">
        <v>5.9188619999999998</v>
      </c>
      <c r="IC15" s="21">
        <v>5.9188619999999998</v>
      </c>
      <c r="ID15" s="21">
        <v>5.9188619999999998</v>
      </c>
      <c r="IE15" s="21">
        <v>5.9188619999999998</v>
      </c>
      <c r="IF15" s="21">
        <v>5.9188619999999998</v>
      </c>
      <c r="IG15" s="21">
        <v>5.9188619999999998</v>
      </c>
      <c r="IH15" s="21">
        <v>5.9188619999999998</v>
      </c>
      <c r="II15" s="21">
        <v>5.9188619999999998</v>
      </c>
      <c r="IJ15" s="21">
        <v>5.7817319999999999</v>
      </c>
      <c r="IK15" s="21">
        <v>0</v>
      </c>
      <c r="IL15" s="21">
        <v>0</v>
      </c>
      <c r="IM15" s="21">
        <v>0</v>
      </c>
      <c r="IN15" s="21">
        <v>0</v>
      </c>
      <c r="IO15" s="21">
        <v>0</v>
      </c>
      <c r="IP15" s="21">
        <v>0</v>
      </c>
      <c r="IQ15" s="21">
        <v>0</v>
      </c>
      <c r="IR15" s="21">
        <v>0</v>
      </c>
      <c r="IS15" s="21">
        <v>0</v>
      </c>
      <c r="IT15" s="21">
        <v>0</v>
      </c>
      <c r="IU15" s="21">
        <v>0</v>
      </c>
      <c r="IV15" s="21">
        <v>0</v>
      </c>
      <c r="IW15" s="21">
        <v>0</v>
      </c>
      <c r="IX15" s="21">
        <v>0</v>
      </c>
      <c r="IY15" s="21">
        <v>0</v>
      </c>
      <c r="IZ15" s="21">
        <v>0</v>
      </c>
      <c r="JA15" s="21">
        <v>0</v>
      </c>
      <c r="JB15" s="21">
        <v>0</v>
      </c>
      <c r="JC15" s="21">
        <v>0</v>
      </c>
      <c r="JD15" s="21">
        <v>0</v>
      </c>
      <c r="JE15" s="21">
        <v>0</v>
      </c>
      <c r="JF15" s="21">
        <v>0</v>
      </c>
      <c r="JG15" s="21">
        <v>0</v>
      </c>
      <c r="JH15" s="21">
        <v>0</v>
      </c>
      <c r="JI15" s="21">
        <v>0</v>
      </c>
      <c r="JJ15" s="21">
        <v>0</v>
      </c>
      <c r="JK15" s="21">
        <v>0</v>
      </c>
      <c r="JL15" s="21">
        <v>0</v>
      </c>
      <c r="JM15" s="21">
        <v>0</v>
      </c>
      <c r="JN15" s="21">
        <v>0</v>
      </c>
      <c r="JO15" s="21">
        <v>0</v>
      </c>
      <c r="JP15" s="21">
        <v>0</v>
      </c>
      <c r="JQ15" s="21">
        <v>0</v>
      </c>
      <c r="JR15" s="21">
        <v>0</v>
      </c>
      <c r="JS15" s="21">
        <v>0</v>
      </c>
      <c r="JT15" s="21">
        <v>0</v>
      </c>
      <c r="JU15" s="21">
        <v>0</v>
      </c>
      <c r="JV15" s="21">
        <v>0</v>
      </c>
      <c r="JW15" s="21">
        <v>0</v>
      </c>
      <c r="JX15" s="21">
        <v>0</v>
      </c>
      <c r="JY15" s="21">
        <v>0</v>
      </c>
      <c r="JZ15" s="21">
        <v>0</v>
      </c>
      <c r="KA15" s="21">
        <v>0</v>
      </c>
      <c r="KB15" s="21">
        <v>0</v>
      </c>
      <c r="KC15" s="21">
        <v>0</v>
      </c>
      <c r="KD15" s="21">
        <v>0</v>
      </c>
      <c r="KE15" s="21">
        <v>0</v>
      </c>
      <c r="KF15" s="21">
        <v>0</v>
      </c>
      <c r="KG15" s="21">
        <v>0</v>
      </c>
      <c r="KH15" s="21">
        <v>0</v>
      </c>
      <c r="KI15" s="21">
        <v>0</v>
      </c>
      <c r="KJ15" s="21">
        <v>0</v>
      </c>
      <c r="KK15" s="21">
        <v>0</v>
      </c>
      <c r="KL15" s="21">
        <v>0</v>
      </c>
      <c r="KM15" s="21">
        <v>0</v>
      </c>
      <c r="KN15" s="21">
        <v>0</v>
      </c>
      <c r="KO15" s="21">
        <v>0</v>
      </c>
      <c r="KP15" s="21">
        <v>0</v>
      </c>
      <c r="KQ15" s="21">
        <v>0</v>
      </c>
      <c r="KR15" s="21">
        <v>0</v>
      </c>
      <c r="KS15" s="21">
        <v>0</v>
      </c>
      <c r="KT15" s="21">
        <v>0</v>
      </c>
      <c r="KU15" s="21">
        <v>0</v>
      </c>
      <c r="KV15" s="21">
        <v>0</v>
      </c>
      <c r="KW15" s="21">
        <v>0</v>
      </c>
      <c r="KX15" s="21">
        <v>0</v>
      </c>
      <c r="KY15" s="21">
        <v>0</v>
      </c>
      <c r="KZ15" s="21">
        <v>0</v>
      </c>
      <c r="LA15" s="21">
        <v>0</v>
      </c>
      <c r="LB15" s="21">
        <v>0</v>
      </c>
      <c r="LC15" s="21">
        <v>0</v>
      </c>
      <c r="LD15" s="21">
        <v>0</v>
      </c>
      <c r="LE15" s="21">
        <v>0</v>
      </c>
      <c r="LF15" s="21">
        <v>0</v>
      </c>
      <c r="LG15" s="21">
        <v>0</v>
      </c>
      <c r="LH15" s="21">
        <v>0</v>
      </c>
      <c r="LI15" s="21">
        <v>0</v>
      </c>
      <c r="LJ15" s="21">
        <v>0</v>
      </c>
      <c r="LK15" s="21">
        <v>0</v>
      </c>
      <c r="LL15" s="21">
        <v>0</v>
      </c>
      <c r="LM15" s="21">
        <v>0</v>
      </c>
      <c r="LN15" s="21">
        <v>0</v>
      </c>
      <c r="LO15" s="21">
        <v>0</v>
      </c>
      <c r="LP15" s="21">
        <v>0</v>
      </c>
      <c r="LQ15" s="21">
        <v>0</v>
      </c>
      <c r="LR15" s="21">
        <v>0</v>
      </c>
      <c r="LS15" s="21">
        <v>0</v>
      </c>
      <c r="LT15" s="21">
        <v>0</v>
      </c>
      <c r="LU15" s="21">
        <v>0</v>
      </c>
      <c r="LV15" s="21">
        <v>0</v>
      </c>
      <c r="LW15" s="21">
        <v>0</v>
      </c>
      <c r="LX15" s="21">
        <v>0</v>
      </c>
      <c r="LY15" s="21">
        <v>0</v>
      </c>
      <c r="LZ15" s="21">
        <v>0</v>
      </c>
      <c r="MA15" s="21">
        <v>0</v>
      </c>
      <c r="MB15" s="21">
        <v>0</v>
      </c>
      <c r="MC15" s="21">
        <v>0</v>
      </c>
      <c r="MD15" s="21">
        <v>0</v>
      </c>
      <c r="ME15" s="21">
        <v>0</v>
      </c>
      <c r="MF15" s="21">
        <v>0</v>
      </c>
      <c r="MG15" s="21">
        <v>0</v>
      </c>
      <c r="MH15" s="21">
        <v>0</v>
      </c>
      <c r="MI15" s="21">
        <v>0</v>
      </c>
      <c r="MJ15" s="21">
        <v>0</v>
      </c>
      <c r="MK15" s="21">
        <v>0</v>
      </c>
      <c r="ML15" s="21">
        <v>0</v>
      </c>
      <c r="MM15" s="21">
        <v>0</v>
      </c>
      <c r="MN15" s="21">
        <v>0</v>
      </c>
      <c r="MO15" s="21">
        <v>0</v>
      </c>
      <c r="MP15" s="21">
        <v>0</v>
      </c>
      <c r="MQ15" s="21">
        <v>0</v>
      </c>
      <c r="MR15" s="21">
        <v>0</v>
      </c>
      <c r="MS15" s="21">
        <v>0</v>
      </c>
      <c r="MT15" s="21">
        <v>0</v>
      </c>
      <c r="MU15" s="21">
        <v>0</v>
      </c>
      <c r="MV15" s="21">
        <v>0</v>
      </c>
      <c r="MW15" s="21">
        <v>0</v>
      </c>
      <c r="MX15" s="21">
        <v>0</v>
      </c>
      <c r="MY15" s="21">
        <v>0</v>
      </c>
      <c r="MZ15" s="21">
        <v>0</v>
      </c>
    </row>
    <row r="16" spans="1:364" s="78" customFormat="1" x14ac:dyDescent="0.2">
      <c r="A16" s="7">
        <v>14</v>
      </c>
      <c r="B16" s="16" t="s">
        <v>599</v>
      </c>
      <c r="C16" s="74">
        <v>6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11.648244999999999</v>
      </c>
      <c r="K16" s="21">
        <v>11.648244999999999</v>
      </c>
      <c r="L16" s="21">
        <v>11.648244999999999</v>
      </c>
      <c r="M16" s="21">
        <v>11.648244999999999</v>
      </c>
      <c r="N16" s="21">
        <v>11.648244999999999</v>
      </c>
      <c r="O16" s="21">
        <v>11.648244999999999</v>
      </c>
      <c r="P16" s="21">
        <v>11.648244999999999</v>
      </c>
      <c r="Q16" s="21">
        <v>11.648244999999999</v>
      </c>
      <c r="R16" s="21">
        <v>11.648244999999999</v>
      </c>
      <c r="S16" s="21">
        <v>11.648244999999999</v>
      </c>
      <c r="T16" s="21">
        <v>11.648244999999999</v>
      </c>
      <c r="U16" s="21">
        <v>11.648244999999999</v>
      </c>
      <c r="V16" s="21">
        <v>11.648244999999999</v>
      </c>
      <c r="W16" s="21">
        <v>11.648244999999999</v>
      </c>
      <c r="X16" s="21">
        <v>11.648244999999999</v>
      </c>
      <c r="Y16" s="21">
        <v>11.648244999999999</v>
      </c>
      <c r="Z16" s="21">
        <v>11.648244999999999</v>
      </c>
      <c r="AA16" s="21">
        <v>11.648244999999999</v>
      </c>
      <c r="AB16" s="21">
        <v>11.648244999999999</v>
      </c>
      <c r="AC16" s="21">
        <v>11.648244999999999</v>
      </c>
      <c r="AD16" s="21">
        <v>11.648244999999999</v>
      </c>
      <c r="AE16" s="21">
        <v>11.648244999999999</v>
      </c>
      <c r="AF16" s="21">
        <v>11.648244999999999</v>
      </c>
      <c r="AG16" s="21">
        <v>11.648244999999999</v>
      </c>
      <c r="AH16" s="21">
        <v>11.648244999999999</v>
      </c>
      <c r="AI16" s="21">
        <v>11.648244999999999</v>
      </c>
      <c r="AJ16" s="21">
        <v>11.648244999999999</v>
      </c>
      <c r="AK16" s="21">
        <v>11.648244999999999</v>
      </c>
      <c r="AL16" s="21">
        <v>11.648244999999999</v>
      </c>
      <c r="AM16" s="21">
        <v>11.648244999999999</v>
      </c>
      <c r="AN16" s="21">
        <v>11.648244999999999</v>
      </c>
      <c r="AO16" s="21">
        <v>11.648244999999999</v>
      </c>
      <c r="AP16" s="21">
        <v>11.648244999999999</v>
      </c>
      <c r="AQ16" s="21">
        <v>11.648244999999999</v>
      </c>
      <c r="AR16" s="21">
        <v>11.648244999999999</v>
      </c>
      <c r="AS16" s="21">
        <v>11.648244999999999</v>
      </c>
      <c r="AT16" s="21">
        <v>11.648244999999999</v>
      </c>
      <c r="AU16" s="21">
        <v>11.648244999999999</v>
      </c>
      <c r="AV16" s="21">
        <v>11.648244999999999</v>
      </c>
      <c r="AW16" s="21">
        <v>11.648244999999999</v>
      </c>
      <c r="AX16" s="21">
        <v>11.648244999999999</v>
      </c>
      <c r="AY16" s="21">
        <v>11.648244999999999</v>
      </c>
      <c r="AZ16" s="21">
        <v>11.648244999999999</v>
      </c>
      <c r="BA16" s="21">
        <v>11.648244999999999</v>
      </c>
      <c r="BB16" s="21">
        <v>11.648244999999999</v>
      </c>
      <c r="BC16" s="21">
        <v>11.648244999999999</v>
      </c>
      <c r="BD16" s="21">
        <v>11.648244999999999</v>
      </c>
      <c r="BE16" s="21">
        <v>11.648244999999999</v>
      </c>
      <c r="BF16" s="21">
        <v>11.648244999999999</v>
      </c>
      <c r="BG16" s="21">
        <v>11.648244999999999</v>
      </c>
      <c r="BH16" s="21">
        <v>11.648244999999999</v>
      </c>
      <c r="BI16" s="21">
        <v>11.648244999999999</v>
      </c>
      <c r="BJ16" s="21">
        <v>11.648244999999999</v>
      </c>
      <c r="BK16" s="21">
        <v>11.648244999999999</v>
      </c>
      <c r="BL16" s="21">
        <v>11.648244999999999</v>
      </c>
      <c r="BM16" s="21">
        <v>11.648244999999999</v>
      </c>
      <c r="BN16" s="21">
        <v>11.648244999999999</v>
      </c>
      <c r="BO16" s="21">
        <v>11.648244999999999</v>
      </c>
      <c r="BP16" s="21">
        <v>11.648244999999999</v>
      </c>
      <c r="BQ16" s="21">
        <v>11.648244999999999</v>
      </c>
      <c r="BR16" s="21">
        <v>11.648244999999999</v>
      </c>
      <c r="BS16" s="21">
        <v>11.648244999999999</v>
      </c>
      <c r="BT16" s="21">
        <v>11.648244999999999</v>
      </c>
      <c r="BU16" s="21">
        <v>11.648244999999999</v>
      </c>
      <c r="BV16" s="21">
        <v>11.648244999999999</v>
      </c>
      <c r="BW16" s="21">
        <v>11.648244999999999</v>
      </c>
      <c r="BX16" s="21">
        <v>11.648244999999999</v>
      </c>
      <c r="BY16" s="21">
        <v>11.648244999999999</v>
      </c>
      <c r="BZ16" s="21">
        <v>11.648244999999999</v>
      </c>
      <c r="CA16" s="21">
        <v>11.648244999999999</v>
      </c>
      <c r="CB16" s="21">
        <v>11.648244999999999</v>
      </c>
      <c r="CC16" s="21">
        <v>11.648244999999999</v>
      </c>
      <c r="CD16" s="21">
        <v>11.648244999999999</v>
      </c>
      <c r="CE16" s="21">
        <v>11.648244999999999</v>
      </c>
      <c r="CF16" s="21">
        <v>11.648244999999999</v>
      </c>
      <c r="CG16" s="21">
        <v>11.648244999999999</v>
      </c>
      <c r="CH16" s="21">
        <v>11.648244999999999</v>
      </c>
      <c r="CI16" s="21">
        <v>11.648244999999999</v>
      </c>
      <c r="CJ16" s="21">
        <v>11.648244999999999</v>
      </c>
      <c r="CK16" s="21">
        <v>11.648244999999999</v>
      </c>
      <c r="CL16" s="21">
        <v>11.648244999999999</v>
      </c>
      <c r="CM16" s="21">
        <v>11.648244999999999</v>
      </c>
      <c r="CN16" s="21">
        <v>11.648244999999999</v>
      </c>
      <c r="CO16" s="21">
        <v>11.648244999999999</v>
      </c>
      <c r="CP16" s="21">
        <v>11.648244999999999</v>
      </c>
      <c r="CQ16" s="21">
        <v>11.648244999999999</v>
      </c>
      <c r="CR16" s="21">
        <v>11.648244999999999</v>
      </c>
      <c r="CS16" s="21">
        <v>11.648244999999999</v>
      </c>
      <c r="CT16" s="21">
        <v>11.648244999999999</v>
      </c>
      <c r="CU16" s="21">
        <v>11.648244999999999</v>
      </c>
      <c r="CV16" s="21">
        <v>11.648244999999999</v>
      </c>
      <c r="CW16" s="21">
        <v>11.648244999999999</v>
      </c>
      <c r="CX16" s="21">
        <v>11.648244999999999</v>
      </c>
      <c r="CY16" s="21">
        <v>11.648244999999999</v>
      </c>
      <c r="CZ16" s="21">
        <v>11.648244999999999</v>
      </c>
      <c r="DA16" s="21">
        <v>11.648244999999999</v>
      </c>
      <c r="DB16" s="21">
        <v>11.648244999999999</v>
      </c>
      <c r="DC16" s="21">
        <v>11.648244999999999</v>
      </c>
      <c r="DD16" s="21">
        <v>11.648244999999999</v>
      </c>
      <c r="DE16" s="21">
        <v>11.648244999999999</v>
      </c>
      <c r="DF16" s="21">
        <v>11.648244999999999</v>
      </c>
      <c r="DG16" s="21">
        <v>11.648244999999999</v>
      </c>
      <c r="DH16" s="21">
        <v>11.648244999999999</v>
      </c>
      <c r="DI16" s="21">
        <v>11.648244999999999</v>
      </c>
      <c r="DJ16" s="21">
        <v>11.648244999999999</v>
      </c>
      <c r="DK16" s="21">
        <v>11.648244999999999</v>
      </c>
      <c r="DL16" s="21">
        <v>11.648244999999999</v>
      </c>
      <c r="DM16" s="21">
        <v>11.648244999999999</v>
      </c>
      <c r="DN16" s="21">
        <v>11.648244999999999</v>
      </c>
      <c r="DO16" s="21">
        <v>11.648244999999999</v>
      </c>
      <c r="DP16" s="21">
        <v>11.648244999999999</v>
      </c>
      <c r="DQ16" s="21">
        <v>11.648244999999999</v>
      </c>
      <c r="DR16" s="21">
        <v>11.648244999999999</v>
      </c>
      <c r="DS16" s="21">
        <v>11.648244999999999</v>
      </c>
      <c r="DT16" s="21">
        <v>11.648244999999999</v>
      </c>
      <c r="DU16" s="21">
        <v>11.648244999999999</v>
      </c>
      <c r="DV16" s="21">
        <v>11.648244999999999</v>
      </c>
      <c r="DW16" s="21">
        <v>11.648244999999999</v>
      </c>
      <c r="DX16" s="21">
        <v>11.648244999999999</v>
      </c>
      <c r="DY16" s="21">
        <v>11.648244999999999</v>
      </c>
      <c r="DZ16" s="21">
        <v>11.648244999999999</v>
      </c>
      <c r="EA16" s="21">
        <v>11.648244999999999</v>
      </c>
      <c r="EB16" s="21">
        <v>11.648244999999999</v>
      </c>
      <c r="EC16" s="21">
        <v>11.648244999999999</v>
      </c>
      <c r="ED16" s="21">
        <v>11.648244999999999</v>
      </c>
      <c r="EE16" s="21">
        <v>11.648244999999999</v>
      </c>
      <c r="EF16" s="21">
        <v>11.648244999999999</v>
      </c>
      <c r="EG16" s="21">
        <v>11.648244999999999</v>
      </c>
      <c r="EH16" s="21">
        <v>11.648244999999999</v>
      </c>
      <c r="EI16" s="21">
        <v>11.648244999999999</v>
      </c>
      <c r="EJ16" s="21">
        <v>11.648244999999999</v>
      </c>
      <c r="EK16" s="21">
        <v>11.648244999999999</v>
      </c>
      <c r="EL16" s="21">
        <v>11.648244999999999</v>
      </c>
      <c r="EM16" s="21">
        <v>11.648244999999999</v>
      </c>
      <c r="EN16" s="21">
        <v>11.648244999999999</v>
      </c>
      <c r="EO16" s="21">
        <v>11.648244999999999</v>
      </c>
      <c r="EP16" s="21">
        <v>11.648244999999999</v>
      </c>
      <c r="EQ16" s="21">
        <v>11.648244999999999</v>
      </c>
      <c r="ER16" s="21">
        <v>11.648244999999999</v>
      </c>
      <c r="ES16" s="21">
        <v>11.648244999999999</v>
      </c>
      <c r="ET16" s="21">
        <v>11.648244999999999</v>
      </c>
      <c r="EU16" s="21">
        <v>11.648244999999999</v>
      </c>
      <c r="EV16" s="21">
        <v>11.648244999999999</v>
      </c>
      <c r="EW16" s="21">
        <v>11.648244999999999</v>
      </c>
      <c r="EX16" s="21">
        <v>11.648244999999999</v>
      </c>
      <c r="EY16" s="21">
        <v>11.648244999999999</v>
      </c>
      <c r="EZ16" s="21">
        <v>11.648244999999999</v>
      </c>
      <c r="FA16" s="21">
        <v>11.648244999999999</v>
      </c>
      <c r="FB16" s="21">
        <v>11.648244999999999</v>
      </c>
      <c r="FC16" s="21">
        <v>11.648244999999999</v>
      </c>
      <c r="FD16" s="21">
        <v>11.648244999999999</v>
      </c>
      <c r="FE16" s="21">
        <v>11.648244999999999</v>
      </c>
      <c r="FF16" s="21">
        <v>11.648244999999999</v>
      </c>
      <c r="FG16" s="21">
        <v>11.648244999999999</v>
      </c>
      <c r="FH16" s="21">
        <v>11.648244999999999</v>
      </c>
      <c r="FI16" s="21">
        <v>11.648244999999999</v>
      </c>
      <c r="FJ16" s="21">
        <v>11.648244999999999</v>
      </c>
      <c r="FK16" s="21">
        <v>11.648244999999999</v>
      </c>
      <c r="FL16" s="21">
        <v>11.648244999999999</v>
      </c>
      <c r="FM16" s="21">
        <v>11.648244999999999</v>
      </c>
      <c r="FN16" s="21">
        <v>11.648244999999999</v>
      </c>
      <c r="FO16" s="21">
        <v>11.648244999999999</v>
      </c>
      <c r="FP16" s="21">
        <v>11.648244999999999</v>
      </c>
      <c r="FQ16" s="21">
        <v>11.648244999999999</v>
      </c>
      <c r="FR16" s="21">
        <v>11.648244999999999</v>
      </c>
      <c r="FS16" s="21">
        <v>11.648244999999999</v>
      </c>
      <c r="FT16" s="21">
        <v>11.648244999999999</v>
      </c>
      <c r="FU16" s="21">
        <v>11.648244999999999</v>
      </c>
      <c r="FV16" s="21">
        <v>11.648244999999999</v>
      </c>
      <c r="FW16" s="21">
        <v>11.648244999999999</v>
      </c>
      <c r="FX16" s="21">
        <v>11.648244999999999</v>
      </c>
      <c r="FY16" s="21">
        <v>11.648244999999999</v>
      </c>
      <c r="FZ16" s="21">
        <v>11.648244999999999</v>
      </c>
      <c r="GA16" s="21">
        <v>11.648244999999999</v>
      </c>
      <c r="GB16" s="21">
        <v>11.648244999999999</v>
      </c>
      <c r="GC16" s="21">
        <v>11.648244999999999</v>
      </c>
      <c r="GD16" s="21">
        <v>11.648244999999999</v>
      </c>
      <c r="GE16" s="21">
        <v>11.648244999999999</v>
      </c>
      <c r="GF16" s="21">
        <v>11.648244999999999</v>
      </c>
      <c r="GG16" s="21">
        <v>11.648244999999999</v>
      </c>
      <c r="GH16" s="21">
        <v>11.648244999999999</v>
      </c>
      <c r="GI16" s="21">
        <v>11.648244999999999</v>
      </c>
      <c r="GJ16" s="21">
        <v>11.648244999999999</v>
      </c>
      <c r="GK16" s="21">
        <v>11.648244999999999</v>
      </c>
      <c r="GL16" s="21">
        <v>11.648244999999999</v>
      </c>
      <c r="GM16" s="21">
        <v>11.648244999999999</v>
      </c>
      <c r="GN16" s="21">
        <v>11.648244999999999</v>
      </c>
      <c r="GO16" s="21">
        <v>11.648244999999999</v>
      </c>
      <c r="GP16" s="21">
        <v>11.648244999999999</v>
      </c>
      <c r="GQ16" s="21">
        <v>11.648244999999999</v>
      </c>
      <c r="GR16" s="21">
        <v>11.648244999999999</v>
      </c>
      <c r="GS16" s="21">
        <v>11.648244999999999</v>
      </c>
      <c r="GT16" s="21">
        <v>11.648244999999999</v>
      </c>
      <c r="GU16" s="21">
        <v>11.648244999999999</v>
      </c>
      <c r="GV16" s="21">
        <v>11.648244999999999</v>
      </c>
      <c r="GW16" s="21">
        <v>11.648244999999999</v>
      </c>
      <c r="GX16" s="21">
        <v>11.648244999999999</v>
      </c>
      <c r="GY16" s="21">
        <v>11.648244999999999</v>
      </c>
      <c r="GZ16" s="21">
        <v>11.648244999999999</v>
      </c>
      <c r="HA16" s="21">
        <v>11.648244999999999</v>
      </c>
      <c r="HB16" s="21">
        <v>11.648244999999999</v>
      </c>
      <c r="HC16" s="21">
        <v>11.648244999999999</v>
      </c>
      <c r="HD16" s="21">
        <v>11.648244999999999</v>
      </c>
      <c r="HE16" s="21">
        <v>11.648244999999999</v>
      </c>
      <c r="HF16" s="21">
        <v>11.648244999999999</v>
      </c>
      <c r="HG16" s="21">
        <v>11.648244999999999</v>
      </c>
      <c r="HH16" s="21">
        <v>11.648244999999999</v>
      </c>
      <c r="HI16" s="21">
        <v>11.648244999999999</v>
      </c>
      <c r="HJ16" s="21">
        <v>11.648244999999999</v>
      </c>
      <c r="HK16" s="21">
        <v>11.648244999999999</v>
      </c>
      <c r="HL16" s="21">
        <v>11.648244999999999</v>
      </c>
      <c r="HM16" s="21">
        <v>11.648244999999999</v>
      </c>
      <c r="HN16" s="21">
        <v>11.648244999999999</v>
      </c>
      <c r="HO16" s="21">
        <v>11.648244999999999</v>
      </c>
      <c r="HP16" s="21">
        <v>11.648244999999999</v>
      </c>
      <c r="HQ16" s="21">
        <v>11.648244999999999</v>
      </c>
      <c r="HR16" s="21">
        <v>11.648244999999999</v>
      </c>
      <c r="HS16" s="21">
        <v>11.648244999999999</v>
      </c>
      <c r="HT16" s="21">
        <v>11.648244999999999</v>
      </c>
      <c r="HU16" s="21">
        <v>11.648244999999999</v>
      </c>
      <c r="HV16" s="21">
        <v>11.648244999999999</v>
      </c>
      <c r="HW16" s="21">
        <v>11.648244999999999</v>
      </c>
      <c r="HX16" s="21">
        <v>11.648244999999999</v>
      </c>
      <c r="HY16" s="21">
        <v>11.648244999999999</v>
      </c>
      <c r="HZ16" s="21">
        <v>11.648244999999999</v>
      </c>
      <c r="IA16" s="21">
        <v>11.648244999999999</v>
      </c>
      <c r="IB16" s="21">
        <v>11.648244999999999</v>
      </c>
      <c r="IC16" s="21">
        <v>11.648244999999999</v>
      </c>
      <c r="ID16" s="21">
        <v>11.648244999999999</v>
      </c>
      <c r="IE16" s="21">
        <v>11.648244999999999</v>
      </c>
      <c r="IF16" s="21">
        <v>11.648244999999999</v>
      </c>
      <c r="IG16" s="21">
        <v>11.648244999999999</v>
      </c>
      <c r="IH16" s="21">
        <v>11.648244999999999</v>
      </c>
      <c r="II16" s="21">
        <v>11.648244999999999</v>
      </c>
      <c r="IJ16" s="21">
        <v>11.648244999999999</v>
      </c>
      <c r="IK16" s="21">
        <v>11.648244999999999</v>
      </c>
      <c r="IL16" s="21">
        <v>11.648244999999999</v>
      </c>
      <c r="IM16" s="21">
        <v>11.648244999999999</v>
      </c>
      <c r="IN16" s="21">
        <v>11.648244999999999</v>
      </c>
      <c r="IO16" s="21">
        <v>11.648244999999999</v>
      </c>
      <c r="IP16" s="21">
        <v>11.648244999999999</v>
      </c>
      <c r="IQ16" s="21">
        <v>11.648244999999999</v>
      </c>
      <c r="IR16" s="21">
        <v>11.648244999999999</v>
      </c>
      <c r="IS16" s="21">
        <v>11.648244999999999</v>
      </c>
      <c r="IT16" s="21">
        <v>11.648244999999999</v>
      </c>
      <c r="IU16" s="21">
        <v>11.648244999999999</v>
      </c>
      <c r="IV16" s="21">
        <v>11.648244999999999</v>
      </c>
      <c r="IW16" s="21">
        <v>11.648244999999999</v>
      </c>
      <c r="IX16" s="21">
        <v>11.648244999999999</v>
      </c>
      <c r="IY16" s="21">
        <v>11.648244999999999</v>
      </c>
      <c r="IZ16" s="21">
        <v>11.648244999999999</v>
      </c>
      <c r="JA16" s="21">
        <v>11.648244999999999</v>
      </c>
      <c r="JB16" s="21">
        <v>11.648244999999999</v>
      </c>
      <c r="JC16" s="21">
        <v>11.648244999999999</v>
      </c>
      <c r="JD16" s="21">
        <v>11.648244999999999</v>
      </c>
      <c r="JE16" s="21">
        <v>11.648244999999999</v>
      </c>
      <c r="JF16" s="21">
        <v>11.648244999999999</v>
      </c>
      <c r="JG16" s="21">
        <v>11.648244999999999</v>
      </c>
      <c r="JH16" s="21">
        <v>11.648244999999999</v>
      </c>
      <c r="JI16" s="21">
        <v>11.648244999999999</v>
      </c>
      <c r="JJ16" s="21">
        <v>11.648244999999999</v>
      </c>
      <c r="JK16" s="21">
        <v>11.648244999999999</v>
      </c>
      <c r="JL16" s="21">
        <v>11.648244999999999</v>
      </c>
      <c r="JM16" s="21">
        <v>11.648244999999999</v>
      </c>
      <c r="JN16" s="21">
        <v>11.648244999999999</v>
      </c>
      <c r="JO16" s="21">
        <v>11.648244999999999</v>
      </c>
      <c r="JP16" s="21">
        <v>11.648244999999999</v>
      </c>
      <c r="JQ16" s="21">
        <v>11.648244999999999</v>
      </c>
      <c r="JR16" s="21">
        <v>11.648244999999999</v>
      </c>
      <c r="JS16" s="21">
        <v>11.648244999999999</v>
      </c>
      <c r="JT16" s="21">
        <v>11.648244999999999</v>
      </c>
      <c r="JU16" s="21">
        <v>11.648244999999999</v>
      </c>
      <c r="JV16" s="21">
        <v>11.648244999999999</v>
      </c>
      <c r="JW16" s="21">
        <v>11.648244999999999</v>
      </c>
      <c r="JX16" s="21">
        <v>11.648244999999999</v>
      </c>
      <c r="JY16" s="21">
        <v>11.648244999999999</v>
      </c>
      <c r="JZ16" s="21">
        <v>11.648244999999999</v>
      </c>
      <c r="KA16" s="21">
        <v>11.648244999999999</v>
      </c>
      <c r="KB16" s="21">
        <v>11.648244999999999</v>
      </c>
      <c r="KC16" s="21">
        <v>11.648244999999999</v>
      </c>
      <c r="KD16" s="21">
        <v>11.648244999999999</v>
      </c>
      <c r="KE16" s="21">
        <v>11.648244999999999</v>
      </c>
      <c r="KF16" s="21">
        <v>11.648244999999999</v>
      </c>
      <c r="KG16" s="21">
        <v>11.648244999999999</v>
      </c>
      <c r="KH16" s="21">
        <v>11.648244999999999</v>
      </c>
      <c r="KI16" s="21">
        <v>11.648244999999999</v>
      </c>
      <c r="KJ16" s="21">
        <v>11.648244999999999</v>
      </c>
      <c r="KK16" s="21">
        <v>11.648244999999999</v>
      </c>
      <c r="KL16" s="21">
        <v>11.648244999999999</v>
      </c>
      <c r="KM16" s="21">
        <v>11.648244999999999</v>
      </c>
      <c r="KN16" s="21">
        <v>11.648244999999999</v>
      </c>
      <c r="KO16" s="21">
        <v>11.648244999999999</v>
      </c>
      <c r="KP16" s="21">
        <v>11.648244999999999</v>
      </c>
      <c r="KQ16" s="21">
        <v>11.648244999999999</v>
      </c>
      <c r="KR16" s="21">
        <v>11.648244999999999</v>
      </c>
      <c r="KS16" s="21">
        <v>11.648244999999999</v>
      </c>
      <c r="KT16" s="21">
        <v>11.648244999999999</v>
      </c>
      <c r="KU16" s="21">
        <v>11.648244999999999</v>
      </c>
      <c r="KV16" s="21">
        <v>11.648244999999999</v>
      </c>
      <c r="KW16" s="21">
        <v>11.648244999999999</v>
      </c>
      <c r="KX16" s="21">
        <v>11.648244999999999</v>
      </c>
      <c r="KY16" s="21">
        <v>11.648244999999999</v>
      </c>
      <c r="KZ16" s="21">
        <v>11.648244999999999</v>
      </c>
      <c r="LA16" s="21">
        <v>11.648244999999999</v>
      </c>
      <c r="LB16" s="21">
        <v>11.648244999999999</v>
      </c>
      <c r="LC16" s="21">
        <v>11.648244999999999</v>
      </c>
      <c r="LD16" s="21">
        <v>11.648244999999999</v>
      </c>
      <c r="LE16" s="21">
        <v>11.648244999999999</v>
      </c>
      <c r="LF16" s="21">
        <v>11.648244999999999</v>
      </c>
      <c r="LG16" s="21">
        <v>11.648244999999999</v>
      </c>
      <c r="LH16" s="21">
        <v>11.648244999999999</v>
      </c>
      <c r="LI16" s="21">
        <v>11.648244999999999</v>
      </c>
      <c r="LJ16" s="21">
        <v>11.648244999999999</v>
      </c>
      <c r="LK16" s="21">
        <v>11.648244999999999</v>
      </c>
      <c r="LL16" s="21">
        <v>11.648244999999999</v>
      </c>
      <c r="LM16" s="21">
        <v>11.648244999999999</v>
      </c>
      <c r="LN16" s="21">
        <v>11.648244999999999</v>
      </c>
      <c r="LO16" s="21">
        <v>11.648244999999999</v>
      </c>
      <c r="LP16" s="21">
        <v>11.648244999999999</v>
      </c>
      <c r="LQ16" s="21">
        <v>11.648244999999999</v>
      </c>
      <c r="LR16" s="21">
        <v>11.648244999999999</v>
      </c>
      <c r="LS16" s="21">
        <v>11.648244999999999</v>
      </c>
      <c r="LT16" s="21">
        <v>11.648244999999999</v>
      </c>
      <c r="LU16" s="21">
        <v>11.648244999999999</v>
      </c>
      <c r="LV16" s="21">
        <v>11.648244999999999</v>
      </c>
      <c r="LW16" s="21">
        <v>11.648244999999999</v>
      </c>
      <c r="LX16" s="21">
        <v>11.648244999999999</v>
      </c>
      <c r="LY16" s="21">
        <v>11.648244999999999</v>
      </c>
      <c r="LZ16" s="21">
        <v>11.648244999999999</v>
      </c>
      <c r="MA16" s="21">
        <v>11.648244999999999</v>
      </c>
      <c r="MB16" s="21">
        <v>11.648244999999999</v>
      </c>
      <c r="MC16" s="21">
        <v>11.648244999999999</v>
      </c>
      <c r="MD16" s="21">
        <v>11.648244999999999</v>
      </c>
      <c r="ME16" s="21">
        <v>11.648244999999999</v>
      </c>
      <c r="MF16" s="21">
        <v>11.648244999999999</v>
      </c>
      <c r="MG16" s="21">
        <v>11.648244999999999</v>
      </c>
      <c r="MH16" s="21">
        <v>11.648244999999999</v>
      </c>
      <c r="MI16" s="21">
        <v>11.648244999999999</v>
      </c>
      <c r="MJ16" s="21">
        <v>11.648244999999999</v>
      </c>
      <c r="MK16" s="21">
        <v>11.648244999999999</v>
      </c>
      <c r="ML16" s="21">
        <v>11.648244999999999</v>
      </c>
      <c r="MM16" s="21">
        <v>11.648244999999999</v>
      </c>
      <c r="MN16" s="21">
        <v>11.648244999999999</v>
      </c>
      <c r="MO16" s="21">
        <v>11.648244999999999</v>
      </c>
      <c r="MP16" s="21">
        <v>11.648244999999999</v>
      </c>
      <c r="MQ16" s="21">
        <v>11.648244999999999</v>
      </c>
      <c r="MR16" s="21">
        <v>11.648244999999999</v>
      </c>
      <c r="MS16" s="21">
        <v>11.648244999999999</v>
      </c>
      <c r="MT16" s="21">
        <v>11.648244999999999</v>
      </c>
      <c r="MU16" s="21">
        <v>11.648244999999999</v>
      </c>
      <c r="MV16" s="21">
        <v>11.648244999999999</v>
      </c>
      <c r="MW16" s="21">
        <v>11.648244999999999</v>
      </c>
      <c r="MX16" s="21">
        <v>11.648244999999999</v>
      </c>
      <c r="MY16" s="21">
        <v>11.648244999999999</v>
      </c>
      <c r="MZ16" s="21">
        <v>11.957504999999999</v>
      </c>
    </row>
    <row r="17" spans="1:364" s="78" customFormat="1" x14ac:dyDescent="0.2">
      <c r="A17" s="7">
        <v>15</v>
      </c>
      <c r="B17" s="16" t="s">
        <v>606</v>
      </c>
      <c r="C17" s="74">
        <v>6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13.09985</v>
      </c>
      <c r="K17" s="21">
        <v>13.09985</v>
      </c>
      <c r="L17" s="21">
        <v>13.09985</v>
      </c>
      <c r="M17" s="21">
        <v>13.09985</v>
      </c>
      <c r="N17" s="21">
        <v>13.09985</v>
      </c>
      <c r="O17" s="21">
        <v>13.09985</v>
      </c>
      <c r="P17" s="21">
        <v>13.09985</v>
      </c>
      <c r="Q17" s="21">
        <v>13.09985</v>
      </c>
      <c r="R17" s="21">
        <v>13.09985</v>
      </c>
      <c r="S17" s="21">
        <v>13.09985</v>
      </c>
      <c r="T17" s="21">
        <v>13.09985</v>
      </c>
      <c r="U17" s="21">
        <v>13.09985</v>
      </c>
      <c r="V17" s="21">
        <v>13.09985</v>
      </c>
      <c r="W17" s="21">
        <v>13.09985</v>
      </c>
      <c r="X17" s="21">
        <v>13.09985</v>
      </c>
      <c r="Y17" s="21">
        <v>13.09985</v>
      </c>
      <c r="Z17" s="21">
        <v>13.09985</v>
      </c>
      <c r="AA17" s="21">
        <v>13.09985</v>
      </c>
      <c r="AB17" s="21">
        <v>13.09985</v>
      </c>
      <c r="AC17" s="21">
        <v>13.09985</v>
      </c>
      <c r="AD17" s="21">
        <v>13.09985</v>
      </c>
      <c r="AE17" s="21">
        <v>13.09985</v>
      </c>
      <c r="AF17" s="21">
        <v>13.09985</v>
      </c>
      <c r="AG17" s="21">
        <v>13.09985</v>
      </c>
      <c r="AH17" s="21">
        <v>13.09985</v>
      </c>
      <c r="AI17" s="21">
        <v>13.09985</v>
      </c>
      <c r="AJ17" s="21">
        <v>13.09985</v>
      </c>
      <c r="AK17" s="21">
        <v>13.09985</v>
      </c>
      <c r="AL17" s="21">
        <v>13.09985</v>
      </c>
      <c r="AM17" s="21">
        <v>13.09985</v>
      </c>
      <c r="AN17" s="21">
        <v>13.09985</v>
      </c>
      <c r="AO17" s="21">
        <v>13.09985</v>
      </c>
      <c r="AP17" s="21">
        <v>13.09985</v>
      </c>
      <c r="AQ17" s="21">
        <v>13.09985</v>
      </c>
      <c r="AR17" s="21">
        <v>13.09985</v>
      </c>
      <c r="AS17" s="21">
        <v>13.09985</v>
      </c>
      <c r="AT17" s="21">
        <v>13.09985</v>
      </c>
      <c r="AU17" s="21">
        <v>13.09985</v>
      </c>
      <c r="AV17" s="21">
        <v>13.09985</v>
      </c>
      <c r="AW17" s="21">
        <v>13.09985</v>
      </c>
      <c r="AX17" s="21">
        <v>13.09985</v>
      </c>
      <c r="AY17" s="21">
        <v>13.09985</v>
      </c>
      <c r="AZ17" s="21">
        <v>13.09985</v>
      </c>
      <c r="BA17" s="21">
        <v>13.09985</v>
      </c>
      <c r="BB17" s="21">
        <v>13.09985</v>
      </c>
      <c r="BC17" s="21">
        <v>13.09985</v>
      </c>
      <c r="BD17" s="21">
        <v>13.09985</v>
      </c>
      <c r="BE17" s="21">
        <v>13.09985</v>
      </c>
      <c r="BF17" s="21">
        <v>13.09985</v>
      </c>
      <c r="BG17" s="21">
        <v>13.09985</v>
      </c>
      <c r="BH17" s="21">
        <v>13.09985</v>
      </c>
      <c r="BI17" s="21">
        <v>13.09985</v>
      </c>
      <c r="BJ17" s="21">
        <v>13.09985</v>
      </c>
      <c r="BK17" s="21">
        <v>13.09985</v>
      </c>
      <c r="BL17" s="21">
        <v>13.09985</v>
      </c>
      <c r="BM17" s="21">
        <v>13.09985</v>
      </c>
      <c r="BN17" s="21">
        <v>13.09985</v>
      </c>
      <c r="BO17" s="21">
        <v>13.09985</v>
      </c>
      <c r="BP17" s="21">
        <v>13.09985</v>
      </c>
      <c r="BQ17" s="21">
        <v>13.09985</v>
      </c>
      <c r="BR17" s="21">
        <v>13.09985</v>
      </c>
      <c r="BS17" s="21">
        <v>13.09985</v>
      </c>
      <c r="BT17" s="21">
        <v>13.09985</v>
      </c>
      <c r="BU17" s="21">
        <v>13.09985</v>
      </c>
      <c r="BV17" s="21">
        <v>13.09985</v>
      </c>
      <c r="BW17" s="21">
        <v>13.09985</v>
      </c>
      <c r="BX17" s="21">
        <v>13.09985</v>
      </c>
      <c r="BY17" s="21">
        <v>13.09985</v>
      </c>
      <c r="BZ17" s="21">
        <v>13.09985</v>
      </c>
      <c r="CA17" s="21">
        <v>13.09985</v>
      </c>
      <c r="CB17" s="21">
        <v>13.09985</v>
      </c>
      <c r="CC17" s="21">
        <v>13.09985</v>
      </c>
      <c r="CD17" s="21">
        <v>13.09985</v>
      </c>
      <c r="CE17" s="21">
        <v>13.09985</v>
      </c>
      <c r="CF17" s="21">
        <v>13.09985</v>
      </c>
      <c r="CG17" s="21">
        <v>13.09985</v>
      </c>
      <c r="CH17" s="21">
        <v>13.09985</v>
      </c>
      <c r="CI17" s="21">
        <v>13.09985</v>
      </c>
      <c r="CJ17" s="21">
        <v>13.09985</v>
      </c>
      <c r="CK17" s="21">
        <v>13.09985</v>
      </c>
      <c r="CL17" s="21">
        <v>13.09985</v>
      </c>
      <c r="CM17" s="21">
        <v>13.09985</v>
      </c>
      <c r="CN17" s="21">
        <v>13.09985</v>
      </c>
      <c r="CO17" s="21">
        <v>13.09985</v>
      </c>
      <c r="CP17" s="21">
        <v>13.09985</v>
      </c>
      <c r="CQ17" s="21">
        <v>13.09985</v>
      </c>
      <c r="CR17" s="21">
        <v>13.09985</v>
      </c>
      <c r="CS17" s="21">
        <v>13.09985</v>
      </c>
      <c r="CT17" s="21">
        <v>13.09985</v>
      </c>
      <c r="CU17" s="21">
        <v>13.09985</v>
      </c>
      <c r="CV17" s="21">
        <v>13.09985</v>
      </c>
      <c r="CW17" s="21">
        <v>13.09985</v>
      </c>
      <c r="CX17" s="21">
        <v>13.09985</v>
      </c>
      <c r="CY17" s="21">
        <v>13.09985</v>
      </c>
      <c r="CZ17" s="21">
        <v>13.09985</v>
      </c>
      <c r="DA17" s="21">
        <v>13.09985</v>
      </c>
      <c r="DB17" s="21">
        <v>13.09985</v>
      </c>
      <c r="DC17" s="21">
        <v>13.09985</v>
      </c>
      <c r="DD17" s="21">
        <v>13.09985</v>
      </c>
      <c r="DE17" s="21">
        <v>13.09985</v>
      </c>
      <c r="DF17" s="21">
        <v>13.09985</v>
      </c>
      <c r="DG17" s="21">
        <v>13.09985</v>
      </c>
      <c r="DH17" s="21">
        <v>13.09985</v>
      </c>
      <c r="DI17" s="21">
        <v>13.09985</v>
      </c>
      <c r="DJ17" s="21">
        <v>13.09985</v>
      </c>
      <c r="DK17" s="21">
        <v>13.09985</v>
      </c>
      <c r="DL17" s="21">
        <v>13.09985</v>
      </c>
      <c r="DM17" s="21">
        <v>13.09985</v>
      </c>
      <c r="DN17" s="21">
        <v>13.09985</v>
      </c>
      <c r="DO17" s="21">
        <v>13.09985</v>
      </c>
      <c r="DP17" s="21">
        <v>13.09985</v>
      </c>
      <c r="DQ17" s="21">
        <v>13.09985</v>
      </c>
      <c r="DR17" s="21">
        <v>13.09985</v>
      </c>
      <c r="DS17" s="21">
        <v>13.09985</v>
      </c>
      <c r="DT17" s="21">
        <v>13.09985</v>
      </c>
      <c r="DU17" s="21">
        <v>13.09985</v>
      </c>
      <c r="DV17" s="21">
        <v>13.09985</v>
      </c>
      <c r="DW17" s="21">
        <v>13.09985</v>
      </c>
      <c r="DX17" s="21">
        <v>13.09985</v>
      </c>
      <c r="DY17" s="21">
        <v>13.09985</v>
      </c>
      <c r="DZ17" s="21">
        <v>13.09985</v>
      </c>
      <c r="EA17" s="21">
        <v>13.09985</v>
      </c>
      <c r="EB17" s="21">
        <v>13.09985</v>
      </c>
      <c r="EC17" s="21">
        <v>13.09985</v>
      </c>
      <c r="ED17" s="21">
        <v>13.09985</v>
      </c>
      <c r="EE17" s="21">
        <v>13.09985</v>
      </c>
      <c r="EF17" s="21">
        <v>13.09985</v>
      </c>
      <c r="EG17" s="21">
        <v>13.09985</v>
      </c>
      <c r="EH17" s="21">
        <v>13.09985</v>
      </c>
      <c r="EI17" s="21">
        <v>13.09985</v>
      </c>
      <c r="EJ17" s="21">
        <v>13.09985</v>
      </c>
      <c r="EK17" s="21">
        <v>13.09985</v>
      </c>
      <c r="EL17" s="21">
        <v>13.09985</v>
      </c>
      <c r="EM17" s="21">
        <v>13.09985</v>
      </c>
      <c r="EN17" s="21">
        <v>13.09985</v>
      </c>
      <c r="EO17" s="21">
        <v>13.09985</v>
      </c>
      <c r="EP17" s="21">
        <v>13.09985</v>
      </c>
      <c r="EQ17" s="21">
        <v>13.09985</v>
      </c>
      <c r="ER17" s="21">
        <v>13.09985</v>
      </c>
      <c r="ES17" s="21">
        <v>13.09985</v>
      </c>
      <c r="ET17" s="21">
        <v>13.09985</v>
      </c>
      <c r="EU17" s="21">
        <v>13.09985</v>
      </c>
      <c r="EV17" s="21">
        <v>13.09985</v>
      </c>
      <c r="EW17" s="21">
        <v>13.09985</v>
      </c>
      <c r="EX17" s="21">
        <v>13.09985</v>
      </c>
      <c r="EY17" s="21">
        <v>13.09985</v>
      </c>
      <c r="EZ17" s="21">
        <v>13.09985</v>
      </c>
      <c r="FA17" s="21">
        <v>13.09985</v>
      </c>
      <c r="FB17" s="21">
        <v>13.09985</v>
      </c>
      <c r="FC17" s="21">
        <v>13.09985</v>
      </c>
      <c r="FD17" s="21">
        <v>13.09985</v>
      </c>
      <c r="FE17" s="21">
        <v>13.09985</v>
      </c>
      <c r="FF17" s="21">
        <v>13.09985</v>
      </c>
      <c r="FG17" s="21">
        <v>13.09985</v>
      </c>
      <c r="FH17" s="21">
        <v>13.09985</v>
      </c>
      <c r="FI17" s="21">
        <v>13.09985</v>
      </c>
      <c r="FJ17" s="21">
        <v>13.09985</v>
      </c>
      <c r="FK17" s="21">
        <v>13.09985</v>
      </c>
      <c r="FL17" s="21">
        <v>13.09985</v>
      </c>
      <c r="FM17" s="21">
        <v>13.09985</v>
      </c>
      <c r="FN17" s="21">
        <v>13.09985</v>
      </c>
      <c r="FO17" s="21">
        <v>13.09985</v>
      </c>
      <c r="FP17" s="21">
        <v>13.09985</v>
      </c>
      <c r="FQ17" s="21">
        <v>13.09985</v>
      </c>
      <c r="FR17" s="21">
        <v>13.09985</v>
      </c>
      <c r="FS17" s="21">
        <v>13.09985</v>
      </c>
      <c r="FT17" s="21">
        <v>13.09985</v>
      </c>
      <c r="FU17" s="21">
        <v>13.09985</v>
      </c>
      <c r="FV17" s="21">
        <v>13.09985</v>
      </c>
      <c r="FW17" s="21">
        <v>13.09985</v>
      </c>
      <c r="FX17" s="21">
        <v>13.09985</v>
      </c>
      <c r="FY17" s="21">
        <v>13.09985</v>
      </c>
      <c r="FZ17" s="21">
        <v>13.09985</v>
      </c>
      <c r="GA17" s="21">
        <v>13.09985</v>
      </c>
      <c r="GB17" s="21">
        <v>13.09985</v>
      </c>
      <c r="GC17" s="21">
        <v>13.09985</v>
      </c>
      <c r="GD17" s="21">
        <v>13.09985</v>
      </c>
      <c r="GE17" s="21">
        <v>13.09985</v>
      </c>
      <c r="GF17" s="21">
        <v>13.09985</v>
      </c>
      <c r="GG17" s="21">
        <v>13.09985</v>
      </c>
      <c r="GH17" s="21">
        <v>13.09985</v>
      </c>
      <c r="GI17" s="21">
        <v>13.09985</v>
      </c>
      <c r="GJ17" s="21">
        <v>13.09985</v>
      </c>
      <c r="GK17" s="21">
        <v>13.09985</v>
      </c>
      <c r="GL17" s="21">
        <v>13.09985</v>
      </c>
      <c r="GM17" s="21">
        <v>13.09985</v>
      </c>
      <c r="GN17" s="21">
        <v>13.09985</v>
      </c>
      <c r="GO17" s="21">
        <v>13.09985</v>
      </c>
      <c r="GP17" s="21">
        <v>13.09985</v>
      </c>
      <c r="GQ17" s="21">
        <v>13.09985</v>
      </c>
      <c r="GR17" s="21">
        <v>13.09985</v>
      </c>
      <c r="GS17" s="21">
        <v>13.09985</v>
      </c>
      <c r="GT17" s="21">
        <v>13.09985</v>
      </c>
      <c r="GU17" s="21">
        <v>13.09985</v>
      </c>
      <c r="GV17" s="21">
        <v>13.09985</v>
      </c>
      <c r="GW17" s="21">
        <v>13.09985</v>
      </c>
      <c r="GX17" s="21">
        <v>13.09985</v>
      </c>
      <c r="GY17" s="21">
        <v>13.09985</v>
      </c>
      <c r="GZ17" s="21">
        <v>13.09985</v>
      </c>
      <c r="HA17" s="21">
        <v>13.09985</v>
      </c>
      <c r="HB17" s="21">
        <v>13.09985</v>
      </c>
      <c r="HC17" s="21">
        <v>13.09985</v>
      </c>
      <c r="HD17" s="21">
        <v>13.09985</v>
      </c>
      <c r="HE17" s="21">
        <v>13.09985</v>
      </c>
      <c r="HF17" s="21">
        <v>13.09985</v>
      </c>
      <c r="HG17" s="21">
        <v>13.09985</v>
      </c>
      <c r="HH17" s="21">
        <v>13.09985</v>
      </c>
      <c r="HI17" s="21">
        <v>13.09985</v>
      </c>
      <c r="HJ17" s="21">
        <v>13.09985</v>
      </c>
      <c r="HK17" s="21">
        <v>13.09985</v>
      </c>
      <c r="HL17" s="21">
        <v>13.09985</v>
      </c>
      <c r="HM17" s="21">
        <v>13.09985</v>
      </c>
      <c r="HN17" s="21">
        <v>13.09985</v>
      </c>
      <c r="HO17" s="21">
        <v>13.09985</v>
      </c>
      <c r="HP17" s="21">
        <v>13.09985</v>
      </c>
      <c r="HQ17" s="21">
        <v>13.09985</v>
      </c>
      <c r="HR17" s="21">
        <v>13.09985</v>
      </c>
      <c r="HS17" s="21">
        <v>13.09985</v>
      </c>
      <c r="HT17" s="21">
        <v>13.09985</v>
      </c>
      <c r="HU17" s="21">
        <v>13.09985</v>
      </c>
      <c r="HV17" s="21">
        <v>13.09985</v>
      </c>
      <c r="HW17" s="21">
        <v>13.09985</v>
      </c>
      <c r="HX17" s="21">
        <v>13.09985</v>
      </c>
      <c r="HY17" s="21">
        <v>13.09985</v>
      </c>
      <c r="HZ17" s="21">
        <v>13.09985</v>
      </c>
      <c r="IA17" s="21">
        <v>13.09985</v>
      </c>
      <c r="IB17" s="21">
        <v>13.09985</v>
      </c>
      <c r="IC17" s="21">
        <v>13.09985</v>
      </c>
      <c r="ID17" s="21">
        <v>13.09985</v>
      </c>
      <c r="IE17" s="21">
        <v>13.09985</v>
      </c>
      <c r="IF17" s="21">
        <v>13.09985</v>
      </c>
      <c r="IG17" s="21">
        <v>13.09985</v>
      </c>
      <c r="IH17" s="21">
        <v>13.09985</v>
      </c>
      <c r="II17" s="21">
        <v>13.09985</v>
      </c>
      <c r="IJ17" s="21">
        <v>13.09985</v>
      </c>
      <c r="IK17" s="21">
        <v>13.09985</v>
      </c>
      <c r="IL17" s="21">
        <v>13.09985</v>
      </c>
      <c r="IM17" s="21">
        <v>13.09985</v>
      </c>
      <c r="IN17" s="21">
        <v>13.09985</v>
      </c>
      <c r="IO17" s="21">
        <v>13.09985</v>
      </c>
      <c r="IP17" s="21">
        <v>13.09985</v>
      </c>
      <c r="IQ17" s="21">
        <v>13.09985</v>
      </c>
      <c r="IR17" s="21">
        <v>13.09985</v>
      </c>
      <c r="IS17" s="21">
        <v>13.09985</v>
      </c>
      <c r="IT17" s="21">
        <v>13.09985</v>
      </c>
      <c r="IU17" s="21">
        <v>13.09985</v>
      </c>
      <c r="IV17" s="21">
        <v>13.09985</v>
      </c>
      <c r="IW17" s="21">
        <v>13.09985</v>
      </c>
      <c r="IX17" s="21">
        <v>13.09985</v>
      </c>
      <c r="IY17" s="21">
        <v>13.09985</v>
      </c>
      <c r="IZ17" s="21">
        <v>13.09985</v>
      </c>
      <c r="JA17" s="21">
        <v>13.09985</v>
      </c>
      <c r="JB17" s="21">
        <v>13.09985</v>
      </c>
      <c r="JC17" s="21">
        <v>13.09985</v>
      </c>
      <c r="JD17" s="21">
        <v>13.09985</v>
      </c>
      <c r="JE17" s="21">
        <v>13.09985</v>
      </c>
      <c r="JF17" s="21">
        <v>13.09985</v>
      </c>
      <c r="JG17" s="21">
        <v>13.09985</v>
      </c>
      <c r="JH17" s="21">
        <v>13.09985</v>
      </c>
      <c r="JI17" s="21">
        <v>13.09985</v>
      </c>
      <c r="JJ17" s="21">
        <v>13.09985</v>
      </c>
      <c r="JK17" s="21">
        <v>13.09985</v>
      </c>
      <c r="JL17" s="21">
        <v>13.09985</v>
      </c>
      <c r="JM17" s="21">
        <v>13.09985</v>
      </c>
      <c r="JN17" s="21">
        <v>13.09985</v>
      </c>
      <c r="JO17" s="21">
        <v>13.09985</v>
      </c>
      <c r="JP17" s="21">
        <v>13.09985</v>
      </c>
      <c r="JQ17" s="21">
        <v>13.09985</v>
      </c>
      <c r="JR17" s="21">
        <v>13.09985</v>
      </c>
      <c r="JS17" s="21">
        <v>13.09985</v>
      </c>
      <c r="JT17" s="21">
        <v>13.09985</v>
      </c>
      <c r="JU17" s="21">
        <v>13.09985</v>
      </c>
      <c r="JV17" s="21">
        <v>13.09985</v>
      </c>
      <c r="JW17" s="21">
        <v>13.09985</v>
      </c>
      <c r="JX17" s="21">
        <v>13.09985</v>
      </c>
      <c r="JY17" s="21">
        <v>13.09985</v>
      </c>
      <c r="JZ17" s="21">
        <v>13.09985</v>
      </c>
      <c r="KA17" s="21">
        <v>13.09985</v>
      </c>
      <c r="KB17" s="21">
        <v>13.09985</v>
      </c>
      <c r="KC17" s="21">
        <v>13.09985</v>
      </c>
      <c r="KD17" s="21">
        <v>13.09985</v>
      </c>
      <c r="KE17" s="21">
        <v>13.09985</v>
      </c>
      <c r="KF17" s="21">
        <v>13.09985</v>
      </c>
      <c r="KG17" s="21">
        <v>13.09985</v>
      </c>
      <c r="KH17" s="21">
        <v>13.09985</v>
      </c>
      <c r="KI17" s="21">
        <v>13.09985</v>
      </c>
      <c r="KJ17" s="21">
        <v>13.09985</v>
      </c>
      <c r="KK17" s="21">
        <v>13.09985</v>
      </c>
      <c r="KL17" s="21">
        <v>13.09985</v>
      </c>
      <c r="KM17" s="21">
        <v>13.09985</v>
      </c>
      <c r="KN17" s="21">
        <v>13.09985</v>
      </c>
      <c r="KO17" s="21">
        <v>13.09985</v>
      </c>
      <c r="KP17" s="21">
        <v>13.09985</v>
      </c>
      <c r="KQ17" s="21">
        <v>13.09985</v>
      </c>
      <c r="KR17" s="21">
        <v>13.09985</v>
      </c>
      <c r="KS17" s="21">
        <v>13.09985</v>
      </c>
      <c r="KT17" s="21">
        <v>13.09985</v>
      </c>
      <c r="KU17" s="21">
        <v>13.09985</v>
      </c>
      <c r="KV17" s="21">
        <v>13.09985</v>
      </c>
      <c r="KW17" s="21">
        <v>13.09985</v>
      </c>
      <c r="KX17" s="21">
        <v>13.09985</v>
      </c>
      <c r="KY17" s="21">
        <v>13.09985</v>
      </c>
      <c r="KZ17" s="21">
        <v>13.09985</v>
      </c>
      <c r="LA17" s="21">
        <v>13.09985</v>
      </c>
      <c r="LB17" s="21">
        <v>13.09985</v>
      </c>
      <c r="LC17" s="21">
        <v>13.09985</v>
      </c>
      <c r="LD17" s="21">
        <v>13.09985</v>
      </c>
      <c r="LE17" s="21">
        <v>13.09985</v>
      </c>
      <c r="LF17" s="21">
        <v>13.09985</v>
      </c>
      <c r="LG17" s="21">
        <v>13.09985</v>
      </c>
      <c r="LH17" s="21">
        <v>13.09985</v>
      </c>
      <c r="LI17" s="21">
        <v>13.09985</v>
      </c>
      <c r="LJ17" s="21">
        <v>13.09985</v>
      </c>
      <c r="LK17" s="21">
        <v>13.09985</v>
      </c>
      <c r="LL17" s="21">
        <v>13.09985</v>
      </c>
      <c r="LM17" s="21">
        <v>13.09985</v>
      </c>
      <c r="LN17" s="21">
        <v>13.09985</v>
      </c>
      <c r="LO17" s="21">
        <v>13.09985</v>
      </c>
      <c r="LP17" s="21">
        <v>13.09985</v>
      </c>
      <c r="LQ17" s="21">
        <v>13.09985</v>
      </c>
      <c r="LR17" s="21">
        <v>13.09985</v>
      </c>
      <c r="LS17" s="21">
        <v>13.09985</v>
      </c>
      <c r="LT17" s="21">
        <v>13.09985</v>
      </c>
      <c r="LU17" s="21">
        <v>13.09985</v>
      </c>
      <c r="LV17" s="21">
        <v>13.09985</v>
      </c>
      <c r="LW17" s="21">
        <v>13.09985</v>
      </c>
      <c r="LX17" s="21">
        <v>13.09985</v>
      </c>
      <c r="LY17" s="21">
        <v>13.09985</v>
      </c>
      <c r="LZ17" s="21">
        <v>13.09985</v>
      </c>
      <c r="MA17" s="21">
        <v>13.09985</v>
      </c>
      <c r="MB17" s="21">
        <v>13.09985</v>
      </c>
      <c r="MC17" s="21">
        <v>13.09985</v>
      </c>
      <c r="MD17" s="21">
        <v>13.09985</v>
      </c>
      <c r="ME17" s="21">
        <v>13.09985</v>
      </c>
      <c r="MF17" s="21">
        <v>13.09985</v>
      </c>
      <c r="MG17" s="21">
        <v>13.09985</v>
      </c>
      <c r="MH17" s="21">
        <v>13.09985</v>
      </c>
      <c r="MI17" s="21">
        <v>13.09985</v>
      </c>
      <c r="MJ17" s="21">
        <v>13.09985</v>
      </c>
      <c r="MK17" s="21">
        <v>13.09985</v>
      </c>
      <c r="ML17" s="21">
        <v>13.09985</v>
      </c>
      <c r="MM17" s="21">
        <v>13.09985</v>
      </c>
      <c r="MN17" s="21">
        <v>13.09985</v>
      </c>
      <c r="MO17" s="21">
        <v>13.09985</v>
      </c>
      <c r="MP17" s="21">
        <v>13.09985</v>
      </c>
      <c r="MQ17" s="21">
        <v>13.09985</v>
      </c>
      <c r="MR17" s="21">
        <v>13.09985</v>
      </c>
      <c r="MS17" s="21">
        <v>13.09985</v>
      </c>
      <c r="MT17" s="21">
        <v>13.09985</v>
      </c>
      <c r="MU17" s="21">
        <v>13.09985</v>
      </c>
      <c r="MV17" s="21">
        <v>13.09985</v>
      </c>
      <c r="MW17" s="21">
        <v>13.09985</v>
      </c>
      <c r="MX17" s="21">
        <v>13.09985</v>
      </c>
      <c r="MY17" s="21">
        <v>13.09985</v>
      </c>
      <c r="MZ17" s="21">
        <v>13.447649999999999</v>
      </c>
    </row>
    <row r="18" spans="1:364" s="78" customFormat="1" x14ac:dyDescent="0.2">
      <c r="A18" s="7">
        <v>16</v>
      </c>
      <c r="B18" s="16" t="s">
        <v>611</v>
      </c>
      <c r="C18" s="74">
        <v>6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11.648244999999999</v>
      </c>
      <c r="K18" s="21">
        <v>11.648244999999999</v>
      </c>
      <c r="L18" s="21">
        <v>11.648244999999999</v>
      </c>
      <c r="M18" s="21">
        <v>11.648244999999999</v>
      </c>
      <c r="N18" s="21">
        <v>11.648244999999999</v>
      </c>
      <c r="O18" s="21">
        <v>11.648244999999999</v>
      </c>
      <c r="P18" s="21">
        <v>11.648244999999999</v>
      </c>
      <c r="Q18" s="21">
        <v>11.648244999999999</v>
      </c>
      <c r="R18" s="21">
        <v>11.648244999999999</v>
      </c>
      <c r="S18" s="21">
        <v>11.648244999999999</v>
      </c>
      <c r="T18" s="21">
        <v>11.648244999999999</v>
      </c>
      <c r="U18" s="21">
        <v>11.648244999999999</v>
      </c>
      <c r="V18" s="21">
        <v>11.648244999999999</v>
      </c>
      <c r="W18" s="21">
        <v>11.648244999999999</v>
      </c>
      <c r="X18" s="21">
        <v>11.648244999999999</v>
      </c>
      <c r="Y18" s="21">
        <v>11.648244999999999</v>
      </c>
      <c r="Z18" s="21">
        <v>11.648244999999999</v>
      </c>
      <c r="AA18" s="21">
        <v>11.648244999999999</v>
      </c>
      <c r="AB18" s="21">
        <v>11.648244999999999</v>
      </c>
      <c r="AC18" s="21">
        <v>11.648244999999999</v>
      </c>
      <c r="AD18" s="21">
        <v>11.648244999999999</v>
      </c>
      <c r="AE18" s="21">
        <v>11.648244999999999</v>
      </c>
      <c r="AF18" s="21">
        <v>11.648244999999999</v>
      </c>
      <c r="AG18" s="21">
        <v>11.648244999999999</v>
      </c>
      <c r="AH18" s="21">
        <v>11.648244999999999</v>
      </c>
      <c r="AI18" s="21">
        <v>11.648244999999999</v>
      </c>
      <c r="AJ18" s="21">
        <v>11.648244999999999</v>
      </c>
      <c r="AK18" s="21">
        <v>11.648244999999999</v>
      </c>
      <c r="AL18" s="21">
        <v>11.648244999999999</v>
      </c>
      <c r="AM18" s="21">
        <v>11.648244999999999</v>
      </c>
      <c r="AN18" s="21">
        <v>11.648244999999999</v>
      </c>
      <c r="AO18" s="21">
        <v>11.648244999999999</v>
      </c>
      <c r="AP18" s="21">
        <v>11.648244999999999</v>
      </c>
      <c r="AQ18" s="21">
        <v>11.648244999999999</v>
      </c>
      <c r="AR18" s="21">
        <v>11.648244999999999</v>
      </c>
      <c r="AS18" s="21">
        <v>11.648244999999999</v>
      </c>
      <c r="AT18" s="21">
        <v>11.648244999999999</v>
      </c>
      <c r="AU18" s="21">
        <v>11.648244999999999</v>
      </c>
      <c r="AV18" s="21">
        <v>11.648244999999999</v>
      </c>
      <c r="AW18" s="21">
        <v>11.648244999999999</v>
      </c>
      <c r="AX18" s="21">
        <v>11.648244999999999</v>
      </c>
      <c r="AY18" s="21">
        <v>11.648244999999999</v>
      </c>
      <c r="AZ18" s="21">
        <v>11.648244999999999</v>
      </c>
      <c r="BA18" s="21">
        <v>11.648244999999999</v>
      </c>
      <c r="BB18" s="21">
        <v>11.648244999999999</v>
      </c>
      <c r="BC18" s="21">
        <v>11.648244999999999</v>
      </c>
      <c r="BD18" s="21">
        <v>11.648244999999999</v>
      </c>
      <c r="BE18" s="21">
        <v>11.648244999999999</v>
      </c>
      <c r="BF18" s="21">
        <v>11.648244999999999</v>
      </c>
      <c r="BG18" s="21">
        <v>11.648244999999999</v>
      </c>
      <c r="BH18" s="21">
        <v>11.648244999999999</v>
      </c>
      <c r="BI18" s="21">
        <v>11.648244999999999</v>
      </c>
      <c r="BJ18" s="21">
        <v>11.648244999999999</v>
      </c>
      <c r="BK18" s="21">
        <v>11.648244999999999</v>
      </c>
      <c r="BL18" s="21">
        <v>11.648244999999999</v>
      </c>
      <c r="BM18" s="21">
        <v>11.648244999999999</v>
      </c>
      <c r="BN18" s="21">
        <v>11.648244999999999</v>
      </c>
      <c r="BO18" s="21">
        <v>11.648244999999999</v>
      </c>
      <c r="BP18" s="21">
        <v>11.648244999999999</v>
      </c>
      <c r="BQ18" s="21">
        <v>11.648244999999999</v>
      </c>
      <c r="BR18" s="21">
        <v>11.648244999999999</v>
      </c>
      <c r="BS18" s="21">
        <v>11.648244999999999</v>
      </c>
      <c r="BT18" s="21">
        <v>11.648244999999999</v>
      </c>
      <c r="BU18" s="21">
        <v>11.648244999999999</v>
      </c>
      <c r="BV18" s="21">
        <v>11.648244999999999</v>
      </c>
      <c r="BW18" s="21">
        <v>11.648244999999999</v>
      </c>
      <c r="BX18" s="21">
        <v>11.648244999999999</v>
      </c>
      <c r="BY18" s="21">
        <v>11.648244999999999</v>
      </c>
      <c r="BZ18" s="21">
        <v>11.648244999999999</v>
      </c>
      <c r="CA18" s="21">
        <v>11.648244999999999</v>
      </c>
      <c r="CB18" s="21">
        <v>11.648244999999999</v>
      </c>
      <c r="CC18" s="21">
        <v>11.648244999999999</v>
      </c>
      <c r="CD18" s="21">
        <v>11.648244999999999</v>
      </c>
      <c r="CE18" s="21">
        <v>11.648244999999999</v>
      </c>
      <c r="CF18" s="21">
        <v>11.648244999999999</v>
      </c>
      <c r="CG18" s="21">
        <v>11.648244999999999</v>
      </c>
      <c r="CH18" s="21">
        <v>11.648244999999999</v>
      </c>
      <c r="CI18" s="21">
        <v>11.648244999999999</v>
      </c>
      <c r="CJ18" s="21">
        <v>11.648244999999999</v>
      </c>
      <c r="CK18" s="21">
        <v>11.648244999999999</v>
      </c>
      <c r="CL18" s="21">
        <v>11.648244999999999</v>
      </c>
      <c r="CM18" s="21">
        <v>11.648244999999999</v>
      </c>
      <c r="CN18" s="21">
        <v>11.648244999999999</v>
      </c>
      <c r="CO18" s="21">
        <v>11.648244999999999</v>
      </c>
      <c r="CP18" s="21">
        <v>11.648244999999999</v>
      </c>
      <c r="CQ18" s="21">
        <v>11.648244999999999</v>
      </c>
      <c r="CR18" s="21">
        <v>11.648244999999999</v>
      </c>
      <c r="CS18" s="21">
        <v>11.648244999999999</v>
      </c>
      <c r="CT18" s="21">
        <v>11.648244999999999</v>
      </c>
      <c r="CU18" s="21">
        <v>11.648244999999999</v>
      </c>
      <c r="CV18" s="21">
        <v>11.648244999999999</v>
      </c>
      <c r="CW18" s="21">
        <v>11.648244999999999</v>
      </c>
      <c r="CX18" s="21">
        <v>11.648244999999999</v>
      </c>
      <c r="CY18" s="21">
        <v>11.648244999999999</v>
      </c>
      <c r="CZ18" s="21">
        <v>11.648244999999999</v>
      </c>
      <c r="DA18" s="21">
        <v>11.648244999999999</v>
      </c>
      <c r="DB18" s="21">
        <v>11.648244999999999</v>
      </c>
      <c r="DC18" s="21">
        <v>11.648244999999999</v>
      </c>
      <c r="DD18" s="21">
        <v>11.648244999999999</v>
      </c>
      <c r="DE18" s="21">
        <v>11.648244999999999</v>
      </c>
      <c r="DF18" s="21">
        <v>11.648244999999999</v>
      </c>
      <c r="DG18" s="21">
        <v>11.648244999999999</v>
      </c>
      <c r="DH18" s="21">
        <v>11.648244999999999</v>
      </c>
      <c r="DI18" s="21">
        <v>11.648244999999999</v>
      </c>
      <c r="DJ18" s="21">
        <v>11.648244999999999</v>
      </c>
      <c r="DK18" s="21">
        <v>11.648244999999999</v>
      </c>
      <c r="DL18" s="21">
        <v>11.648244999999999</v>
      </c>
      <c r="DM18" s="21">
        <v>11.648244999999999</v>
      </c>
      <c r="DN18" s="21">
        <v>11.648244999999999</v>
      </c>
      <c r="DO18" s="21">
        <v>11.648244999999999</v>
      </c>
      <c r="DP18" s="21">
        <v>11.648244999999999</v>
      </c>
      <c r="DQ18" s="21">
        <v>11.648244999999999</v>
      </c>
      <c r="DR18" s="21">
        <v>11.648244999999999</v>
      </c>
      <c r="DS18" s="21">
        <v>11.648244999999999</v>
      </c>
      <c r="DT18" s="21">
        <v>11.648244999999999</v>
      </c>
      <c r="DU18" s="21">
        <v>11.648244999999999</v>
      </c>
      <c r="DV18" s="21">
        <v>11.648244999999999</v>
      </c>
      <c r="DW18" s="21">
        <v>11.648244999999999</v>
      </c>
      <c r="DX18" s="21">
        <v>11.648244999999999</v>
      </c>
      <c r="DY18" s="21">
        <v>11.648244999999999</v>
      </c>
      <c r="DZ18" s="21">
        <v>11.648244999999999</v>
      </c>
      <c r="EA18" s="21">
        <v>11.648244999999999</v>
      </c>
      <c r="EB18" s="21">
        <v>11.648244999999999</v>
      </c>
      <c r="EC18" s="21">
        <v>11.648244999999999</v>
      </c>
      <c r="ED18" s="21">
        <v>11.648244999999999</v>
      </c>
      <c r="EE18" s="21">
        <v>11.648244999999999</v>
      </c>
      <c r="EF18" s="21">
        <v>11.648244999999999</v>
      </c>
      <c r="EG18" s="21">
        <v>11.648244999999999</v>
      </c>
      <c r="EH18" s="21">
        <v>11.648244999999999</v>
      </c>
      <c r="EI18" s="21">
        <v>11.648244999999999</v>
      </c>
      <c r="EJ18" s="21">
        <v>11.648244999999999</v>
      </c>
      <c r="EK18" s="21">
        <v>11.648244999999999</v>
      </c>
      <c r="EL18" s="21">
        <v>11.648244999999999</v>
      </c>
      <c r="EM18" s="21">
        <v>11.648244999999999</v>
      </c>
      <c r="EN18" s="21">
        <v>11.648244999999999</v>
      </c>
      <c r="EO18" s="21">
        <v>11.648244999999999</v>
      </c>
      <c r="EP18" s="21">
        <v>11.648244999999999</v>
      </c>
      <c r="EQ18" s="21">
        <v>11.648244999999999</v>
      </c>
      <c r="ER18" s="21">
        <v>11.648244999999999</v>
      </c>
      <c r="ES18" s="21">
        <v>11.648244999999999</v>
      </c>
      <c r="ET18" s="21">
        <v>11.648244999999999</v>
      </c>
      <c r="EU18" s="21">
        <v>11.648244999999999</v>
      </c>
      <c r="EV18" s="21">
        <v>11.648244999999999</v>
      </c>
      <c r="EW18" s="21">
        <v>11.648244999999999</v>
      </c>
      <c r="EX18" s="21">
        <v>11.648244999999999</v>
      </c>
      <c r="EY18" s="21">
        <v>11.648244999999999</v>
      </c>
      <c r="EZ18" s="21">
        <v>11.648244999999999</v>
      </c>
      <c r="FA18" s="21">
        <v>11.648244999999999</v>
      </c>
      <c r="FB18" s="21">
        <v>11.648244999999999</v>
      </c>
      <c r="FC18" s="21">
        <v>11.648244999999999</v>
      </c>
      <c r="FD18" s="21">
        <v>11.648244999999999</v>
      </c>
      <c r="FE18" s="21">
        <v>11.648244999999999</v>
      </c>
      <c r="FF18" s="21">
        <v>11.648244999999999</v>
      </c>
      <c r="FG18" s="21">
        <v>11.648244999999999</v>
      </c>
      <c r="FH18" s="21">
        <v>11.648244999999999</v>
      </c>
      <c r="FI18" s="21">
        <v>11.648244999999999</v>
      </c>
      <c r="FJ18" s="21">
        <v>11.648244999999999</v>
      </c>
      <c r="FK18" s="21">
        <v>11.648244999999999</v>
      </c>
      <c r="FL18" s="21">
        <v>11.648244999999999</v>
      </c>
      <c r="FM18" s="21">
        <v>11.648244999999999</v>
      </c>
      <c r="FN18" s="21">
        <v>11.648244999999999</v>
      </c>
      <c r="FO18" s="21">
        <v>11.648244999999999</v>
      </c>
      <c r="FP18" s="21">
        <v>11.648244999999999</v>
      </c>
      <c r="FQ18" s="21">
        <v>11.648244999999999</v>
      </c>
      <c r="FR18" s="21">
        <v>11.648244999999999</v>
      </c>
      <c r="FS18" s="21">
        <v>11.648244999999999</v>
      </c>
      <c r="FT18" s="21">
        <v>11.648244999999999</v>
      </c>
      <c r="FU18" s="21">
        <v>11.648244999999999</v>
      </c>
      <c r="FV18" s="21">
        <v>11.648244999999999</v>
      </c>
      <c r="FW18" s="21">
        <v>11.648244999999999</v>
      </c>
      <c r="FX18" s="21">
        <v>11.648244999999999</v>
      </c>
      <c r="FY18" s="21">
        <v>11.648244999999999</v>
      </c>
      <c r="FZ18" s="21">
        <v>11.648244999999999</v>
      </c>
      <c r="GA18" s="21">
        <v>11.648244999999999</v>
      </c>
      <c r="GB18" s="21">
        <v>11.648244999999999</v>
      </c>
      <c r="GC18" s="21">
        <v>11.648244999999999</v>
      </c>
      <c r="GD18" s="21">
        <v>11.648244999999999</v>
      </c>
      <c r="GE18" s="21">
        <v>11.648244999999999</v>
      </c>
      <c r="GF18" s="21">
        <v>11.648244999999999</v>
      </c>
      <c r="GG18" s="21">
        <v>11.648244999999999</v>
      </c>
      <c r="GH18" s="21">
        <v>11.648244999999999</v>
      </c>
      <c r="GI18" s="21">
        <v>11.648244999999999</v>
      </c>
      <c r="GJ18" s="21">
        <v>11.648244999999999</v>
      </c>
      <c r="GK18" s="21">
        <v>11.648244999999999</v>
      </c>
      <c r="GL18" s="21">
        <v>11.648244999999999</v>
      </c>
      <c r="GM18" s="21">
        <v>11.648244999999999</v>
      </c>
      <c r="GN18" s="21">
        <v>11.648244999999999</v>
      </c>
      <c r="GO18" s="21">
        <v>11.648244999999999</v>
      </c>
      <c r="GP18" s="21">
        <v>11.648244999999999</v>
      </c>
      <c r="GQ18" s="21">
        <v>11.648244999999999</v>
      </c>
      <c r="GR18" s="21">
        <v>11.648244999999999</v>
      </c>
      <c r="GS18" s="21">
        <v>11.648244999999999</v>
      </c>
      <c r="GT18" s="21">
        <v>11.648244999999999</v>
      </c>
      <c r="GU18" s="21">
        <v>11.648244999999999</v>
      </c>
      <c r="GV18" s="21">
        <v>11.648244999999999</v>
      </c>
      <c r="GW18" s="21">
        <v>11.648244999999999</v>
      </c>
      <c r="GX18" s="21">
        <v>11.648244999999999</v>
      </c>
      <c r="GY18" s="21">
        <v>11.648244999999999</v>
      </c>
      <c r="GZ18" s="21">
        <v>11.648244999999999</v>
      </c>
      <c r="HA18" s="21">
        <v>11.648244999999999</v>
      </c>
      <c r="HB18" s="21">
        <v>11.648244999999999</v>
      </c>
      <c r="HC18" s="21">
        <v>11.648244999999999</v>
      </c>
      <c r="HD18" s="21">
        <v>11.648244999999999</v>
      </c>
      <c r="HE18" s="21">
        <v>11.648244999999999</v>
      </c>
      <c r="HF18" s="21">
        <v>11.648244999999999</v>
      </c>
      <c r="HG18" s="21">
        <v>11.648244999999999</v>
      </c>
      <c r="HH18" s="21">
        <v>11.648244999999999</v>
      </c>
      <c r="HI18" s="21">
        <v>11.648244999999999</v>
      </c>
      <c r="HJ18" s="21">
        <v>11.648244999999999</v>
      </c>
      <c r="HK18" s="21">
        <v>11.648244999999999</v>
      </c>
      <c r="HL18" s="21">
        <v>11.648244999999999</v>
      </c>
      <c r="HM18" s="21">
        <v>11.648244999999999</v>
      </c>
      <c r="HN18" s="21">
        <v>11.648244999999999</v>
      </c>
      <c r="HO18" s="21">
        <v>11.648244999999999</v>
      </c>
      <c r="HP18" s="21">
        <v>11.648244999999999</v>
      </c>
      <c r="HQ18" s="21">
        <v>11.648244999999999</v>
      </c>
      <c r="HR18" s="21">
        <v>11.648244999999999</v>
      </c>
      <c r="HS18" s="21">
        <v>11.648244999999999</v>
      </c>
      <c r="HT18" s="21">
        <v>11.648244999999999</v>
      </c>
      <c r="HU18" s="21">
        <v>11.648244999999999</v>
      </c>
      <c r="HV18" s="21">
        <v>11.648244999999999</v>
      </c>
      <c r="HW18" s="21">
        <v>11.648244999999999</v>
      </c>
      <c r="HX18" s="21">
        <v>11.648244999999999</v>
      </c>
      <c r="HY18" s="21">
        <v>11.648244999999999</v>
      </c>
      <c r="HZ18" s="21">
        <v>11.648244999999999</v>
      </c>
      <c r="IA18" s="21">
        <v>11.648244999999999</v>
      </c>
      <c r="IB18" s="21">
        <v>11.648244999999999</v>
      </c>
      <c r="IC18" s="21">
        <v>11.648244999999999</v>
      </c>
      <c r="ID18" s="21">
        <v>11.648244999999999</v>
      </c>
      <c r="IE18" s="21">
        <v>11.648244999999999</v>
      </c>
      <c r="IF18" s="21">
        <v>11.648244999999999</v>
      </c>
      <c r="IG18" s="21">
        <v>11.648244999999999</v>
      </c>
      <c r="IH18" s="21">
        <v>11.648244999999999</v>
      </c>
      <c r="II18" s="21">
        <v>11.648244999999999</v>
      </c>
      <c r="IJ18" s="21">
        <v>11.648244999999999</v>
      </c>
      <c r="IK18" s="21">
        <v>11.648244999999999</v>
      </c>
      <c r="IL18" s="21">
        <v>11.648244999999999</v>
      </c>
      <c r="IM18" s="21">
        <v>11.648244999999999</v>
      </c>
      <c r="IN18" s="21">
        <v>11.648244999999999</v>
      </c>
      <c r="IO18" s="21">
        <v>11.648244999999999</v>
      </c>
      <c r="IP18" s="21">
        <v>11.648244999999999</v>
      </c>
      <c r="IQ18" s="21">
        <v>11.648244999999999</v>
      </c>
      <c r="IR18" s="21">
        <v>11.648244999999999</v>
      </c>
      <c r="IS18" s="21">
        <v>11.648244999999999</v>
      </c>
      <c r="IT18" s="21">
        <v>11.648244999999999</v>
      </c>
      <c r="IU18" s="21">
        <v>11.648244999999999</v>
      </c>
      <c r="IV18" s="21">
        <v>11.648244999999999</v>
      </c>
      <c r="IW18" s="21">
        <v>11.648244999999999</v>
      </c>
      <c r="IX18" s="21">
        <v>11.648244999999999</v>
      </c>
      <c r="IY18" s="21">
        <v>11.648244999999999</v>
      </c>
      <c r="IZ18" s="21">
        <v>11.648244999999999</v>
      </c>
      <c r="JA18" s="21">
        <v>11.648244999999999</v>
      </c>
      <c r="JB18" s="21">
        <v>11.648244999999999</v>
      </c>
      <c r="JC18" s="21">
        <v>11.648244999999999</v>
      </c>
      <c r="JD18" s="21">
        <v>11.648244999999999</v>
      </c>
      <c r="JE18" s="21">
        <v>11.648244999999999</v>
      </c>
      <c r="JF18" s="21">
        <v>11.648244999999999</v>
      </c>
      <c r="JG18" s="21">
        <v>11.648244999999999</v>
      </c>
      <c r="JH18" s="21">
        <v>11.648244999999999</v>
      </c>
      <c r="JI18" s="21">
        <v>11.648244999999999</v>
      </c>
      <c r="JJ18" s="21">
        <v>11.648244999999999</v>
      </c>
      <c r="JK18" s="21">
        <v>11.648244999999999</v>
      </c>
      <c r="JL18" s="21">
        <v>11.648244999999999</v>
      </c>
      <c r="JM18" s="21">
        <v>11.648244999999999</v>
      </c>
      <c r="JN18" s="21">
        <v>11.648244999999999</v>
      </c>
      <c r="JO18" s="21">
        <v>11.648244999999999</v>
      </c>
      <c r="JP18" s="21">
        <v>11.648244999999999</v>
      </c>
      <c r="JQ18" s="21">
        <v>11.648244999999999</v>
      </c>
      <c r="JR18" s="21">
        <v>11.648244999999999</v>
      </c>
      <c r="JS18" s="21">
        <v>11.648244999999999</v>
      </c>
      <c r="JT18" s="21">
        <v>11.648244999999999</v>
      </c>
      <c r="JU18" s="21">
        <v>11.648244999999999</v>
      </c>
      <c r="JV18" s="21">
        <v>11.648244999999999</v>
      </c>
      <c r="JW18" s="21">
        <v>11.648244999999999</v>
      </c>
      <c r="JX18" s="21">
        <v>11.648244999999999</v>
      </c>
      <c r="JY18" s="21">
        <v>11.648244999999999</v>
      </c>
      <c r="JZ18" s="21">
        <v>11.648244999999999</v>
      </c>
      <c r="KA18" s="21">
        <v>11.648244999999999</v>
      </c>
      <c r="KB18" s="21">
        <v>11.648244999999999</v>
      </c>
      <c r="KC18" s="21">
        <v>11.648244999999999</v>
      </c>
      <c r="KD18" s="21">
        <v>11.648244999999999</v>
      </c>
      <c r="KE18" s="21">
        <v>11.648244999999999</v>
      </c>
      <c r="KF18" s="21">
        <v>11.648244999999999</v>
      </c>
      <c r="KG18" s="21">
        <v>11.648244999999999</v>
      </c>
      <c r="KH18" s="21">
        <v>11.648244999999999</v>
      </c>
      <c r="KI18" s="21">
        <v>11.648244999999999</v>
      </c>
      <c r="KJ18" s="21">
        <v>11.648244999999999</v>
      </c>
      <c r="KK18" s="21">
        <v>11.648244999999999</v>
      </c>
      <c r="KL18" s="21">
        <v>11.648244999999999</v>
      </c>
      <c r="KM18" s="21">
        <v>11.648244999999999</v>
      </c>
      <c r="KN18" s="21">
        <v>11.648244999999999</v>
      </c>
      <c r="KO18" s="21">
        <v>11.648244999999999</v>
      </c>
      <c r="KP18" s="21">
        <v>11.648244999999999</v>
      </c>
      <c r="KQ18" s="21">
        <v>11.648244999999999</v>
      </c>
      <c r="KR18" s="21">
        <v>11.648244999999999</v>
      </c>
      <c r="KS18" s="21">
        <v>11.648244999999999</v>
      </c>
      <c r="KT18" s="21">
        <v>11.648244999999999</v>
      </c>
      <c r="KU18" s="21">
        <v>11.648244999999999</v>
      </c>
      <c r="KV18" s="21">
        <v>11.648244999999999</v>
      </c>
      <c r="KW18" s="21">
        <v>11.648244999999999</v>
      </c>
      <c r="KX18" s="21">
        <v>11.648244999999999</v>
      </c>
      <c r="KY18" s="21">
        <v>11.648244999999999</v>
      </c>
      <c r="KZ18" s="21">
        <v>11.648244999999999</v>
      </c>
      <c r="LA18" s="21">
        <v>11.648244999999999</v>
      </c>
      <c r="LB18" s="21">
        <v>11.648244999999999</v>
      </c>
      <c r="LC18" s="21">
        <v>11.648244999999999</v>
      </c>
      <c r="LD18" s="21">
        <v>11.648244999999999</v>
      </c>
      <c r="LE18" s="21">
        <v>11.648244999999999</v>
      </c>
      <c r="LF18" s="21">
        <v>11.648244999999999</v>
      </c>
      <c r="LG18" s="21">
        <v>11.648244999999999</v>
      </c>
      <c r="LH18" s="21">
        <v>11.648244999999999</v>
      </c>
      <c r="LI18" s="21">
        <v>11.648244999999999</v>
      </c>
      <c r="LJ18" s="21">
        <v>11.648244999999999</v>
      </c>
      <c r="LK18" s="21">
        <v>11.648244999999999</v>
      </c>
      <c r="LL18" s="21">
        <v>11.648244999999999</v>
      </c>
      <c r="LM18" s="21">
        <v>11.648244999999999</v>
      </c>
      <c r="LN18" s="21">
        <v>11.648244999999999</v>
      </c>
      <c r="LO18" s="21">
        <v>11.648244999999999</v>
      </c>
      <c r="LP18" s="21">
        <v>11.648244999999999</v>
      </c>
      <c r="LQ18" s="21">
        <v>11.648244999999999</v>
      </c>
      <c r="LR18" s="21">
        <v>11.648244999999999</v>
      </c>
      <c r="LS18" s="21">
        <v>11.648244999999999</v>
      </c>
      <c r="LT18" s="21">
        <v>11.648244999999999</v>
      </c>
      <c r="LU18" s="21">
        <v>11.648244999999999</v>
      </c>
      <c r="LV18" s="21">
        <v>11.648244999999999</v>
      </c>
      <c r="LW18" s="21">
        <v>11.648244999999999</v>
      </c>
      <c r="LX18" s="21">
        <v>11.648244999999999</v>
      </c>
      <c r="LY18" s="21">
        <v>11.648244999999999</v>
      </c>
      <c r="LZ18" s="21">
        <v>11.648244999999999</v>
      </c>
      <c r="MA18" s="21">
        <v>11.648244999999999</v>
      </c>
      <c r="MB18" s="21">
        <v>11.648244999999999</v>
      </c>
      <c r="MC18" s="21">
        <v>11.648244999999999</v>
      </c>
      <c r="MD18" s="21">
        <v>11.648244999999999</v>
      </c>
      <c r="ME18" s="21">
        <v>11.648244999999999</v>
      </c>
      <c r="MF18" s="21">
        <v>11.648244999999999</v>
      </c>
      <c r="MG18" s="21">
        <v>11.648244999999999</v>
      </c>
      <c r="MH18" s="21">
        <v>11.648244999999999</v>
      </c>
      <c r="MI18" s="21">
        <v>11.648244999999999</v>
      </c>
      <c r="MJ18" s="21">
        <v>11.648244999999999</v>
      </c>
      <c r="MK18" s="21">
        <v>11.648244999999999</v>
      </c>
      <c r="ML18" s="21">
        <v>11.648244999999999</v>
      </c>
      <c r="MM18" s="21">
        <v>11.648244999999999</v>
      </c>
      <c r="MN18" s="21">
        <v>11.648244999999999</v>
      </c>
      <c r="MO18" s="21">
        <v>11.648244999999999</v>
      </c>
      <c r="MP18" s="21">
        <v>11.648244999999999</v>
      </c>
      <c r="MQ18" s="21">
        <v>11.648244999999999</v>
      </c>
      <c r="MR18" s="21">
        <v>11.648244999999999</v>
      </c>
      <c r="MS18" s="21">
        <v>11.648244999999999</v>
      </c>
      <c r="MT18" s="21">
        <v>11.648244999999999</v>
      </c>
      <c r="MU18" s="21">
        <v>11.648244999999999</v>
      </c>
      <c r="MV18" s="21">
        <v>11.648244999999999</v>
      </c>
      <c r="MW18" s="21">
        <v>11.648244999999999</v>
      </c>
      <c r="MX18" s="21">
        <v>11.648244999999999</v>
      </c>
      <c r="MY18" s="21">
        <v>11.648244999999999</v>
      </c>
      <c r="MZ18" s="21">
        <v>11.957504999999999</v>
      </c>
    </row>
    <row r="19" spans="1:364" s="78" customFormat="1" x14ac:dyDescent="0.2">
      <c r="A19" s="7">
        <v>17</v>
      </c>
      <c r="B19" s="16" t="s">
        <v>617</v>
      </c>
      <c r="C19" s="74">
        <v>6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10.982454000000001</v>
      </c>
      <c r="K19" s="21">
        <v>10.982454000000001</v>
      </c>
      <c r="L19" s="21">
        <v>10.982454000000001</v>
      </c>
      <c r="M19" s="21">
        <v>10.982454000000001</v>
      </c>
      <c r="N19" s="21">
        <v>10.982454000000001</v>
      </c>
      <c r="O19" s="21">
        <v>10.982454000000001</v>
      </c>
      <c r="P19" s="21">
        <v>10.982454000000001</v>
      </c>
      <c r="Q19" s="21">
        <v>10.982454000000001</v>
      </c>
      <c r="R19" s="21">
        <v>10.982454000000001</v>
      </c>
      <c r="S19" s="21">
        <v>10.982454000000001</v>
      </c>
      <c r="T19" s="21">
        <v>10.982454000000001</v>
      </c>
      <c r="U19" s="21">
        <v>10.982454000000001</v>
      </c>
      <c r="V19" s="21">
        <v>10.982454000000001</v>
      </c>
      <c r="W19" s="21">
        <v>10.982454000000001</v>
      </c>
      <c r="X19" s="21">
        <v>10.982454000000001</v>
      </c>
      <c r="Y19" s="21">
        <v>10.982454000000001</v>
      </c>
      <c r="Z19" s="21">
        <v>10.982454000000001</v>
      </c>
      <c r="AA19" s="21">
        <v>10.982454000000001</v>
      </c>
      <c r="AB19" s="21">
        <v>10.982454000000001</v>
      </c>
      <c r="AC19" s="21">
        <v>10.982454000000001</v>
      </c>
      <c r="AD19" s="21">
        <v>10.982454000000001</v>
      </c>
      <c r="AE19" s="21">
        <v>10.982454000000001</v>
      </c>
      <c r="AF19" s="21">
        <v>10.982454000000001</v>
      </c>
      <c r="AG19" s="21">
        <v>10.982454000000001</v>
      </c>
      <c r="AH19" s="21">
        <v>10.982454000000001</v>
      </c>
      <c r="AI19" s="21">
        <v>10.982454000000001</v>
      </c>
      <c r="AJ19" s="21">
        <v>10.982454000000001</v>
      </c>
      <c r="AK19" s="21">
        <v>10.982454000000001</v>
      </c>
      <c r="AL19" s="21">
        <v>10.982454000000001</v>
      </c>
      <c r="AM19" s="21">
        <v>10.982454000000001</v>
      </c>
      <c r="AN19" s="21">
        <v>10.982454000000001</v>
      </c>
      <c r="AO19" s="21">
        <v>10.982454000000001</v>
      </c>
      <c r="AP19" s="21">
        <v>10.982454000000001</v>
      </c>
      <c r="AQ19" s="21">
        <v>10.982454000000001</v>
      </c>
      <c r="AR19" s="21">
        <v>10.982454000000001</v>
      </c>
      <c r="AS19" s="21">
        <v>10.982454000000001</v>
      </c>
      <c r="AT19" s="21">
        <v>10.982454000000001</v>
      </c>
      <c r="AU19" s="21">
        <v>10.982454000000001</v>
      </c>
      <c r="AV19" s="21">
        <v>10.982454000000001</v>
      </c>
      <c r="AW19" s="21">
        <v>10.982454000000001</v>
      </c>
      <c r="AX19" s="21">
        <v>10.982454000000001</v>
      </c>
      <c r="AY19" s="21">
        <v>10.982454000000001</v>
      </c>
      <c r="AZ19" s="21">
        <v>10.982454000000001</v>
      </c>
      <c r="BA19" s="21">
        <v>10.982454000000001</v>
      </c>
      <c r="BB19" s="21">
        <v>10.982454000000001</v>
      </c>
      <c r="BC19" s="21">
        <v>10.982454000000001</v>
      </c>
      <c r="BD19" s="21">
        <v>10.982454000000001</v>
      </c>
      <c r="BE19" s="21">
        <v>10.982454000000001</v>
      </c>
      <c r="BF19" s="21">
        <v>10.982454000000001</v>
      </c>
      <c r="BG19" s="21">
        <v>10.982454000000001</v>
      </c>
      <c r="BH19" s="21">
        <v>10.982454000000001</v>
      </c>
      <c r="BI19" s="21">
        <v>10.982454000000001</v>
      </c>
      <c r="BJ19" s="21">
        <v>10.982454000000001</v>
      </c>
      <c r="BK19" s="21">
        <v>10.982454000000001</v>
      </c>
      <c r="BL19" s="21">
        <v>10.982454000000001</v>
      </c>
      <c r="BM19" s="21">
        <v>10.982454000000001</v>
      </c>
      <c r="BN19" s="21">
        <v>10.982454000000001</v>
      </c>
      <c r="BO19" s="21">
        <v>10.982454000000001</v>
      </c>
      <c r="BP19" s="21">
        <v>10.982454000000001</v>
      </c>
      <c r="BQ19" s="21">
        <v>10.982454000000001</v>
      </c>
      <c r="BR19" s="21">
        <v>10.982454000000001</v>
      </c>
      <c r="BS19" s="21">
        <v>10.982454000000001</v>
      </c>
      <c r="BT19" s="21">
        <v>10.982454000000001</v>
      </c>
      <c r="BU19" s="21">
        <v>10.982454000000001</v>
      </c>
      <c r="BV19" s="21">
        <v>10.982454000000001</v>
      </c>
      <c r="BW19" s="21">
        <v>10.982454000000001</v>
      </c>
      <c r="BX19" s="21">
        <v>10.982454000000001</v>
      </c>
      <c r="BY19" s="21">
        <v>10.982454000000001</v>
      </c>
      <c r="BZ19" s="21">
        <v>10.982454000000001</v>
      </c>
      <c r="CA19" s="21">
        <v>10.982454000000001</v>
      </c>
      <c r="CB19" s="21">
        <v>10.982454000000001</v>
      </c>
      <c r="CC19" s="21">
        <v>10.982454000000001</v>
      </c>
      <c r="CD19" s="21">
        <v>10.982454000000001</v>
      </c>
      <c r="CE19" s="21">
        <v>10.982454000000001</v>
      </c>
      <c r="CF19" s="21">
        <v>10.982454000000001</v>
      </c>
      <c r="CG19" s="21">
        <v>10.982454000000001</v>
      </c>
      <c r="CH19" s="21">
        <v>10.982454000000001</v>
      </c>
      <c r="CI19" s="21">
        <v>10.982454000000001</v>
      </c>
      <c r="CJ19" s="21">
        <v>10.982454000000001</v>
      </c>
      <c r="CK19" s="21">
        <v>10.982454000000001</v>
      </c>
      <c r="CL19" s="21">
        <v>10.982454000000001</v>
      </c>
      <c r="CM19" s="21">
        <v>10.982454000000001</v>
      </c>
      <c r="CN19" s="21">
        <v>10.982454000000001</v>
      </c>
      <c r="CO19" s="21">
        <v>10.982454000000001</v>
      </c>
      <c r="CP19" s="21">
        <v>10.982454000000001</v>
      </c>
      <c r="CQ19" s="21">
        <v>10.982454000000001</v>
      </c>
      <c r="CR19" s="21">
        <v>10.982454000000001</v>
      </c>
      <c r="CS19" s="21">
        <v>10.982454000000001</v>
      </c>
      <c r="CT19" s="21">
        <v>10.982454000000001</v>
      </c>
      <c r="CU19" s="21">
        <v>10.982454000000001</v>
      </c>
      <c r="CV19" s="21">
        <v>10.982454000000001</v>
      </c>
      <c r="CW19" s="21">
        <v>10.982454000000001</v>
      </c>
      <c r="CX19" s="21">
        <v>10.982454000000001</v>
      </c>
      <c r="CY19" s="21">
        <v>10.982454000000001</v>
      </c>
      <c r="CZ19" s="21">
        <v>10.982454000000001</v>
      </c>
      <c r="DA19" s="21">
        <v>10.982454000000001</v>
      </c>
      <c r="DB19" s="21">
        <v>10.982454000000001</v>
      </c>
      <c r="DC19" s="21">
        <v>10.982454000000001</v>
      </c>
      <c r="DD19" s="21">
        <v>10.982454000000001</v>
      </c>
      <c r="DE19" s="21">
        <v>10.982454000000001</v>
      </c>
      <c r="DF19" s="21">
        <v>10.982454000000001</v>
      </c>
      <c r="DG19" s="21">
        <v>10.982454000000001</v>
      </c>
      <c r="DH19" s="21">
        <v>10.982454000000001</v>
      </c>
      <c r="DI19" s="21">
        <v>10.982454000000001</v>
      </c>
      <c r="DJ19" s="21">
        <v>10.982454000000001</v>
      </c>
      <c r="DK19" s="21">
        <v>10.982454000000001</v>
      </c>
      <c r="DL19" s="21">
        <v>10.982454000000001</v>
      </c>
      <c r="DM19" s="21">
        <v>10.982454000000001</v>
      </c>
      <c r="DN19" s="21">
        <v>10.982454000000001</v>
      </c>
      <c r="DO19" s="21">
        <v>10.982454000000001</v>
      </c>
      <c r="DP19" s="21">
        <v>10.982454000000001</v>
      </c>
      <c r="DQ19" s="21">
        <v>10.982454000000001</v>
      </c>
      <c r="DR19" s="21">
        <v>10.982454000000001</v>
      </c>
      <c r="DS19" s="21">
        <v>10.982454000000001</v>
      </c>
      <c r="DT19" s="21">
        <v>10.982454000000001</v>
      </c>
      <c r="DU19" s="21">
        <v>10.982454000000001</v>
      </c>
      <c r="DV19" s="21">
        <v>10.982454000000001</v>
      </c>
      <c r="DW19" s="21">
        <v>10.982454000000001</v>
      </c>
      <c r="DX19" s="21">
        <v>10.982454000000001</v>
      </c>
      <c r="DY19" s="21">
        <v>10.982454000000001</v>
      </c>
      <c r="DZ19" s="21">
        <v>10.982454000000001</v>
      </c>
      <c r="EA19" s="21">
        <v>10.982454000000001</v>
      </c>
      <c r="EB19" s="21">
        <v>10.982454000000001</v>
      </c>
      <c r="EC19" s="21">
        <v>10.982454000000001</v>
      </c>
      <c r="ED19" s="21">
        <v>10.982454000000001</v>
      </c>
      <c r="EE19" s="21">
        <v>10.982454000000001</v>
      </c>
      <c r="EF19" s="21">
        <v>10.982454000000001</v>
      </c>
      <c r="EG19" s="21">
        <v>10.982454000000001</v>
      </c>
      <c r="EH19" s="21">
        <v>10.982454000000001</v>
      </c>
      <c r="EI19" s="21">
        <v>10.982454000000001</v>
      </c>
      <c r="EJ19" s="21">
        <v>10.982454000000001</v>
      </c>
      <c r="EK19" s="21">
        <v>10.982454000000001</v>
      </c>
      <c r="EL19" s="21">
        <v>10.982454000000001</v>
      </c>
      <c r="EM19" s="21">
        <v>10.982454000000001</v>
      </c>
      <c r="EN19" s="21">
        <v>10.982454000000001</v>
      </c>
      <c r="EO19" s="21">
        <v>10.982454000000001</v>
      </c>
      <c r="EP19" s="21">
        <v>10.982454000000001</v>
      </c>
      <c r="EQ19" s="21">
        <v>10.982454000000001</v>
      </c>
      <c r="ER19" s="21">
        <v>10.982454000000001</v>
      </c>
      <c r="ES19" s="21">
        <v>10.982454000000001</v>
      </c>
      <c r="ET19" s="21">
        <v>10.982454000000001</v>
      </c>
      <c r="EU19" s="21">
        <v>10.982454000000001</v>
      </c>
      <c r="EV19" s="21">
        <v>10.982454000000001</v>
      </c>
      <c r="EW19" s="21">
        <v>10.982454000000001</v>
      </c>
      <c r="EX19" s="21">
        <v>10.982454000000001</v>
      </c>
      <c r="EY19" s="21">
        <v>10.982454000000001</v>
      </c>
      <c r="EZ19" s="21">
        <v>10.982454000000001</v>
      </c>
      <c r="FA19" s="21">
        <v>10.982454000000001</v>
      </c>
      <c r="FB19" s="21">
        <v>10.982454000000001</v>
      </c>
      <c r="FC19" s="21">
        <v>10.982454000000001</v>
      </c>
      <c r="FD19" s="21">
        <v>10.982454000000001</v>
      </c>
      <c r="FE19" s="21">
        <v>10.982454000000001</v>
      </c>
      <c r="FF19" s="21">
        <v>10.982454000000001</v>
      </c>
      <c r="FG19" s="21">
        <v>10.982454000000001</v>
      </c>
      <c r="FH19" s="21">
        <v>10.982454000000001</v>
      </c>
      <c r="FI19" s="21">
        <v>10.982454000000001</v>
      </c>
      <c r="FJ19" s="21">
        <v>10.982454000000001</v>
      </c>
      <c r="FK19" s="21">
        <v>10.982454000000001</v>
      </c>
      <c r="FL19" s="21">
        <v>10.982454000000001</v>
      </c>
      <c r="FM19" s="21">
        <v>10.982454000000001</v>
      </c>
      <c r="FN19" s="21">
        <v>10.982454000000001</v>
      </c>
      <c r="FO19" s="21">
        <v>10.982454000000001</v>
      </c>
      <c r="FP19" s="21">
        <v>10.982454000000001</v>
      </c>
      <c r="FQ19" s="21">
        <v>10.982454000000001</v>
      </c>
      <c r="FR19" s="21">
        <v>10.982454000000001</v>
      </c>
      <c r="FS19" s="21">
        <v>10.982454000000001</v>
      </c>
      <c r="FT19" s="21">
        <v>10.982454000000001</v>
      </c>
      <c r="FU19" s="21">
        <v>10.982454000000001</v>
      </c>
      <c r="FV19" s="21">
        <v>10.982454000000001</v>
      </c>
      <c r="FW19" s="21">
        <v>10.982454000000001</v>
      </c>
      <c r="FX19" s="21">
        <v>10.982454000000001</v>
      </c>
      <c r="FY19" s="21">
        <v>10.982454000000001</v>
      </c>
      <c r="FZ19" s="21">
        <v>10.982454000000001</v>
      </c>
      <c r="GA19" s="21">
        <v>10.982454000000001</v>
      </c>
      <c r="GB19" s="21">
        <v>10.982454000000001</v>
      </c>
      <c r="GC19" s="21">
        <v>10.982454000000001</v>
      </c>
      <c r="GD19" s="21">
        <v>10.982454000000001</v>
      </c>
      <c r="GE19" s="21">
        <v>10.982454000000001</v>
      </c>
      <c r="GF19" s="21">
        <v>10.982454000000001</v>
      </c>
      <c r="GG19" s="21">
        <v>10.982454000000001</v>
      </c>
      <c r="GH19" s="21">
        <v>10.982454000000001</v>
      </c>
      <c r="GI19" s="21">
        <v>10.982454000000001</v>
      </c>
      <c r="GJ19" s="21">
        <v>10.982454000000001</v>
      </c>
      <c r="GK19" s="21">
        <v>10.982454000000001</v>
      </c>
      <c r="GL19" s="21">
        <v>10.982454000000001</v>
      </c>
      <c r="GM19" s="21">
        <v>10.982454000000001</v>
      </c>
      <c r="GN19" s="21">
        <v>10.982454000000001</v>
      </c>
      <c r="GO19" s="21">
        <v>10.982454000000001</v>
      </c>
      <c r="GP19" s="21">
        <v>10.982454000000001</v>
      </c>
      <c r="GQ19" s="21">
        <v>10.982454000000001</v>
      </c>
      <c r="GR19" s="21">
        <v>10.982454000000001</v>
      </c>
      <c r="GS19" s="21">
        <v>10.982454000000001</v>
      </c>
      <c r="GT19" s="21">
        <v>10.982454000000001</v>
      </c>
      <c r="GU19" s="21">
        <v>10.982454000000001</v>
      </c>
      <c r="GV19" s="21">
        <v>10.982454000000001</v>
      </c>
      <c r="GW19" s="21">
        <v>10.982454000000001</v>
      </c>
      <c r="GX19" s="21">
        <v>10.982454000000001</v>
      </c>
      <c r="GY19" s="21">
        <v>10.982454000000001</v>
      </c>
      <c r="GZ19" s="21">
        <v>10.982454000000001</v>
      </c>
      <c r="HA19" s="21">
        <v>10.982454000000001</v>
      </c>
      <c r="HB19" s="21">
        <v>10.982454000000001</v>
      </c>
      <c r="HC19" s="21">
        <v>10.982454000000001</v>
      </c>
      <c r="HD19" s="21">
        <v>10.982454000000001</v>
      </c>
      <c r="HE19" s="21">
        <v>10.982454000000001</v>
      </c>
      <c r="HF19" s="21">
        <v>10.982454000000001</v>
      </c>
      <c r="HG19" s="21">
        <v>10.982454000000001</v>
      </c>
      <c r="HH19" s="21">
        <v>10.982454000000001</v>
      </c>
      <c r="HI19" s="21">
        <v>10.982454000000001</v>
      </c>
      <c r="HJ19" s="21">
        <v>10.982454000000001</v>
      </c>
      <c r="HK19" s="21">
        <v>10.982454000000001</v>
      </c>
      <c r="HL19" s="21">
        <v>10.982454000000001</v>
      </c>
      <c r="HM19" s="21">
        <v>10.982454000000001</v>
      </c>
      <c r="HN19" s="21">
        <v>10.982454000000001</v>
      </c>
      <c r="HO19" s="21">
        <v>10.982454000000001</v>
      </c>
      <c r="HP19" s="21">
        <v>10.982454000000001</v>
      </c>
      <c r="HQ19" s="21">
        <v>10.982454000000001</v>
      </c>
      <c r="HR19" s="21">
        <v>10.982454000000001</v>
      </c>
      <c r="HS19" s="21">
        <v>10.982454000000001</v>
      </c>
      <c r="HT19" s="21">
        <v>10.982454000000001</v>
      </c>
      <c r="HU19" s="21">
        <v>10.982454000000001</v>
      </c>
      <c r="HV19" s="21">
        <v>10.982454000000001</v>
      </c>
      <c r="HW19" s="21">
        <v>10.982454000000001</v>
      </c>
      <c r="HX19" s="21">
        <v>10.982454000000001</v>
      </c>
      <c r="HY19" s="21">
        <v>10.982454000000001</v>
      </c>
      <c r="HZ19" s="21">
        <v>10.982454000000001</v>
      </c>
      <c r="IA19" s="21">
        <v>10.982454000000001</v>
      </c>
      <c r="IB19" s="21">
        <v>10.982454000000001</v>
      </c>
      <c r="IC19" s="21">
        <v>10.982454000000001</v>
      </c>
      <c r="ID19" s="21">
        <v>10.982454000000001</v>
      </c>
      <c r="IE19" s="21">
        <v>10.982454000000001</v>
      </c>
      <c r="IF19" s="21">
        <v>10.982454000000001</v>
      </c>
      <c r="IG19" s="21">
        <v>10.982454000000001</v>
      </c>
      <c r="IH19" s="21">
        <v>10.982454000000001</v>
      </c>
      <c r="II19" s="21">
        <v>10.982454000000001</v>
      </c>
      <c r="IJ19" s="21">
        <v>10.982454000000001</v>
      </c>
      <c r="IK19" s="21">
        <v>10.982454000000001</v>
      </c>
      <c r="IL19" s="21">
        <v>10.982454000000001</v>
      </c>
      <c r="IM19" s="21">
        <v>10.982454000000001</v>
      </c>
      <c r="IN19" s="21">
        <v>10.982454000000001</v>
      </c>
      <c r="IO19" s="21">
        <v>10.982454000000001</v>
      </c>
      <c r="IP19" s="21">
        <v>10.982454000000001</v>
      </c>
      <c r="IQ19" s="21">
        <v>10.982454000000001</v>
      </c>
      <c r="IR19" s="21">
        <v>10.982454000000001</v>
      </c>
      <c r="IS19" s="21">
        <v>10.982454000000001</v>
      </c>
      <c r="IT19" s="21">
        <v>10.982454000000001</v>
      </c>
      <c r="IU19" s="21">
        <v>10.982454000000001</v>
      </c>
      <c r="IV19" s="21">
        <v>10.982454000000001</v>
      </c>
      <c r="IW19" s="21">
        <v>10.982454000000001</v>
      </c>
      <c r="IX19" s="21">
        <v>10.982454000000001</v>
      </c>
      <c r="IY19" s="21">
        <v>10.982454000000001</v>
      </c>
      <c r="IZ19" s="21">
        <v>10.982454000000001</v>
      </c>
      <c r="JA19" s="21">
        <v>10.982454000000001</v>
      </c>
      <c r="JB19" s="21">
        <v>10.982454000000001</v>
      </c>
      <c r="JC19" s="21">
        <v>10.982454000000001</v>
      </c>
      <c r="JD19" s="21">
        <v>10.982454000000001</v>
      </c>
      <c r="JE19" s="21">
        <v>10.982454000000001</v>
      </c>
      <c r="JF19" s="21">
        <v>10.982454000000001</v>
      </c>
      <c r="JG19" s="21">
        <v>10.982454000000001</v>
      </c>
      <c r="JH19" s="21">
        <v>10.982454000000001</v>
      </c>
      <c r="JI19" s="21">
        <v>10.982454000000001</v>
      </c>
      <c r="JJ19" s="21">
        <v>10.982454000000001</v>
      </c>
      <c r="JK19" s="21">
        <v>10.982454000000001</v>
      </c>
      <c r="JL19" s="21">
        <v>10.982454000000001</v>
      </c>
      <c r="JM19" s="21">
        <v>10.982454000000001</v>
      </c>
      <c r="JN19" s="21">
        <v>10.982454000000001</v>
      </c>
      <c r="JO19" s="21">
        <v>10.982454000000001</v>
      </c>
      <c r="JP19" s="21">
        <v>10.982454000000001</v>
      </c>
      <c r="JQ19" s="21">
        <v>10.982454000000001</v>
      </c>
      <c r="JR19" s="21">
        <v>10.982454000000001</v>
      </c>
      <c r="JS19" s="21">
        <v>10.982454000000001</v>
      </c>
      <c r="JT19" s="21">
        <v>10.982454000000001</v>
      </c>
      <c r="JU19" s="21">
        <v>10.982454000000001</v>
      </c>
      <c r="JV19" s="21">
        <v>10.982454000000001</v>
      </c>
      <c r="JW19" s="21">
        <v>10.982454000000001</v>
      </c>
      <c r="JX19" s="21">
        <v>10.982454000000001</v>
      </c>
      <c r="JY19" s="21">
        <v>10.982454000000001</v>
      </c>
      <c r="JZ19" s="21">
        <v>10.982454000000001</v>
      </c>
      <c r="KA19" s="21">
        <v>10.982454000000001</v>
      </c>
      <c r="KB19" s="21">
        <v>10.982454000000001</v>
      </c>
      <c r="KC19" s="21">
        <v>10.982454000000001</v>
      </c>
      <c r="KD19" s="21">
        <v>10.982454000000001</v>
      </c>
      <c r="KE19" s="21">
        <v>10.982454000000001</v>
      </c>
      <c r="KF19" s="21">
        <v>10.982454000000001</v>
      </c>
      <c r="KG19" s="21">
        <v>10.982454000000001</v>
      </c>
      <c r="KH19" s="21">
        <v>10.982454000000001</v>
      </c>
      <c r="KI19" s="21">
        <v>10.982454000000001</v>
      </c>
      <c r="KJ19" s="21">
        <v>10.982454000000001</v>
      </c>
      <c r="KK19" s="21">
        <v>10.982454000000001</v>
      </c>
      <c r="KL19" s="21">
        <v>10.982454000000001</v>
      </c>
      <c r="KM19" s="21">
        <v>10.982454000000001</v>
      </c>
      <c r="KN19" s="21">
        <v>10.982454000000001</v>
      </c>
      <c r="KO19" s="21">
        <v>10.982454000000001</v>
      </c>
      <c r="KP19" s="21">
        <v>10.982454000000001</v>
      </c>
      <c r="KQ19" s="21">
        <v>10.982454000000001</v>
      </c>
      <c r="KR19" s="21">
        <v>10.982454000000001</v>
      </c>
      <c r="KS19" s="21">
        <v>10.982454000000001</v>
      </c>
      <c r="KT19" s="21">
        <v>10.982454000000001</v>
      </c>
      <c r="KU19" s="21">
        <v>10.982454000000001</v>
      </c>
      <c r="KV19" s="21">
        <v>10.982454000000001</v>
      </c>
      <c r="KW19" s="21">
        <v>10.982454000000001</v>
      </c>
      <c r="KX19" s="21">
        <v>10.982454000000001</v>
      </c>
      <c r="KY19" s="21">
        <v>10.982454000000001</v>
      </c>
      <c r="KZ19" s="21">
        <v>10.982454000000001</v>
      </c>
      <c r="LA19" s="21">
        <v>10.982454000000001</v>
      </c>
      <c r="LB19" s="21">
        <v>10.982454000000001</v>
      </c>
      <c r="LC19" s="21">
        <v>10.982454000000001</v>
      </c>
      <c r="LD19" s="21">
        <v>10.982454000000001</v>
      </c>
      <c r="LE19" s="21">
        <v>10.982454000000001</v>
      </c>
      <c r="LF19" s="21">
        <v>10.982454000000001</v>
      </c>
      <c r="LG19" s="21">
        <v>10.982454000000001</v>
      </c>
      <c r="LH19" s="21">
        <v>10.982454000000001</v>
      </c>
      <c r="LI19" s="21">
        <v>10.982454000000001</v>
      </c>
      <c r="LJ19" s="21">
        <v>10.982454000000001</v>
      </c>
      <c r="LK19" s="21">
        <v>10.982454000000001</v>
      </c>
      <c r="LL19" s="21">
        <v>10.982454000000001</v>
      </c>
      <c r="LM19" s="21">
        <v>10.982454000000001</v>
      </c>
      <c r="LN19" s="21">
        <v>10.982454000000001</v>
      </c>
      <c r="LO19" s="21">
        <v>10.982454000000001</v>
      </c>
      <c r="LP19" s="21">
        <v>10.982454000000001</v>
      </c>
      <c r="LQ19" s="21">
        <v>10.982454000000001</v>
      </c>
      <c r="LR19" s="21">
        <v>10.982454000000001</v>
      </c>
      <c r="LS19" s="21">
        <v>10.982454000000001</v>
      </c>
      <c r="LT19" s="21">
        <v>10.982454000000001</v>
      </c>
      <c r="LU19" s="21">
        <v>10.982454000000001</v>
      </c>
      <c r="LV19" s="21">
        <v>10.982454000000001</v>
      </c>
      <c r="LW19" s="21">
        <v>10.982454000000001</v>
      </c>
      <c r="LX19" s="21">
        <v>10.982454000000001</v>
      </c>
      <c r="LY19" s="21">
        <v>10.982454000000001</v>
      </c>
      <c r="LZ19" s="21">
        <v>10.982454000000001</v>
      </c>
      <c r="MA19" s="21">
        <v>10.982454000000001</v>
      </c>
      <c r="MB19" s="21">
        <v>10.982454000000001</v>
      </c>
      <c r="MC19" s="21">
        <v>10.982454000000001</v>
      </c>
      <c r="MD19" s="21">
        <v>10.982454000000001</v>
      </c>
      <c r="ME19" s="21">
        <v>10.982454000000001</v>
      </c>
      <c r="MF19" s="21">
        <v>10.982454000000001</v>
      </c>
      <c r="MG19" s="21">
        <v>10.982454000000001</v>
      </c>
      <c r="MH19" s="21">
        <v>10.982454000000001</v>
      </c>
      <c r="MI19" s="21">
        <v>10.982454000000001</v>
      </c>
      <c r="MJ19" s="21">
        <v>10.982454000000001</v>
      </c>
      <c r="MK19" s="21">
        <v>10.982454000000001</v>
      </c>
      <c r="ML19" s="21">
        <v>10.982454000000001</v>
      </c>
      <c r="MM19" s="21">
        <v>10.982454000000001</v>
      </c>
      <c r="MN19" s="21">
        <v>10.982454000000001</v>
      </c>
      <c r="MO19" s="21">
        <v>10.982454000000001</v>
      </c>
      <c r="MP19" s="21">
        <v>10.982454000000001</v>
      </c>
      <c r="MQ19" s="21">
        <v>10.982454000000001</v>
      </c>
      <c r="MR19" s="21">
        <v>10.982454000000001</v>
      </c>
      <c r="MS19" s="21">
        <v>10.982454000000001</v>
      </c>
      <c r="MT19" s="21">
        <v>10.982454000000001</v>
      </c>
      <c r="MU19" s="21">
        <v>10.982454000000001</v>
      </c>
      <c r="MV19" s="21">
        <v>10.982454000000001</v>
      </c>
      <c r="MW19" s="21">
        <v>10.982454000000001</v>
      </c>
      <c r="MX19" s="21">
        <v>10.982454000000001</v>
      </c>
      <c r="MY19" s="21">
        <v>10.982454000000001</v>
      </c>
      <c r="MZ19" s="21">
        <v>11.274037</v>
      </c>
    </row>
    <row r="20" spans="1:364" s="78" customFormat="1" x14ac:dyDescent="0.2">
      <c r="A20" s="7">
        <v>18</v>
      </c>
      <c r="B20" s="16" t="s">
        <v>621</v>
      </c>
      <c r="C20" s="74">
        <v>6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6.9634369999999999</v>
      </c>
      <c r="K20" s="21">
        <v>6.9634369999999999</v>
      </c>
      <c r="L20" s="21">
        <v>6.9634369999999999</v>
      </c>
      <c r="M20" s="21">
        <v>6.9634369999999999</v>
      </c>
      <c r="N20" s="21">
        <v>6.9634369999999999</v>
      </c>
      <c r="O20" s="21">
        <v>6.9634369999999999</v>
      </c>
      <c r="P20" s="21">
        <v>6.9634369999999999</v>
      </c>
      <c r="Q20" s="21">
        <v>6.9634369999999999</v>
      </c>
      <c r="R20" s="21">
        <v>6.9634369999999999</v>
      </c>
      <c r="S20" s="21">
        <v>6.9634369999999999</v>
      </c>
      <c r="T20" s="21">
        <v>6.9634369999999999</v>
      </c>
      <c r="U20" s="21">
        <v>6.9634369999999999</v>
      </c>
      <c r="V20" s="21">
        <v>6.9634369999999999</v>
      </c>
      <c r="W20" s="21">
        <v>6.9634369999999999</v>
      </c>
      <c r="X20" s="21">
        <v>6.9634369999999999</v>
      </c>
      <c r="Y20" s="21">
        <v>6.9634369999999999</v>
      </c>
      <c r="Z20" s="21">
        <v>6.9634369999999999</v>
      </c>
      <c r="AA20" s="21">
        <v>6.9634369999999999</v>
      </c>
      <c r="AB20" s="21">
        <v>6.9634369999999999</v>
      </c>
      <c r="AC20" s="21">
        <v>6.9634369999999999</v>
      </c>
      <c r="AD20" s="21">
        <v>6.9634369999999999</v>
      </c>
      <c r="AE20" s="21">
        <v>6.9634369999999999</v>
      </c>
      <c r="AF20" s="21">
        <v>6.9634369999999999</v>
      </c>
      <c r="AG20" s="21">
        <v>6.9634369999999999</v>
      </c>
      <c r="AH20" s="21">
        <v>6.9634369999999999</v>
      </c>
      <c r="AI20" s="21">
        <v>6.9634369999999999</v>
      </c>
      <c r="AJ20" s="21">
        <v>6.9634369999999999</v>
      </c>
      <c r="AK20" s="21">
        <v>6.9634369999999999</v>
      </c>
      <c r="AL20" s="21">
        <v>6.9634369999999999</v>
      </c>
      <c r="AM20" s="21">
        <v>6.9634369999999999</v>
      </c>
      <c r="AN20" s="21">
        <v>6.9634369999999999</v>
      </c>
      <c r="AO20" s="21">
        <v>6.9634369999999999</v>
      </c>
      <c r="AP20" s="21">
        <v>6.9634369999999999</v>
      </c>
      <c r="AQ20" s="21">
        <v>6.9634369999999999</v>
      </c>
      <c r="AR20" s="21">
        <v>6.9634369999999999</v>
      </c>
      <c r="AS20" s="21">
        <v>6.9634369999999999</v>
      </c>
      <c r="AT20" s="21">
        <v>6.9634369999999999</v>
      </c>
      <c r="AU20" s="21">
        <v>6.9634369999999999</v>
      </c>
      <c r="AV20" s="21">
        <v>6.9634369999999999</v>
      </c>
      <c r="AW20" s="21">
        <v>6.9634369999999999</v>
      </c>
      <c r="AX20" s="21">
        <v>6.9634369999999999</v>
      </c>
      <c r="AY20" s="21">
        <v>6.9634369999999999</v>
      </c>
      <c r="AZ20" s="21">
        <v>6.9634369999999999</v>
      </c>
      <c r="BA20" s="21">
        <v>6.9634369999999999</v>
      </c>
      <c r="BB20" s="21">
        <v>6.9634369999999999</v>
      </c>
      <c r="BC20" s="21">
        <v>6.9634369999999999</v>
      </c>
      <c r="BD20" s="21">
        <v>6.9634369999999999</v>
      </c>
      <c r="BE20" s="21">
        <v>6.9634369999999999</v>
      </c>
      <c r="BF20" s="21">
        <v>6.9634369999999999</v>
      </c>
      <c r="BG20" s="21">
        <v>6.9634369999999999</v>
      </c>
      <c r="BH20" s="21">
        <v>6.9634369999999999</v>
      </c>
      <c r="BI20" s="21">
        <v>6.9634369999999999</v>
      </c>
      <c r="BJ20" s="21">
        <v>6.9634369999999999</v>
      </c>
      <c r="BK20" s="21">
        <v>6.9634369999999999</v>
      </c>
      <c r="BL20" s="21">
        <v>6.9634369999999999</v>
      </c>
      <c r="BM20" s="21">
        <v>6.9634369999999999</v>
      </c>
      <c r="BN20" s="21">
        <v>6.9634369999999999</v>
      </c>
      <c r="BO20" s="21">
        <v>6.9634369999999999</v>
      </c>
      <c r="BP20" s="21">
        <v>6.9634369999999999</v>
      </c>
      <c r="BQ20" s="21">
        <v>6.9634369999999999</v>
      </c>
      <c r="BR20" s="21">
        <v>6.9634369999999999</v>
      </c>
      <c r="BS20" s="21">
        <v>6.9634369999999999</v>
      </c>
      <c r="BT20" s="21">
        <v>6.9634369999999999</v>
      </c>
      <c r="BU20" s="21">
        <v>6.9634369999999999</v>
      </c>
      <c r="BV20" s="21">
        <v>6.9634369999999999</v>
      </c>
      <c r="BW20" s="21">
        <v>6.9634369999999999</v>
      </c>
      <c r="BX20" s="21">
        <v>6.9634369999999999</v>
      </c>
      <c r="BY20" s="21">
        <v>6.9634369999999999</v>
      </c>
      <c r="BZ20" s="21">
        <v>6.9634369999999999</v>
      </c>
      <c r="CA20" s="21">
        <v>6.9634369999999999</v>
      </c>
      <c r="CB20" s="21">
        <v>6.9634369999999999</v>
      </c>
      <c r="CC20" s="21">
        <v>6.9634369999999999</v>
      </c>
      <c r="CD20" s="21">
        <v>6.9634369999999999</v>
      </c>
      <c r="CE20" s="21">
        <v>6.9634369999999999</v>
      </c>
      <c r="CF20" s="21">
        <v>6.9634369999999999</v>
      </c>
      <c r="CG20" s="21">
        <v>6.9634369999999999</v>
      </c>
      <c r="CH20" s="21">
        <v>6.9634369999999999</v>
      </c>
      <c r="CI20" s="21">
        <v>6.9634369999999999</v>
      </c>
      <c r="CJ20" s="21">
        <v>6.9634369999999999</v>
      </c>
      <c r="CK20" s="21">
        <v>6.9634369999999999</v>
      </c>
      <c r="CL20" s="21">
        <v>6.9634369999999999</v>
      </c>
      <c r="CM20" s="21">
        <v>6.9634369999999999</v>
      </c>
      <c r="CN20" s="21">
        <v>6.9634369999999999</v>
      </c>
      <c r="CO20" s="21">
        <v>6.9634369999999999</v>
      </c>
      <c r="CP20" s="21">
        <v>6.9634369999999999</v>
      </c>
      <c r="CQ20" s="21">
        <v>6.9634369999999999</v>
      </c>
      <c r="CR20" s="21">
        <v>6.9634369999999999</v>
      </c>
      <c r="CS20" s="21">
        <v>6.9634369999999999</v>
      </c>
      <c r="CT20" s="21">
        <v>6.9634369999999999</v>
      </c>
      <c r="CU20" s="21">
        <v>6.9634369999999999</v>
      </c>
      <c r="CV20" s="21">
        <v>6.9634369999999999</v>
      </c>
      <c r="CW20" s="21">
        <v>6.9634369999999999</v>
      </c>
      <c r="CX20" s="21">
        <v>6.9634369999999999</v>
      </c>
      <c r="CY20" s="21">
        <v>6.9634369999999999</v>
      </c>
      <c r="CZ20" s="21">
        <v>6.9634369999999999</v>
      </c>
      <c r="DA20" s="21">
        <v>6.9634369999999999</v>
      </c>
      <c r="DB20" s="21">
        <v>6.9634369999999999</v>
      </c>
      <c r="DC20" s="21">
        <v>6.9634369999999999</v>
      </c>
      <c r="DD20" s="21">
        <v>6.9634369999999999</v>
      </c>
      <c r="DE20" s="21">
        <v>6.9634369999999999</v>
      </c>
      <c r="DF20" s="21">
        <v>6.9634369999999999</v>
      </c>
      <c r="DG20" s="21">
        <v>6.9634369999999999</v>
      </c>
      <c r="DH20" s="21">
        <v>6.9634369999999999</v>
      </c>
      <c r="DI20" s="21">
        <v>6.9634369999999999</v>
      </c>
      <c r="DJ20" s="21">
        <v>6.9634369999999999</v>
      </c>
      <c r="DK20" s="21">
        <v>6.9634369999999999</v>
      </c>
      <c r="DL20" s="21">
        <v>6.9634369999999999</v>
      </c>
      <c r="DM20" s="21">
        <v>6.9634369999999999</v>
      </c>
      <c r="DN20" s="21">
        <v>6.9634369999999999</v>
      </c>
      <c r="DO20" s="21">
        <v>6.9634369999999999</v>
      </c>
      <c r="DP20" s="21">
        <v>6.9634369999999999</v>
      </c>
      <c r="DQ20" s="21">
        <v>6.9634369999999999</v>
      </c>
      <c r="DR20" s="21">
        <v>6.9634369999999999</v>
      </c>
      <c r="DS20" s="21">
        <v>6.9634369999999999</v>
      </c>
      <c r="DT20" s="21">
        <v>6.9634369999999999</v>
      </c>
      <c r="DU20" s="21">
        <v>6.9634369999999999</v>
      </c>
      <c r="DV20" s="21">
        <v>6.9634369999999999</v>
      </c>
      <c r="DW20" s="21">
        <v>6.9634369999999999</v>
      </c>
      <c r="DX20" s="21">
        <v>6.9634369999999999</v>
      </c>
      <c r="DY20" s="21">
        <v>6.9634369999999999</v>
      </c>
      <c r="DZ20" s="21">
        <v>6.9634369999999999</v>
      </c>
      <c r="EA20" s="21">
        <v>6.9634369999999999</v>
      </c>
      <c r="EB20" s="21">
        <v>6.9634369999999999</v>
      </c>
      <c r="EC20" s="21">
        <v>6.9634369999999999</v>
      </c>
      <c r="ED20" s="21">
        <v>6.9634369999999999</v>
      </c>
      <c r="EE20" s="21">
        <v>6.9634369999999999</v>
      </c>
      <c r="EF20" s="21">
        <v>6.9634369999999999</v>
      </c>
      <c r="EG20" s="21">
        <v>6.9634369999999999</v>
      </c>
      <c r="EH20" s="21">
        <v>6.9634369999999999</v>
      </c>
      <c r="EI20" s="21">
        <v>6.9634369999999999</v>
      </c>
      <c r="EJ20" s="21">
        <v>6.9634369999999999</v>
      </c>
      <c r="EK20" s="21">
        <v>6.9634369999999999</v>
      </c>
      <c r="EL20" s="21">
        <v>6.9634369999999999</v>
      </c>
      <c r="EM20" s="21">
        <v>6.9634369999999999</v>
      </c>
      <c r="EN20" s="21">
        <v>6.9634369999999999</v>
      </c>
      <c r="EO20" s="21">
        <v>6.9634369999999999</v>
      </c>
      <c r="EP20" s="21">
        <v>6.9634369999999999</v>
      </c>
      <c r="EQ20" s="21">
        <v>6.9634369999999999</v>
      </c>
      <c r="ER20" s="21">
        <v>6.9634369999999999</v>
      </c>
      <c r="ES20" s="21">
        <v>6.9634369999999999</v>
      </c>
      <c r="ET20" s="21">
        <v>6.9634369999999999</v>
      </c>
      <c r="EU20" s="21">
        <v>6.9634369999999999</v>
      </c>
      <c r="EV20" s="21">
        <v>6.9634369999999999</v>
      </c>
      <c r="EW20" s="21">
        <v>6.9634369999999999</v>
      </c>
      <c r="EX20" s="21">
        <v>6.9634369999999999</v>
      </c>
      <c r="EY20" s="21">
        <v>6.9634369999999999</v>
      </c>
      <c r="EZ20" s="21">
        <v>6.9634369999999999</v>
      </c>
      <c r="FA20" s="21">
        <v>6.9634369999999999</v>
      </c>
      <c r="FB20" s="21">
        <v>6.9634369999999999</v>
      </c>
      <c r="FC20" s="21">
        <v>6.9634369999999999</v>
      </c>
      <c r="FD20" s="21">
        <v>6.9634369999999999</v>
      </c>
      <c r="FE20" s="21">
        <v>6.9634369999999999</v>
      </c>
      <c r="FF20" s="21">
        <v>6.9634369999999999</v>
      </c>
      <c r="FG20" s="21">
        <v>6.9634369999999999</v>
      </c>
      <c r="FH20" s="21">
        <v>6.9634369999999999</v>
      </c>
      <c r="FI20" s="21">
        <v>6.9634369999999999</v>
      </c>
      <c r="FJ20" s="21">
        <v>6.9634369999999999</v>
      </c>
      <c r="FK20" s="21">
        <v>6.9634369999999999</v>
      </c>
      <c r="FL20" s="21">
        <v>6.9634369999999999</v>
      </c>
      <c r="FM20" s="21">
        <v>6.9634369999999999</v>
      </c>
      <c r="FN20" s="21">
        <v>6.9634369999999999</v>
      </c>
      <c r="FO20" s="21">
        <v>6.9634369999999999</v>
      </c>
      <c r="FP20" s="21">
        <v>6.9634369999999999</v>
      </c>
      <c r="FQ20" s="21">
        <v>6.9634369999999999</v>
      </c>
      <c r="FR20" s="21">
        <v>6.9634369999999999</v>
      </c>
      <c r="FS20" s="21">
        <v>6.9634369999999999</v>
      </c>
      <c r="FT20" s="21">
        <v>6.9634369999999999</v>
      </c>
      <c r="FU20" s="21">
        <v>6.9634369999999999</v>
      </c>
      <c r="FV20" s="21">
        <v>6.9634369999999999</v>
      </c>
      <c r="FW20" s="21">
        <v>6.9634369999999999</v>
      </c>
      <c r="FX20" s="21">
        <v>6.9634369999999999</v>
      </c>
      <c r="FY20" s="21">
        <v>6.9634369999999999</v>
      </c>
      <c r="FZ20" s="21">
        <v>6.9634369999999999</v>
      </c>
      <c r="GA20" s="21">
        <v>6.9634369999999999</v>
      </c>
      <c r="GB20" s="21">
        <v>6.9634369999999999</v>
      </c>
      <c r="GC20" s="21">
        <v>6.9634369999999999</v>
      </c>
      <c r="GD20" s="21">
        <v>6.9634369999999999</v>
      </c>
      <c r="GE20" s="21">
        <v>6.9634369999999999</v>
      </c>
      <c r="GF20" s="21">
        <v>6.9634369999999999</v>
      </c>
      <c r="GG20" s="21">
        <v>6.9634369999999999</v>
      </c>
      <c r="GH20" s="21">
        <v>6.9634369999999999</v>
      </c>
      <c r="GI20" s="21">
        <v>6.9634369999999999</v>
      </c>
      <c r="GJ20" s="21">
        <v>6.9634369999999999</v>
      </c>
      <c r="GK20" s="21">
        <v>6.9634369999999999</v>
      </c>
      <c r="GL20" s="21">
        <v>6.9634369999999999</v>
      </c>
      <c r="GM20" s="21">
        <v>6.9634369999999999</v>
      </c>
      <c r="GN20" s="21">
        <v>6.9634369999999999</v>
      </c>
      <c r="GO20" s="21">
        <v>6.9634369999999999</v>
      </c>
      <c r="GP20" s="21">
        <v>6.9634369999999999</v>
      </c>
      <c r="GQ20" s="21">
        <v>6.9634369999999999</v>
      </c>
      <c r="GR20" s="21">
        <v>6.9634369999999999</v>
      </c>
      <c r="GS20" s="21">
        <v>6.9634369999999999</v>
      </c>
      <c r="GT20" s="21">
        <v>6.9634369999999999</v>
      </c>
      <c r="GU20" s="21">
        <v>6.9634369999999999</v>
      </c>
      <c r="GV20" s="21">
        <v>6.9634369999999999</v>
      </c>
      <c r="GW20" s="21">
        <v>6.9634369999999999</v>
      </c>
      <c r="GX20" s="21">
        <v>6.9634369999999999</v>
      </c>
      <c r="GY20" s="21">
        <v>6.9634369999999999</v>
      </c>
      <c r="GZ20" s="21">
        <v>6.9634369999999999</v>
      </c>
      <c r="HA20" s="21">
        <v>6.9634369999999999</v>
      </c>
      <c r="HB20" s="21">
        <v>6.9634369999999999</v>
      </c>
      <c r="HC20" s="21">
        <v>6.9634369999999999</v>
      </c>
      <c r="HD20" s="21">
        <v>6.9634369999999999</v>
      </c>
      <c r="HE20" s="21">
        <v>6.9634369999999999</v>
      </c>
      <c r="HF20" s="21">
        <v>6.9634369999999999</v>
      </c>
      <c r="HG20" s="21">
        <v>6.9634369999999999</v>
      </c>
      <c r="HH20" s="21">
        <v>6.9634369999999999</v>
      </c>
      <c r="HI20" s="21">
        <v>6.9634369999999999</v>
      </c>
      <c r="HJ20" s="21">
        <v>6.9634369999999999</v>
      </c>
      <c r="HK20" s="21">
        <v>6.9634369999999999</v>
      </c>
      <c r="HL20" s="21">
        <v>6.9634369999999999</v>
      </c>
      <c r="HM20" s="21">
        <v>6.9634369999999999</v>
      </c>
      <c r="HN20" s="21">
        <v>6.9634369999999999</v>
      </c>
      <c r="HO20" s="21">
        <v>6.9634369999999999</v>
      </c>
      <c r="HP20" s="21">
        <v>6.9634369999999999</v>
      </c>
      <c r="HQ20" s="21">
        <v>6.9634369999999999</v>
      </c>
      <c r="HR20" s="21">
        <v>6.9634369999999999</v>
      </c>
      <c r="HS20" s="21">
        <v>6.9634369999999999</v>
      </c>
      <c r="HT20" s="21">
        <v>6.9634369999999999</v>
      </c>
      <c r="HU20" s="21">
        <v>6.9634369999999999</v>
      </c>
      <c r="HV20" s="21">
        <v>6.9634369999999999</v>
      </c>
      <c r="HW20" s="21">
        <v>6.9634369999999999</v>
      </c>
      <c r="HX20" s="21">
        <v>6.9634369999999999</v>
      </c>
      <c r="HY20" s="21">
        <v>6.9634369999999999</v>
      </c>
      <c r="HZ20" s="21">
        <v>6.9634369999999999</v>
      </c>
      <c r="IA20" s="21">
        <v>6.9634369999999999</v>
      </c>
      <c r="IB20" s="21">
        <v>6.9634369999999999</v>
      </c>
      <c r="IC20" s="21">
        <v>6.9634369999999999</v>
      </c>
      <c r="ID20" s="21">
        <v>6.9634369999999999</v>
      </c>
      <c r="IE20" s="21">
        <v>6.9634369999999999</v>
      </c>
      <c r="IF20" s="21">
        <v>6.9634369999999999</v>
      </c>
      <c r="IG20" s="21">
        <v>6.9634369999999999</v>
      </c>
      <c r="IH20" s="21">
        <v>6.9634369999999999</v>
      </c>
      <c r="II20" s="21">
        <v>6.9634369999999999</v>
      </c>
      <c r="IJ20" s="21">
        <v>6.9634369999999999</v>
      </c>
      <c r="IK20" s="21">
        <v>6.9634369999999999</v>
      </c>
      <c r="IL20" s="21">
        <v>6.9634369999999999</v>
      </c>
      <c r="IM20" s="21">
        <v>6.9634369999999999</v>
      </c>
      <c r="IN20" s="21">
        <v>6.9634369999999999</v>
      </c>
      <c r="IO20" s="21">
        <v>6.9634369999999999</v>
      </c>
      <c r="IP20" s="21">
        <v>6.9634369999999999</v>
      </c>
      <c r="IQ20" s="21">
        <v>6.9634369999999999</v>
      </c>
      <c r="IR20" s="21">
        <v>6.9634369999999999</v>
      </c>
      <c r="IS20" s="21">
        <v>6.9634369999999999</v>
      </c>
      <c r="IT20" s="21">
        <v>6.9634369999999999</v>
      </c>
      <c r="IU20" s="21">
        <v>6.9634369999999999</v>
      </c>
      <c r="IV20" s="21">
        <v>6.9634369999999999</v>
      </c>
      <c r="IW20" s="21">
        <v>6.9634369999999999</v>
      </c>
      <c r="IX20" s="21">
        <v>6.9634369999999999</v>
      </c>
      <c r="IY20" s="21">
        <v>6.9634369999999999</v>
      </c>
      <c r="IZ20" s="21">
        <v>6.9634369999999999</v>
      </c>
      <c r="JA20" s="21">
        <v>6.9634369999999999</v>
      </c>
      <c r="JB20" s="21">
        <v>6.9634369999999999</v>
      </c>
      <c r="JC20" s="21">
        <v>6.9634369999999999</v>
      </c>
      <c r="JD20" s="21">
        <v>6.9634369999999999</v>
      </c>
      <c r="JE20" s="21">
        <v>6.9634369999999999</v>
      </c>
      <c r="JF20" s="21">
        <v>6.9634369999999999</v>
      </c>
      <c r="JG20" s="21">
        <v>6.9634369999999999</v>
      </c>
      <c r="JH20" s="21">
        <v>6.9634369999999999</v>
      </c>
      <c r="JI20" s="21">
        <v>6.9634369999999999</v>
      </c>
      <c r="JJ20" s="21">
        <v>6.9634369999999999</v>
      </c>
      <c r="JK20" s="21">
        <v>6.9634369999999999</v>
      </c>
      <c r="JL20" s="21">
        <v>6.9634369999999999</v>
      </c>
      <c r="JM20" s="21">
        <v>6.9634369999999999</v>
      </c>
      <c r="JN20" s="21">
        <v>6.9634369999999999</v>
      </c>
      <c r="JO20" s="21">
        <v>6.9634369999999999</v>
      </c>
      <c r="JP20" s="21">
        <v>6.9634369999999999</v>
      </c>
      <c r="JQ20" s="21">
        <v>6.9634369999999999</v>
      </c>
      <c r="JR20" s="21">
        <v>6.9634369999999999</v>
      </c>
      <c r="JS20" s="21">
        <v>6.9634369999999999</v>
      </c>
      <c r="JT20" s="21">
        <v>6.9634369999999999</v>
      </c>
      <c r="JU20" s="21">
        <v>6.9634369999999999</v>
      </c>
      <c r="JV20" s="21">
        <v>6.9634369999999999</v>
      </c>
      <c r="JW20" s="21">
        <v>6.9634369999999999</v>
      </c>
      <c r="JX20" s="21">
        <v>6.9634369999999999</v>
      </c>
      <c r="JY20" s="21">
        <v>6.9634369999999999</v>
      </c>
      <c r="JZ20" s="21">
        <v>6.9634369999999999</v>
      </c>
      <c r="KA20" s="21">
        <v>6.9634369999999999</v>
      </c>
      <c r="KB20" s="21">
        <v>6.9634369999999999</v>
      </c>
      <c r="KC20" s="21">
        <v>6.9634369999999999</v>
      </c>
      <c r="KD20" s="21">
        <v>6.9634369999999999</v>
      </c>
      <c r="KE20" s="21">
        <v>6.9634369999999999</v>
      </c>
      <c r="KF20" s="21">
        <v>6.8575980000000003</v>
      </c>
      <c r="KG20" s="21">
        <v>0</v>
      </c>
      <c r="KH20" s="21">
        <v>0</v>
      </c>
      <c r="KI20" s="21">
        <v>0</v>
      </c>
      <c r="KJ20" s="21">
        <v>0</v>
      </c>
      <c r="KK20" s="21">
        <v>0</v>
      </c>
      <c r="KL20" s="21">
        <v>0</v>
      </c>
      <c r="KM20" s="21">
        <v>0</v>
      </c>
      <c r="KN20" s="21">
        <v>0</v>
      </c>
      <c r="KO20" s="21">
        <v>0</v>
      </c>
      <c r="KP20" s="21">
        <v>0</v>
      </c>
      <c r="KQ20" s="21">
        <v>0</v>
      </c>
      <c r="KR20" s="21">
        <v>0</v>
      </c>
      <c r="KS20" s="21">
        <v>0</v>
      </c>
      <c r="KT20" s="21">
        <v>0</v>
      </c>
      <c r="KU20" s="21">
        <v>0</v>
      </c>
      <c r="KV20" s="21">
        <v>0</v>
      </c>
      <c r="KW20" s="21">
        <v>0</v>
      </c>
      <c r="KX20" s="21">
        <v>0</v>
      </c>
      <c r="KY20" s="21">
        <v>0</v>
      </c>
      <c r="KZ20" s="21">
        <v>0</v>
      </c>
      <c r="LA20" s="21">
        <v>0</v>
      </c>
      <c r="LB20" s="21">
        <v>0</v>
      </c>
      <c r="LC20" s="21">
        <v>0</v>
      </c>
      <c r="LD20" s="21">
        <v>0</v>
      </c>
      <c r="LE20" s="21">
        <v>0</v>
      </c>
      <c r="LF20" s="21">
        <v>0</v>
      </c>
      <c r="LG20" s="21">
        <v>0</v>
      </c>
      <c r="LH20" s="21">
        <v>0</v>
      </c>
      <c r="LI20" s="21">
        <v>0</v>
      </c>
      <c r="LJ20" s="21">
        <v>0</v>
      </c>
      <c r="LK20" s="21">
        <v>0</v>
      </c>
      <c r="LL20" s="21">
        <v>0</v>
      </c>
      <c r="LM20" s="21">
        <v>0</v>
      </c>
      <c r="LN20" s="21">
        <v>0</v>
      </c>
      <c r="LO20" s="21">
        <v>0</v>
      </c>
      <c r="LP20" s="21">
        <v>0</v>
      </c>
      <c r="LQ20" s="21">
        <v>0</v>
      </c>
      <c r="LR20" s="21">
        <v>0</v>
      </c>
      <c r="LS20" s="21">
        <v>0</v>
      </c>
      <c r="LT20" s="21">
        <v>0</v>
      </c>
      <c r="LU20" s="21">
        <v>0</v>
      </c>
      <c r="LV20" s="21">
        <v>0</v>
      </c>
      <c r="LW20" s="21">
        <v>0</v>
      </c>
      <c r="LX20" s="21">
        <v>0</v>
      </c>
      <c r="LY20" s="21">
        <v>0</v>
      </c>
      <c r="LZ20" s="21">
        <v>0</v>
      </c>
      <c r="MA20" s="21">
        <v>0</v>
      </c>
      <c r="MB20" s="21">
        <v>0</v>
      </c>
      <c r="MC20" s="21">
        <v>0</v>
      </c>
      <c r="MD20" s="21">
        <v>0</v>
      </c>
      <c r="ME20" s="21">
        <v>0</v>
      </c>
      <c r="MF20" s="21">
        <v>0</v>
      </c>
      <c r="MG20" s="21">
        <v>0</v>
      </c>
      <c r="MH20" s="21">
        <v>0</v>
      </c>
      <c r="MI20" s="21">
        <v>0</v>
      </c>
      <c r="MJ20" s="21">
        <v>0</v>
      </c>
      <c r="MK20" s="21">
        <v>0</v>
      </c>
      <c r="ML20" s="21">
        <v>0</v>
      </c>
      <c r="MM20" s="21">
        <v>0</v>
      </c>
      <c r="MN20" s="21">
        <v>0</v>
      </c>
      <c r="MO20" s="21">
        <v>0</v>
      </c>
      <c r="MP20" s="21">
        <v>0</v>
      </c>
      <c r="MQ20" s="21">
        <v>0</v>
      </c>
      <c r="MR20" s="21">
        <v>0</v>
      </c>
      <c r="MS20" s="21">
        <v>0</v>
      </c>
      <c r="MT20" s="21">
        <v>0</v>
      </c>
      <c r="MU20" s="21">
        <v>0</v>
      </c>
      <c r="MV20" s="21">
        <v>0</v>
      </c>
      <c r="MW20" s="21">
        <v>0</v>
      </c>
      <c r="MX20" s="21">
        <v>0</v>
      </c>
      <c r="MY20" s="21">
        <v>0</v>
      </c>
      <c r="MZ20" s="21">
        <v>0</v>
      </c>
    </row>
    <row r="21" spans="1:364" s="78" customFormat="1" x14ac:dyDescent="0.2">
      <c r="A21" s="7">
        <v>19</v>
      </c>
      <c r="B21" s="16" t="s">
        <v>627</v>
      </c>
      <c r="C21" s="74">
        <v>6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11.726136</v>
      </c>
      <c r="K21" s="21">
        <v>11.726136</v>
      </c>
      <c r="L21" s="21">
        <v>11.726136</v>
      </c>
      <c r="M21" s="21">
        <v>11.726136</v>
      </c>
      <c r="N21" s="21">
        <v>11.726136</v>
      </c>
      <c r="O21" s="21">
        <v>11.726136</v>
      </c>
      <c r="P21" s="21">
        <v>11.726136</v>
      </c>
      <c r="Q21" s="21">
        <v>11.726136</v>
      </c>
      <c r="R21" s="21">
        <v>11.726136</v>
      </c>
      <c r="S21" s="21">
        <v>11.726136</v>
      </c>
      <c r="T21" s="21">
        <v>11.726136</v>
      </c>
      <c r="U21" s="21">
        <v>11.726136</v>
      </c>
      <c r="V21" s="21">
        <v>11.726136</v>
      </c>
      <c r="W21" s="21">
        <v>11.726136</v>
      </c>
      <c r="X21" s="21">
        <v>11.726136</v>
      </c>
      <c r="Y21" s="21">
        <v>11.726136</v>
      </c>
      <c r="Z21" s="21">
        <v>11.726136</v>
      </c>
      <c r="AA21" s="21">
        <v>11.726136</v>
      </c>
      <c r="AB21" s="21">
        <v>11.726136</v>
      </c>
      <c r="AC21" s="21">
        <v>11.726136</v>
      </c>
      <c r="AD21" s="21">
        <v>11.726136</v>
      </c>
      <c r="AE21" s="21">
        <v>11.726136</v>
      </c>
      <c r="AF21" s="21">
        <v>11.726136</v>
      </c>
      <c r="AG21" s="21">
        <v>11.726136</v>
      </c>
      <c r="AH21" s="21">
        <v>11.726136</v>
      </c>
      <c r="AI21" s="21">
        <v>11.726136</v>
      </c>
      <c r="AJ21" s="21">
        <v>11.726136</v>
      </c>
      <c r="AK21" s="21">
        <v>11.726136</v>
      </c>
      <c r="AL21" s="21">
        <v>11.726136</v>
      </c>
      <c r="AM21" s="21">
        <v>11.726136</v>
      </c>
      <c r="AN21" s="21">
        <v>11.726136</v>
      </c>
      <c r="AO21" s="21">
        <v>11.726136</v>
      </c>
      <c r="AP21" s="21">
        <v>11.726136</v>
      </c>
      <c r="AQ21" s="21">
        <v>11.726136</v>
      </c>
      <c r="AR21" s="21">
        <v>11.726136</v>
      </c>
      <c r="AS21" s="21">
        <v>11.726136</v>
      </c>
      <c r="AT21" s="21">
        <v>11.726136</v>
      </c>
      <c r="AU21" s="21">
        <v>11.726136</v>
      </c>
      <c r="AV21" s="21">
        <v>11.726136</v>
      </c>
      <c r="AW21" s="21">
        <v>11.726136</v>
      </c>
      <c r="AX21" s="21">
        <v>11.726136</v>
      </c>
      <c r="AY21" s="21">
        <v>11.726136</v>
      </c>
      <c r="AZ21" s="21">
        <v>11.726136</v>
      </c>
      <c r="BA21" s="21">
        <v>11.726136</v>
      </c>
      <c r="BB21" s="21">
        <v>11.726136</v>
      </c>
      <c r="BC21" s="21">
        <v>11.726136</v>
      </c>
      <c r="BD21" s="21">
        <v>11.726136</v>
      </c>
      <c r="BE21" s="21">
        <v>11.726136</v>
      </c>
      <c r="BF21" s="21">
        <v>11.726136</v>
      </c>
      <c r="BG21" s="21">
        <v>11.726136</v>
      </c>
      <c r="BH21" s="21">
        <v>11.726136</v>
      </c>
      <c r="BI21" s="21">
        <v>11.726136</v>
      </c>
      <c r="BJ21" s="21">
        <v>11.726136</v>
      </c>
      <c r="BK21" s="21">
        <v>11.726136</v>
      </c>
      <c r="BL21" s="21">
        <v>11.726136</v>
      </c>
      <c r="BM21" s="21">
        <v>11.726136</v>
      </c>
      <c r="BN21" s="21">
        <v>11.726136</v>
      </c>
      <c r="BO21" s="21">
        <v>11.726136</v>
      </c>
      <c r="BP21" s="21">
        <v>11.726136</v>
      </c>
      <c r="BQ21" s="21">
        <v>11.726136</v>
      </c>
      <c r="BR21" s="21">
        <v>11.726136</v>
      </c>
      <c r="BS21" s="21">
        <v>11.726136</v>
      </c>
      <c r="BT21" s="21">
        <v>11.726136</v>
      </c>
      <c r="BU21" s="21">
        <v>11.726136</v>
      </c>
      <c r="BV21" s="21">
        <v>11.726136</v>
      </c>
      <c r="BW21" s="21">
        <v>11.726136</v>
      </c>
      <c r="BX21" s="21">
        <v>11.726136</v>
      </c>
      <c r="BY21" s="21">
        <v>11.726136</v>
      </c>
      <c r="BZ21" s="21">
        <v>11.726136</v>
      </c>
      <c r="CA21" s="21">
        <v>11.726136</v>
      </c>
      <c r="CB21" s="21">
        <v>11.726136</v>
      </c>
      <c r="CC21" s="21">
        <v>11.726136</v>
      </c>
      <c r="CD21" s="21">
        <v>11.726136</v>
      </c>
      <c r="CE21" s="21">
        <v>11.726136</v>
      </c>
      <c r="CF21" s="21">
        <v>11.726136</v>
      </c>
      <c r="CG21" s="21">
        <v>11.726136</v>
      </c>
      <c r="CH21" s="21">
        <v>11.726136</v>
      </c>
      <c r="CI21" s="21">
        <v>11.726136</v>
      </c>
      <c r="CJ21" s="21">
        <v>11.726136</v>
      </c>
      <c r="CK21" s="21">
        <v>11.726136</v>
      </c>
      <c r="CL21" s="21">
        <v>11.726136</v>
      </c>
      <c r="CM21" s="21">
        <v>11.726136</v>
      </c>
      <c r="CN21" s="21">
        <v>11.726136</v>
      </c>
      <c r="CO21" s="21">
        <v>11.726136</v>
      </c>
      <c r="CP21" s="21">
        <v>11.726136</v>
      </c>
      <c r="CQ21" s="21">
        <v>11.726136</v>
      </c>
      <c r="CR21" s="21">
        <v>11.726136</v>
      </c>
      <c r="CS21" s="21">
        <v>11.726136</v>
      </c>
      <c r="CT21" s="21">
        <v>11.726136</v>
      </c>
      <c r="CU21" s="21">
        <v>11.726136</v>
      </c>
      <c r="CV21" s="21">
        <v>11.726136</v>
      </c>
      <c r="CW21" s="21">
        <v>11.726136</v>
      </c>
      <c r="CX21" s="21">
        <v>11.726136</v>
      </c>
      <c r="CY21" s="21">
        <v>11.726136</v>
      </c>
      <c r="CZ21" s="21">
        <v>11.726136</v>
      </c>
      <c r="DA21" s="21">
        <v>11.726136</v>
      </c>
      <c r="DB21" s="21">
        <v>11.726136</v>
      </c>
      <c r="DC21" s="21">
        <v>11.726136</v>
      </c>
      <c r="DD21" s="21">
        <v>11.726136</v>
      </c>
      <c r="DE21" s="21">
        <v>11.726136</v>
      </c>
      <c r="DF21" s="21">
        <v>11.726136</v>
      </c>
      <c r="DG21" s="21">
        <v>11.726136</v>
      </c>
      <c r="DH21" s="21">
        <v>11.726136</v>
      </c>
      <c r="DI21" s="21">
        <v>11.726136</v>
      </c>
      <c r="DJ21" s="21">
        <v>11.726136</v>
      </c>
      <c r="DK21" s="21">
        <v>11.726136</v>
      </c>
      <c r="DL21" s="21">
        <v>11.726136</v>
      </c>
      <c r="DM21" s="21">
        <v>11.726136</v>
      </c>
      <c r="DN21" s="21">
        <v>11.726136</v>
      </c>
      <c r="DO21" s="21">
        <v>11.726136</v>
      </c>
      <c r="DP21" s="21">
        <v>11.726136</v>
      </c>
      <c r="DQ21" s="21">
        <v>11.726136</v>
      </c>
      <c r="DR21" s="21">
        <v>11.726136</v>
      </c>
      <c r="DS21" s="21">
        <v>11.726136</v>
      </c>
      <c r="DT21" s="21">
        <v>11.726136</v>
      </c>
      <c r="DU21" s="21">
        <v>11.726136</v>
      </c>
      <c r="DV21" s="21">
        <v>11.726136</v>
      </c>
      <c r="DW21" s="21">
        <v>11.726136</v>
      </c>
      <c r="DX21" s="21">
        <v>11.726136</v>
      </c>
      <c r="DY21" s="21">
        <v>11.726136</v>
      </c>
      <c r="DZ21" s="21">
        <v>11.726136</v>
      </c>
      <c r="EA21" s="21">
        <v>11.726136</v>
      </c>
      <c r="EB21" s="21">
        <v>11.726136</v>
      </c>
      <c r="EC21" s="21">
        <v>11.726136</v>
      </c>
      <c r="ED21" s="21">
        <v>11.726136</v>
      </c>
      <c r="EE21" s="21">
        <v>11.726136</v>
      </c>
      <c r="EF21" s="21">
        <v>11.726136</v>
      </c>
      <c r="EG21" s="21">
        <v>11.726136</v>
      </c>
      <c r="EH21" s="21">
        <v>11.726136</v>
      </c>
      <c r="EI21" s="21">
        <v>11.726136</v>
      </c>
      <c r="EJ21" s="21">
        <v>11.726136</v>
      </c>
      <c r="EK21" s="21">
        <v>11.726136</v>
      </c>
      <c r="EL21" s="21">
        <v>11.726136</v>
      </c>
      <c r="EM21" s="21">
        <v>11.726136</v>
      </c>
      <c r="EN21" s="21">
        <v>11.726136</v>
      </c>
      <c r="EO21" s="21">
        <v>11.726136</v>
      </c>
      <c r="EP21" s="21">
        <v>11.726136</v>
      </c>
      <c r="EQ21" s="21">
        <v>11.726136</v>
      </c>
      <c r="ER21" s="21">
        <v>11.726136</v>
      </c>
      <c r="ES21" s="21">
        <v>11.726136</v>
      </c>
      <c r="ET21" s="21">
        <v>11.726136</v>
      </c>
      <c r="EU21" s="21">
        <v>11.726136</v>
      </c>
      <c r="EV21" s="21">
        <v>11.726136</v>
      </c>
      <c r="EW21" s="21">
        <v>11.726136</v>
      </c>
      <c r="EX21" s="21">
        <v>11.726136</v>
      </c>
      <c r="EY21" s="21">
        <v>11.726136</v>
      </c>
      <c r="EZ21" s="21">
        <v>11.726136</v>
      </c>
      <c r="FA21" s="21">
        <v>11.726136</v>
      </c>
      <c r="FB21" s="21">
        <v>11.726136</v>
      </c>
      <c r="FC21" s="21">
        <v>11.726136</v>
      </c>
      <c r="FD21" s="21">
        <v>11.726136</v>
      </c>
      <c r="FE21" s="21">
        <v>11.726136</v>
      </c>
      <c r="FF21" s="21">
        <v>11.726136</v>
      </c>
      <c r="FG21" s="21">
        <v>11.726136</v>
      </c>
      <c r="FH21" s="21">
        <v>11.726136</v>
      </c>
      <c r="FI21" s="21">
        <v>11.726136</v>
      </c>
      <c r="FJ21" s="21">
        <v>11.726136</v>
      </c>
      <c r="FK21" s="21">
        <v>11.726136</v>
      </c>
      <c r="FL21" s="21">
        <v>11.726136</v>
      </c>
      <c r="FM21" s="21">
        <v>11.726136</v>
      </c>
      <c r="FN21" s="21">
        <v>11.726136</v>
      </c>
      <c r="FO21" s="21">
        <v>11.726136</v>
      </c>
      <c r="FP21" s="21">
        <v>11.726136</v>
      </c>
      <c r="FQ21" s="21">
        <v>11.726136</v>
      </c>
      <c r="FR21" s="21">
        <v>11.726136</v>
      </c>
      <c r="FS21" s="21">
        <v>11.726136</v>
      </c>
      <c r="FT21" s="21">
        <v>11.726136</v>
      </c>
      <c r="FU21" s="21">
        <v>11.726136</v>
      </c>
      <c r="FV21" s="21">
        <v>11.726136</v>
      </c>
      <c r="FW21" s="21">
        <v>11.726136</v>
      </c>
      <c r="FX21" s="21">
        <v>11.726136</v>
      </c>
      <c r="FY21" s="21">
        <v>11.726136</v>
      </c>
      <c r="FZ21" s="21">
        <v>11.726136</v>
      </c>
      <c r="GA21" s="21">
        <v>11.726136</v>
      </c>
      <c r="GB21" s="21">
        <v>11.726136</v>
      </c>
      <c r="GC21" s="21">
        <v>11.726136</v>
      </c>
      <c r="GD21" s="21">
        <v>11.726136</v>
      </c>
      <c r="GE21" s="21">
        <v>11.726136</v>
      </c>
      <c r="GF21" s="21">
        <v>11.726136</v>
      </c>
      <c r="GG21" s="21">
        <v>11.726136</v>
      </c>
      <c r="GH21" s="21">
        <v>11.726136</v>
      </c>
      <c r="GI21" s="21">
        <v>11.726136</v>
      </c>
      <c r="GJ21" s="21">
        <v>11.726136</v>
      </c>
      <c r="GK21" s="21">
        <v>11.726136</v>
      </c>
      <c r="GL21" s="21">
        <v>11.726136</v>
      </c>
      <c r="GM21" s="21">
        <v>11.726136</v>
      </c>
      <c r="GN21" s="21">
        <v>11.726136</v>
      </c>
      <c r="GO21" s="21">
        <v>11.726136</v>
      </c>
      <c r="GP21" s="21">
        <v>11.726136</v>
      </c>
      <c r="GQ21" s="21">
        <v>11.726136</v>
      </c>
      <c r="GR21" s="21">
        <v>11.726136</v>
      </c>
      <c r="GS21" s="21">
        <v>11.726136</v>
      </c>
      <c r="GT21" s="21">
        <v>11.726136</v>
      </c>
      <c r="GU21" s="21">
        <v>11.726136</v>
      </c>
      <c r="GV21" s="21">
        <v>11.726136</v>
      </c>
      <c r="GW21" s="21">
        <v>11.726136</v>
      </c>
      <c r="GX21" s="21">
        <v>11.726136</v>
      </c>
      <c r="GY21" s="21">
        <v>11.726136</v>
      </c>
      <c r="GZ21" s="21">
        <v>11.726136</v>
      </c>
      <c r="HA21" s="21">
        <v>11.726136</v>
      </c>
      <c r="HB21" s="21">
        <v>11.726136</v>
      </c>
      <c r="HC21" s="21">
        <v>11.726136</v>
      </c>
      <c r="HD21" s="21">
        <v>11.726136</v>
      </c>
      <c r="HE21" s="21">
        <v>11.726136</v>
      </c>
      <c r="HF21" s="21">
        <v>11.726136</v>
      </c>
      <c r="HG21" s="21">
        <v>11.726136</v>
      </c>
      <c r="HH21" s="21">
        <v>11.726136</v>
      </c>
      <c r="HI21" s="21">
        <v>11.726136</v>
      </c>
      <c r="HJ21" s="21">
        <v>11.726136</v>
      </c>
      <c r="HK21" s="21">
        <v>11.726136</v>
      </c>
      <c r="HL21" s="21">
        <v>11.726136</v>
      </c>
      <c r="HM21" s="21">
        <v>11.726136</v>
      </c>
      <c r="HN21" s="21">
        <v>11.726136</v>
      </c>
      <c r="HO21" s="21">
        <v>11.726136</v>
      </c>
      <c r="HP21" s="21">
        <v>11.726136</v>
      </c>
      <c r="HQ21" s="21">
        <v>11.726136</v>
      </c>
      <c r="HR21" s="21">
        <v>11.726136</v>
      </c>
      <c r="HS21" s="21">
        <v>11.726136</v>
      </c>
      <c r="HT21" s="21">
        <v>11.726136</v>
      </c>
      <c r="HU21" s="21">
        <v>11.726136</v>
      </c>
      <c r="HV21" s="21">
        <v>11.726136</v>
      </c>
      <c r="HW21" s="21">
        <v>11.726136</v>
      </c>
      <c r="HX21" s="21">
        <v>11.726136</v>
      </c>
      <c r="HY21" s="21">
        <v>11.726136</v>
      </c>
      <c r="HZ21" s="21">
        <v>11.726136</v>
      </c>
      <c r="IA21" s="21">
        <v>11.726136</v>
      </c>
      <c r="IB21" s="21">
        <v>11.726136</v>
      </c>
      <c r="IC21" s="21">
        <v>11.726136</v>
      </c>
      <c r="ID21" s="21">
        <v>11.726136</v>
      </c>
      <c r="IE21" s="21">
        <v>11.726136</v>
      </c>
      <c r="IF21" s="21">
        <v>11.726136</v>
      </c>
      <c r="IG21" s="21">
        <v>11.726136</v>
      </c>
      <c r="IH21" s="21">
        <v>11.726136</v>
      </c>
      <c r="II21" s="21">
        <v>11.726136</v>
      </c>
      <c r="IJ21" s="21">
        <v>11.726136</v>
      </c>
      <c r="IK21" s="21">
        <v>11.726136</v>
      </c>
      <c r="IL21" s="21">
        <v>11.726136</v>
      </c>
      <c r="IM21" s="21">
        <v>11.726136</v>
      </c>
      <c r="IN21" s="21">
        <v>11.726136</v>
      </c>
      <c r="IO21" s="21">
        <v>11.726136</v>
      </c>
      <c r="IP21" s="21">
        <v>11.726136</v>
      </c>
      <c r="IQ21" s="21">
        <v>11.726136</v>
      </c>
      <c r="IR21" s="21">
        <v>11.726136</v>
      </c>
      <c r="IS21" s="21">
        <v>11.726136</v>
      </c>
      <c r="IT21" s="21">
        <v>11.726136</v>
      </c>
      <c r="IU21" s="21">
        <v>11.726136</v>
      </c>
      <c r="IV21" s="21">
        <v>11.726136</v>
      </c>
      <c r="IW21" s="21">
        <v>11.726136</v>
      </c>
      <c r="IX21" s="21">
        <v>11.726136</v>
      </c>
      <c r="IY21" s="21">
        <v>11.726136</v>
      </c>
      <c r="IZ21" s="21">
        <v>11.726136</v>
      </c>
      <c r="JA21" s="21">
        <v>11.726136</v>
      </c>
      <c r="JB21" s="21">
        <v>11.726136</v>
      </c>
      <c r="JC21" s="21">
        <v>11.726136</v>
      </c>
      <c r="JD21" s="21">
        <v>11.726136</v>
      </c>
      <c r="JE21" s="21">
        <v>11.726136</v>
      </c>
      <c r="JF21" s="21">
        <v>11.726136</v>
      </c>
      <c r="JG21" s="21">
        <v>11.726136</v>
      </c>
      <c r="JH21" s="21">
        <v>11.726136</v>
      </c>
      <c r="JI21" s="21">
        <v>11.726136</v>
      </c>
      <c r="JJ21" s="21">
        <v>11.726136</v>
      </c>
      <c r="JK21" s="21">
        <v>11.726136</v>
      </c>
      <c r="JL21" s="21">
        <v>11.726136</v>
      </c>
      <c r="JM21" s="21">
        <v>11.726136</v>
      </c>
      <c r="JN21" s="21">
        <v>11.726136</v>
      </c>
      <c r="JO21" s="21">
        <v>11.726136</v>
      </c>
      <c r="JP21" s="21">
        <v>11.726136</v>
      </c>
      <c r="JQ21" s="21">
        <v>11.726136</v>
      </c>
      <c r="JR21" s="21">
        <v>11.726136</v>
      </c>
      <c r="JS21" s="21">
        <v>11.726136</v>
      </c>
      <c r="JT21" s="21">
        <v>11.726136</v>
      </c>
      <c r="JU21" s="21">
        <v>11.726136</v>
      </c>
      <c r="JV21" s="21">
        <v>11.726136</v>
      </c>
      <c r="JW21" s="21">
        <v>11.726136</v>
      </c>
      <c r="JX21" s="21">
        <v>11.726136</v>
      </c>
      <c r="JY21" s="21">
        <v>11.726136</v>
      </c>
      <c r="JZ21" s="21">
        <v>11.726136</v>
      </c>
      <c r="KA21" s="21">
        <v>11.726136</v>
      </c>
      <c r="KB21" s="21">
        <v>11.726136</v>
      </c>
      <c r="KC21" s="21">
        <v>11.726136</v>
      </c>
      <c r="KD21" s="21">
        <v>11.726136</v>
      </c>
      <c r="KE21" s="21">
        <v>11.726136</v>
      </c>
      <c r="KF21" s="21">
        <v>11.726136</v>
      </c>
      <c r="KG21" s="21">
        <v>11.726136</v>
      </c>
      <c r="KH21" s="21">
        <v>11.726136</v>
      </c>
      <c r="KI21" s="21">
        <v>11.726136</v>
      </c>
      <c r="KJ21" s="21">
        <v>11.726136</v>
      </c>
      <c r="KK21" s="21">
        <v>11.726136</v>
      </c>
      <c r="KL21" s="21">
        <v>11.726136</v>
      </c>
      <c r="KM21" s="21">
        <v>11.726136</v>
      </c>
      <c r="KN21" s="21">
        <v>11.726136</v>
      </c>
      <c r="KO21" s="21">
        <v>11.726136</v>
      </c>
      <c r="KP21" s="21">
        <v>11.726136</v>
      </c>
      <c r="KQ21" s="21">
        <v>11.726136</v>
      </c>
      <c r="KR21" s="21">
        <v>11.726136</v>
      </c>
      <c r="KS21" s="21">
        <v>11.726136</v>
      </c>
      <c r="KT21" s="21">
        <v>11.726136</v>
      </c>
      <c r="KU21" s="21">
        <v>11.726136</v>
      </c>
      <c r="KV21" s="21">
        <v>11.726136</v>
      </c>
      <c r="KW21" s="21">
        <v>11.726136</v>
      </c>
      <c r="KX21" s="21">
        <v>11.726136</v>
      </c>
      <c r="KY21" s="21">
        <v>11.726136</v>
      </c>
      <c r="KZ21" s="21">
        <v>11.726136</v>
      </c>
      <c r="LA21" s="21">
        <v>11.726136</v>
      </c>
      <c r="LB21" s="21">
        <v>11.726136</v>
      </c>
      <c r="LC21" s="21">
        <v>11.726136</v>
      </c>
      <c r="LD21" s="21">
        <v>11.726136</v>
      </c>
      <c r="LE21" s="21">
        <v>11.726136</v>
      </c>
      <c r="LF21" s="21">
        <v>11.726136</v>
      </c>
      <c r="LG21" s="21">
        <v>11.726136</v>
      </c>
      <c r="LH21" s="21">
        <v>11.726136</v>
      </c>
      <c r="LI21" s="21">
        <v>11.726136</v>
      </c>
      <c r="LJ21" s="21">
        <v>11.726136</v>
      </c>
      <c r="LK21" s="21">
        <v>11.726136</v>
      </c>
      <c r="LL21" s="21">
        <v>11.726136</v>
      </c>
      <c r="LM21" s="21">
        <v>11.726136</v>
      </c>
      <c r="LN21" s="21">
        <v>11.726136</v>
      </c>
      <c r="LO21" s="21">
        <v>11.726136</v>
      </c>
      <c r="LP21" s="21">
        <v>11.726136</v>
      </c>
      <c r="LQ21" s="21">
        <v>11.726136</v>
      </c>
      <c r="LR21" s="21">
        <v>11.726136</v>
      </c>
      <c r="LS21" s="21">
        <v>11.726136</v>
      </c>
      <c r="LT21" s="21">
        <v>11.726136</v>
      </c>
      <c r="LU21" s="21">
        <v>11.726136</v>
      </c>
      <c r="LV21" s="21">
        <v>11.726136</v>
      </c>
      <c r="LW21" s="21">
        <v>11.726136</v>
      </c>
      <c r="LX21" s="21">
        <v>11.726136</v>
      </c>
      <c r="LY21" s="21">
        <v>11.726136</v>
      </c>
      <c r="LZ21" s="21">
        <v>11.726136</v>
      </c>
      <c r="MA21" s="21">
        <v>11.726136</v>
      </c>
      <c r="MB21" s="21">
        <v>11.726136</v>
      </c>
      <c r="MC21" s="21">
        <v>11.726136</v>
      </c>
      <c r="MD21" s="21">
        <v>11.726136</v>
      </c>
      <c r="ME21" s="21">
        <v>11.726136</v>
      </c>
      <c r="MF21" s="21">
        <v>11.726136</v>
      </c>
      <c r="MG21" s="21">
        <v>11.726136</v>
      </c>
      <c r="MH21" s="21">
        <v>11.726136</v>
      </c>
      <c r="MI21" s="21">
        <v>11.726136</v>
      </c>
      <c r="MJ21" s="21">
        <v>11.726136</v>
      </c>
      <c r="MK21" s="21">
        <v>11.726136</v>
      </c>
      <c r="ML21" s="21">
        <v>11.726136</v>
      </c>
      <c r="MM21" s="21">
        <v>11.726136</v>
      </c>
      <c r="MN21" s="21">
        <v>11.726136</v>
      </c>
      <c r="MO21" s="21">
        <v>11.726136</v>
      </c>
      <c r="MP21" s="21">
        <v>11.726136</v>
      </c>
      <c r="MQ21" s="21">
        <v>11.726136</v>
      </c>
      <c r="MR21" s="21">
        <v>11.726136</v>
      </c>
      <c r="MS21" s="21">
        <v>11.726136</v>
      </c>
      <c r="MT21" s="21">
        <v>11.726136</v>
      </c>
      <c r="MU21" s="21">
        <v>11.726136</v>
      </c>
      <c r="MV21" s="21">
        <v>11.726136</v>
      </c>
      <c r="MW21" s="21">
        <v>11.726136</v>
      </c>
      <c r="MX21" s="21">
        <v>11.726136</v>
      </c>
      <c r="MY21" s="21">
        <v>11.726136</v>
      </c>
      <c r="MZ21" s="21">
        <v>12.037464</v>
      </c>
    </row>
    <row r="22" spans="1:364" s="78" customFormat="1" x14ac:dyDescent="0.2">
      <c r="A22" s="7">
        <v>20</v>
      </c>
      <c r="B22" s="16" t="s">
        <v>633</v>
      </c>
      <c r="C22" s="74">
        <v>6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13.17</v>
      </c>
      <c r="K22" s="21">
        <v>13.17</v>
      </c>
      <c r="L22" s="21">
        <v>13.17</v>
      </c>
      <c r="M22" s="21">
        <v>13.17</v>
      </c>
      <c r="N22" s="21">
        <v>13.17</v>
      </c>
      <c r="O22" s="21">
        <v>13.17</v>
      </c>
      <c r="P22" s="21">
        <v>13.17</v>
      </c>
      <c r="Q22" s="21">
        <v>13.17</v>
      </c>
      <c r="R22" s="21">
        <v>13.17</v>
      </c>
      <c r="S22" s="21">
        <v>13.17</v>
      </c>
      <c r="T22" s="21">
        <v>13.17</v>
      </c>
      <c r="U22" s="21">
        <v>13.17</v>
      </c>
      <c r="V22" s="21">
        <v>13.17</v>
      </c>
      <c r="W22" s="21">
        <v>13.17</v>
      </c>
      <c r="X22" s="21">
        <v>13.17</v>
      </c>
      <c r="Y22" s="21">
        <v>13.17</v>
      </c>
      <c r="Z22" s="21">
        <v>13.17</v>
      </c>
      <c r="AA22" s="21">
        <v>13.17</v>
      </c>
      <c r="AB22" s="21">
        <v>13.17</v>
      </c>
      <c r="AC22" s="21">
        <v>13.17</v>
      </c>
      <c r="AD22" s="21">
        <v>13.17</v>
      </c>
      <c r="AE22" s="21">
        <v>13.17</v>
      </c>
      <c r="AF22" s="21">
        <v>13.17</v>
      </c>
      <c r="AG22" s="21">
        <v>13.17</v>
      </c>
      <c r="AH22" s="21">
        <v>13.17</v>
      </c>
      <c r="AI22" s="21">
        <v>13.17</v>
      </c>
      <c r="AJ22" s="21">
        <v>13.17</v>
      </c>
      <c r="AK22" s="21">
        <v>13.17</v>
      </c>
      <c r="AL22" s="21">
        <v>13.17</v>
      </c>
      <c r="AM22" s="21">
        <v>13.17</v>
      </c>
      <c r="AN22" s="21">
        <v>13.17</v>
      </c>
      <c r="AO22" s="21">
        <v>13.17</v>
      </c>
      <c r="AP22" s="21">
        <v>13.17</v>
      </c>
      <c r="AQ22" s="21">
        <v>13.17</v>
      </c>
      <c r="AR22" s="21">
        <v>13.17</v>
      </c>
      <c r="AS22" s="21">
        <v>13.17</v>
      </c>
      <c r="AT22" s="21">
        <v>13.17</v>
      </c>
      <c r="AU22" s="21">
        <v>13.17</v>
      </c>
      <c r="AV22" s="21">
        <v>13.17</v>
      </c>
      <c r="AW22" s="21">
        <v>13.17</v>
      </c>
      <c r="AX22" s="21">
        <v>13.17</v>
      </c>
      <c r="AY22" s="21">
        <v>13.17</v>
      </c>
      <c r="AZ22" s="21">
        <v>13.17</v>
      </c>
      <c r="BA22" s="21">
        <v>13.17</v>
      </c>
      <c r="BB22" s="21">
        <v>13.17</v>
      </c>
      <c r="BC22" s="21">
        <v>13.17</v>
      </c>
      <c r="BD22" s="21">
        <v>13.17</v>
      </c>
      <c r="BE22" s="21">
        <v>13.17</v>
      </c>
      <c r="BF22" s="21">
        <v>13.17</v>
      </c>
      <c r="BG22" s="21">
        <v>13.17</v>
      </c>
      <c r="BH22" s="21">
        <v>13.17</v>
      </c>
      <c r="BI22" s="21">
        <v>13.17</v>
      </c>
      <c r="BJ22" s="21">
        <v>13.17</v>
      </c>
      <c r="BK22" s="21">
        <v>13.17</v>
      </c>
      <c r="BL22" s="21">
        <v>13.17</v>
      </c>
      <c r="BM22" s="21">
        <v>13.17</v>
      </c>
      <c r="BN22" s="21">
        <v>13.17</v>
      </c>
      <c r="BO22" s="21">
        <v>13.17</v>
      </c>
      <c r="BP22" s="21">
        <v>13.17</v>
      </c>
      <c r="BQ22" s="21">
        <v>13.17</v>
      </c>
      <c r="BR22" s="21">
        <v>13.17</v>
      </c>
      <c r="BS22" s="21">
        <v>13.17</v>
      </c>
      <c r="BT22" s="21">
        <v>13.17</v>
      </c>
      <c r="BU22" s="21">
        <v>13.17</v>
      </c>
      <c r="BV22" s="21">
        <v>13.17</v>
      </c>
      <c r="BW22" s="21">
        <v>13.17</v>
      </c>
      <c r="BX22" s="21">
        <v>13.17</v>
      </c>
      <c r="BY22" s="21">
        <v>13.17</v>
      </c>
      <c r="BZ22" s="21">
        <v>13.17</v>
      </c>
      <c r="CA22" s="21">
        <v>13.17</v>
      </c>
      <c r="CB22" s="21">
        <v>13.17</v>
      </c>
      <c r="CC22" s="21">
        <v>13.17</v>
      </c>
      <c r="CD22" s="21">
        <v>13.17</v>
      </c>
      <c r="CE22" s="21">
        <v>13.17</v>
      </c>
      <c r="CF22" s="21">
        <v>13.17</v>
      </c>
      <c r="CG22" s="21">
        <v>13.17</v>
      </c>
      <c r="CH22" s="21">
        <v>13.17</v>
      </c>
      <c r="CI22" s="21">
        <v>13.17</v>
      </c>
      <c r="CJ22" s="21">
        <v>13.17</v>
      </c>
      <c r="CK22" s="21">
        <v>13.17</v>
      </c>
      <c r="CL22" s="21">
        <v>13.17</v>
      </c>
      <c r="CM22" s="21">
        <v>13.17</v>
      </c>
      <c r="CN22" s="21">
        <v>13.17</v>
      </c>
      <c r="CO22" s="21">
        <v>13.17</v>
      </c>
      <c r="CP22" s="21">
        <v>13.17</v>
      </c>
      <c r="CQ22" s="21">
        <v>13.17</v>
      </c>
      <c r="CR22" s="21">
        <v>13.17</v>
      </c>
      <c r="CS22" s="21">
        <v>13.17</v>
      </c>
      <c r="CT22" s="21">
        <v>13.17</v>
      </c>
      <c r="CU22" s="21">
        <v>13.17</v>
      </c>
      <c r="CV22" s="21">
        <v>13.17</v>
      </c>
      <c r="CW22" s="21">
        <v>13.17</v>
      </c>
      <c r="CX22" s="21">
        <v>13.17</v>
      </c>
      <c r="CY22" s="21">
        <v>13.17</v>
      </c>
      <c r="CZ22" s="21">
        <v>13.17</v>
      </c>
      <c r="DA22" s="21">
        <v>13.17</v>
      </c>
      <c r="DB22" s="21">
        <v>13.17</v>
      </c>
      <c r="DC22" s="21">
        <v>13.17</v>
      </c>
      <c r="DD22" s="21">
        <v>13.17</v>
      </c>
      <c r="DE22" s="21">
        <v>13.17</v>
      </c>
      <c r="DF22" s="21">
        <v>13.17</v>
      </c>
      <c r="DG22" s="21">
        <v>13.17</v>
      </c>
      <c r="DH22" s="21">
        <v>13.17</v>
      </c>
      <c r="DI22" s="21">
        <v>13.17</v>
      </c>
      <c r="DJ22" s="21">
        <v>13.17</v>
      </c>
      <c r="DK22" s="21">
        <v>13.17</v>
      </c>
      <c r="DL22" s="21">
        <v>13.17</v>
      </c>
      <c r="DM22" s="21">
        <v>13.17</v>
      </c>
      <c r="DN22" s="21">
        <v>13.17</v>
      </c>
      <c r="DO22" s="21">
        <v>13.17</v>
      </c>
      <c r="DP22" s="21">
        <v>13.17</v>
      </c>
      <c r="DQ22" s="21">
        <v>13.17</v>
      </c>
      <c r="DR22" s="21">
        <v>13.17</v>
      </c>
      <c r="DS22" s="21">
        <v>13.17</v>
      </c>
      <c r="DT22" s="21">
        <v>13.17</v>
      </c>
      <c r="DU22" s="21">
        <v>13.17</v>
      </c>
      <c r="DV22" s="21">
        <v>13.17</v>
      </c>
      <c r="DW22" s="21">
        <v>13.17</v>
      </c>
      <c r="DX22" s="21">
        <v>13.17</v>
      </c>
      <c r="DY22" s="21">
        <v>13.17</v>
      </c>
      <c r="DZ22" s="21">
        <v>13.17</v>
      </c>
      <c r="EA22" s="21">
        <v>13.17</v>
      </c>
      <c r="EB22" s="21">
        <v>13.17</v>
      </c>
      <c r="EC22" s="21">
        <v>13.17</v>
      </c>
      <c r="ED22" s="21">
        <v>13.17</v>
      </c>
      <c r="EE22" s="21">
        <v>13.17</v>
      </c>
      <c r="EF22" s="21">
        <v>13.17</v>
      </c>
      <c r="EG22" s="21">
        <v>13.17</v>
      </c>
      <c r="EH22" s="21">
        <v>13.17</v>
      </c>
      <c r="EI22" s="21">
        <v>13.17</v>
      </c>
      <c r="EJ22" s="21">
        <v>13.17</v>
      </c>
      <c r="EK22" s="21">
        <v>13.17</v>
      </c>
      <c r="EL22" s="21">
        <v>13.17</v>
      </c>
      <c r="EM22" s="21">
        <v>13.17</v>
      </c>
      <c r="EN22" s="21">
        <v>13.17</v>
      </c>
      <c r="EO22" s="21">
        <v>13.17</v>
      </c>
      <c r="EP22" s="21">
        <v>13.17</v>
      </c>
      <c r="EQ22" s="21">
        <v>13.17</v>
      </c>
      <c r="ER22" s="21">
        <v>13.17</v>
      </c>
      <c r="ES22" s="21">
        <v>13.17</v>
      </c>
      <c r="ET22" s="21">
        <v>13.17</v>
      </c>
      <c r="EU22" s="21">
        <v>13.17</v>
      </c>
      <c r="EV22" s="21">
        <v>13.17</v>
      </c>
      <c r="EW22" s="21">
        <v>13.17</v>
      </c>
      <c r="EX22" s="21">
        <v>13.17</v>
      </c>
      <c r="EY22" s="21">
        <v>13.17</v>
      </c>
      <c r="EZ22" s="21">
        <v>13.17</v>
      </c>
      <c r="FA22" s="21">
        <v>13.17</v>
      </c>
      <c r="FB22" s="21">
        <v>13.17</v>
      </c>
      <c r="FC22" s="21">
        <v>13.17</v>
      </c>
      <c r="FD22" s="21">
        <v>13.17</v>
      </c>
      <c r="FE22" s="21">
        <v>13.17</v>
      </c>
      <c r="FF22" s="21">
        <v>13.17</v>
      </c>
      <c r="FG22" s="21">
        <v>13.17</v>
      </c>
      <c r="FH22" s="21">
        <v>13.17</v>
      </c>
      <c r="FI22" s="21">
        <v>13.17</v>
      </c>
      <c r="FJ22" s="21">
        <v>13.17</v>
      </c>
      <c r="FK22" s="21">
        <v>13.17</v>
      </c>
      <c r="FL22" s="21">
        <v>13.17</v>
      </c>
      <c r="FM22" s="21">
        <v>13.17</v>
      </c>
      <c r="FN22" s="21">
        <v>13.17</v>
      </c>
      <c r="FO22" s="21">
        <v>13.17</v>
      </c>
      <c r="FP22" s="21">
        <v>13.17</v>
      </c>
      <c r="FQ22" s="21">
        <v>13.17</v>
      </c>
      <c r="FR22" s="21">
        <v>13.17</v>
      </c>
      <c r="FS22" s="21">
        <v>13.17</v>
      </c>
      <c r="FT22" s="21">
        <v>13.17</v>
      </c>
      <c r="FU22" s="21">
        <v>13.17</v>
      </c>
      <c r="FV22" s="21">
        <v>13.17</v>
      </c>
      <c r="FW22" s="21">
        <v>13.17</v>
      </c>
      <c r="FX22" s="21">
        <v>13.17</v>
      </c>
      <c r="FY22" s="21">
        <v>13.17</v>
      </c>
      <c r="FZ22" s="21">
        <v>13.17</v>
      </c>
      <c r="GA22" s="21">
        <v>13.17</v>
      </c>
      <c r="GB22" s="21">
        <v>13.17</v>
      </c>
      <c r="GC22" s="21">
        <v>13.17</v>
      </c>
      <c r="GD22" s="21">
        <v>13.17</v>
      </c>
      <c r="GE22" s="21">
        <v>13.17</v>
      </c>
      <c r="GF22" s="21">
        <v>13.17</v>
      </c>
      <c r="GG22" s="21">
        <v>13.17</v>
      </c>
      <c r="GH22" s="21">
        <v>13.17</v>
      </c>
      <c r="GI22" s="21">
        <v>13.17</v>
      </c>
      <c r="GJ22" s="21">
        <v>13.17</v>
      </c>
      <c r="GK22" s="21">
        <v>13.17</v>
      </c>
      <c r="GL22" s="21">
        <v>13.17</v>
      </c>
      <c r="GM22" s="21">
        <v>13.17</v>
      </c>
      <c r="GN22" s="21">
        <v>13.17</v>
      </c>
      <c r="GO22" s="21">
        <v>13.17</v>
      </c>
      <c r="GP22" s="21">
        <v>13.17</v>
      </c>
      <c r="GQ22" s="21">
        <v>13.17</v>
      </c>
      <c r="GR22" s="21">
        <v>13.17</v>
      </c>
      <c r="GS22" s="21">
        <v>13.17</v>
      </c>
      <c r="GT22" s="21">
        <v>13.17</v>
      </c>
      <c r="GU22" s="21">
        <v>13.17</v>
      </c>
      <c r="GV22" s="21">
        <v>13.17</v>
      </c>
      <c r="GW22" s="21">
        <v>13.17</v>
      </c>
      <c r="GX22" s="21">
        <v>13.17</v>
      </c>
      <c r="GY22" s="21">
        <v>13.17</v>
      </c>
      <c r="GZ22" s="21">
        <v>13.17</v>
      </c>
      <c r="HA22" s="21">
        <v>13.17</v>
      </c>
      <c r="HB22" s="21">
        <v>13.17</v>
      </c>
      <c r="HC22" s="21">
        <v>13.17</v>
      </c>
      <c r="HD22" s="21">
        <v>13.17</v>
      </c>
      <c r="HE22" s="21">
        <v>13.17</v>
      </c>
      <c r="HF22" s="21">
        <v>13.17</v>
      </c>
      <c r="HG22" s="21">
        <v>13.17</v>
      </c>
      <c r="HH22" s="21">
        <v>13.17</v>
      </c>
      <c r="HI22" s="21">
        <v>13.17</v>
      </c>
      <c r="HJ22" s="21">
        <v>13.17</v>
      </c>
      <c r="HK22" s="21">
        <v>13.17</v>
      </c>
      <c r="HL22" s="21">
        <v>13.17</v>
      </c>
      <c r="HM22" s="21">
        <v>13.17</v>
      </c>
      <c r="HN22" s="21">
        <v>13.17</v>
      </c>
      <c r="HO22" s="21">
        <v>13.17</v>
      </c>
      <c r="HP22" s="21">
        <v>13.17</v>
      </c>
      <c r="HQ22" s="21">
        <v>13.17</v>
      </c>
      <c r="HR22" s="21">
        <v>13.17</v>
      </c>
      <c r="HS22" s="21">
        <v>13.17</v>
      </c>
      <c r="HT22" s="21">
        <v>13.17</v>
      </c>
      <c r="HU22" s="21">
        <v>13.17</v>
      </c>
      <c r="HV22" s="21">
        <v>13.17</v>
      </c>
      <c r="HW22" s="21">
        <v>13.17</v>
      </c>
      <c r="HX22" s="21">
        <v>13.17</v>
      </c>
      <c r="HY22" s="21">
        <v>13.17</v>
      </c>
      <c r="HZ22" s="21">
        <v>13.17</v>
      </c>
      <c r="IA22" s="21">
        <v>13.17</v>
      </c>
      <c r="IB22" s="21">
        <v>13.17</v>
      </c>
      <c r="IC22" s="21">
        <v>13.17</v>
      </c>
      <c r="ID22" s="21">
        <v>13.17</v>
      </c>
      <c r="IE22" s="21">
        <v>13.17</v>
      </c>
      <c r="IF22" s="21">
        <v>13.17</v>
      </c>
      <c r="IG22" s="21">
        <v>13.17</v>
      </c>
      <c r="IH22" s="21">
        <v>13.17</v>
      </c>
      <c r="II22" s="21">
        <v>13.17</v>
      </c>
      <c r="IJ22" s="21">
        <v>13.17</v>
      </c>
      <c r="IK22" s="21">
        <v>13.17</v>
      </c>
      <c r="IL22" s="21">
        <v>13.17</v>
      </c>
      <c r="IM22" s="21">
        <v>13.17</v>
      </c>
      <c r="IN22" s="21">
        <v>13.17</v>
      </c>
      <c r="IO22" s="21">
        <v>13.17</v>
      </c>
      <c r="IP22" s="21">
        <v>13.17</v>
      </c>
      <c r="IQ22" s="21">
        <v>13.17</v>
      </c>
      <c r="IR22" s="21">
        <v>13.17</v>
      </c>
      <c r="IS22" s="21">
        <v>13.17</v>
      </c>
      <c r="IT22" s="21">
        <v>13.17</v>
      </c>
      <c r="IU22" s="21">
        <v>13.17</v>
      </c>
      <c r="IV22" s="21">
        <v>13.17</v>
      </c>
      <c r="IW22" s="21">
        <v>13.17</v>
      </c>
      <c r="IX22" s="21">
        <v>13.17</v>
      </c>
      <c r="IY22" s="21">
        <v>13.17</v>
      </c>
      <c r="IZ22" s="21">
        <v>13.17</v>
      </c>
      <c r="JA22" s="21">
        <v>13.17</v>
      </c>
      <c r="JB22" s="21">
        <v>13.17</v>
      </c>
      <c r="JC22" s="21">
        <v>13.17</v>
      </c>
      <c r="JD22" s="21">
        <v>13.17</v>
      </c>
      <c r="JE22" s="21">
        <v>13.17</v>
      </c>
      <c r="JF22" s="21">
        <v>13.17</v>
      </c>
      <c r="JG22" s="21">
        <v>13.17</v>
      </c>
      <c r="JH22" s="21">
        <v>13.17</v>
      </c>
      <c r="JI22" s="21">
        <v>13.17</v>
      </c>
      <c r="JJ22" s="21">
        <v>13.17</v>
      </c>
      <c r="JK22" s="21">
        <v>13.17</v>
      </c>
      <c r="JL22" s="21">
        <v>13.17</v>
      </c>
      <c r="JM22" s="21">
        <v>13.17</v>
      </c>
      <c r="JN22" s="21">
        <v>13.17</v>
      </c>
      <c r="JO22" s="21">
        <v>13.17</v>
      </c>
      <c r="JP22" s="21">
        <v>13.17</v>
      </c>
      <c r="JQ22" s="21">
        <v>13.17</v>
      </c>
      <c r="JR22" s="21">
        <v>13.17</v>
      </c>
      <c r="JS22" s="21">
        <v>13.17</v>
      </c>
      <c r="JT22" s="21">
        <v>13.17</v>
      </c>
      <c r="JU22" s="21">
        <v>13.17</v>
      </c>
      <c r="JV22" s="21">
        <v>13.17</v>
      </c>
      <c r="JW22" s="21">
        <v>13.17</v>
      </c>
      <c r="JX22" s="21">
        <v>13.17</v>
      </c>
      <c r="JY22" s="21">
        <v>13.17</v>
      </c>
      <c r="JZ22" s="21">
        <v>13.17</v>
      </c>
      <c r="KA22" s="21">
        <v>13.17</v>
      </c>
      <c r="KB22" s="21">
        <v>13.17</v>
      </c>
      <c r="KC22" s="21">
        <v>13.17</v>
      </c>
      <c r="KD22" s="21">
        <v>13.17</v>
      </c>
      <c r="KE22" s="21">
        <v>13.17</v>
      </c>
      <c r="KF22" s="21">
        <v>13.17</v>
      </c>
      <c r="KG22" s="21">
        <v>13.17</v>
      </c>
      <c r="KH22" s="21">
        <v>13.17</v>
      </c>
      <c r="KI22" s="21">
        <v>13.17</v>
      </c>
      <c r="KJ22" s="21">
        <v>13.17</v>
      </c>
      <c r="KK22" s="21">
        <v>13.17</v>
      </c>
      <c r="KL22" s="21">
        <v>13.17</v>
      </c>
      <c r="KM22" s="21">
        <v>13.17</v>
      </c>
      <c r="KN22" s="21">
        <v>13.17</v>
      </c>
      <c r="KO22" s="21">
        <v>13.17</v>
      </c>
      <c r="KP22" s="21">
        <v>13.17</v>
      </c>
      <c r="KQ22" s="21">
        <v>13.17</v>
      </c>
      <c r="KR22" s="21">
        <v>13.17</v>
      </c>
      <c r="KS22" s="21">
        <v>13.17</v>
      </c>
      <c r="KT22" s="21">
        <v>13.17</v>
      </c>
      <c r="KU22" s="21">
        <v>13.17</v>
      </c>
      <c r="KV22" s="21">
        <v>13.17</v>
      </c>
      <c r="KW22" s="21">
        <v>13.17</v>
      </c>
      <c r="KX22" s="21">
        <v>13.17</v>
      </c>
      <c r="KY22" s="21">
        <v>13.17</v>
      </c>
      <c r="KZ22" s="21">
        <v>13.17</v>
      </c>
      <c r="LA22" s="21">
        <v>13.17</v>
      </c>
      <c r="LB22" s="21">
        <v>13.17</v>
      </c>
      <c r="LC22" s="21">
        <v>13.17</v>
      </c>
      <c r="LD22" s="21">
        <v>13.17</v>
      </c>
      <c r="LE22" s="21">
        <v>13.17</v>
      </c>
      <c r="LF22" s="21">
        <v>13.17</v>
      </c>
      <c r="LG22" s="21">
        <v>13.17</v>
      </c>
      <c r="LH22" s="21">
        <v>13.17</v>
      </c>
      <c r="LI22" s="21">
        <v>13.17</v>
      </c>
      <c r="LJ22" s="21">
        <v>13.17</v>
      </c>
      <c r="LK22" s="21">
        <v>13.17</v>
      </c>
      <c r="LL22" s="21">
        <v>13.17</v>
      </c>
      <c r="LM22" s="21">
        <v>13.17</v>
      </c>
      <c r="LN22" s="21">
        <v>13.17</v>
      </c>
      <c r="LO22" s="21">
        <v>13.17</v>
      </c>
      <c r="LP22" s="21">
        <v>13.17</v>
      </c>
      <c r="LQ22" s="21">
        <v>13.17</v>
      </c>
      <c r="LR22" s="21">
        <v>13.17</v>
      </c>
      <c r="LS22" s="21">
        <v>13.17</v>
      </c>
      <c r="LT22" s="21">
        <v>13.17</v>
      </c>
      <c r="LU22" s="21">
        <v>13.17</v>
      </c>
      <c r="LV22" s="21">
        <v>13.17</v>
      </c>
      <c r="LW22" s="21">
        <v>13.17</v>
      </c>
      <c r="LX22" s="21">
        <v>13.17</v>
      </c>
      <c r="LY22" s="21">
        <v>13.17</v>
      </c>
      <c r="LZ22" s="21">
        <v>13.17</v>
      </c>
      <c r="MA22" s="21">
        <v>13.17</v>
      </c>
      <c r="MB22" s="21">
        <v>13.17</v>
      </c>
      <c r="MC22" s="21">
        <v>13.17</v>
      </c>
      <c r="MD22" s="21">
        <v>13.17</v>
      </c>
      <c r="ME22" s="21">
        <v>13.17</v>
      </c>
      <c r="MF22" s="21">
        <v>13.17</v>
      </c>
      <c r="MG22" s="21">
        <v>13.17</v>
      </c>
      <c r="MH22" s="21">
        <v>13.17</v>
      </c>
      <c r="MI22" s="21">
        <v>13.17</v>
      </c>
      <c r="MJ22" s="21">
        <v>13.17</v>
      </c>
      <c r="MK22" s="21">
        <v>13.17</v>
      </c>
      <c r="ML22" s="21">
        <v>13.17</v>
      </c>
      <c r="MM22" s="21">
        <v>13.17</v>
      </c>
      <c r="MN22" s="21">
        <v>13.17</v>
      </c>
      <c r="MO22" s="21">
        <v>13.17</v>
      </c>
      <c r="MP22" s="21">
        <v>13.17</v>
      </c>
      <c r="MQ22" s="21">
        <v>13.17</v>
      </c>
      <c r="MR22" s="21">
        <v>13.17</v>
      </c>
      <c r="MS22" s="21">
        <v>13.17</v>
      </c>
      <c r="MT22" s="21">
        <v>13.17</v>
      </c>
      <c r="MU22" s="21">
        <v>13.17</v>
      </c>
      <c r="MV22" s="21">
        <v>13.17</v>
      </c>
      <c r="MW22" s="21">
        <v>13.17</v>
      </c>
      <c r="MX22" s="21">
        <v>13.17</v>
      </c>
      <c r="MY22" s="21">
        <v>13.17</v>
      </c>
      <c r="MZ22" s="21">
        <v>13.52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70AA9-1184-4917-B1DC-0EC365023690}">
  <dimension ref="A1:B348"/>
  <sheetViews>
    <sheetView workbookViewId="0">
      <selection activeCell="F6" sqref="F6"/>
    </sheetView>
  </sheetViews>
  <sheetFormatPr defaultRowHeight="15" x14ac:dyDescent="0.25"/>
  <cols>
    <col min="1" max="1" width="20.85546875" style="104" bestFit="1" customWidth="1"/>
    <col min="2" max="2" width="13.28515625" style="104" bestFit="1" customWidth="1"/>
    <col min="3" max="16384" width="9.140625" style="104"/>
  </cols>
  <sheetData>
    <row r="1" spans="1:2" x14ac:dyDescent="0.25">
      <c r="A1" s="104" t="s">
        <v>513</v>
      </c>
      <c r="B1" s="104" t="s">
        <v>514</v>
      </c>
    </row>
    <row r="2" spans="1:2" x14ac:dyDescent="0.25">
      <c r="A2" s="104" t="s">
        <v>512</v>
      </c>
      <c r="B2" s="104">
        <v>5602</v>
      </c>
    </row>
    <row r="3" spans="1:2" x14ac:dyDescent="0.25">
      <c r="A3" s="104" t="s">
        <v>511</v>
      </c>
      <c r="B3" s="104">
        <v>13502</v>
      </c>
    </row>
    <row r="4" spans="1:2" x14ac:dyDescent="0.25">
      <c r="A4" s="104" t="s">
        <v>510</v>
      </c>
      <c r="B4" s="104">
        <v>8314</v>
      </c>
    </row>
    <row r="5" spans="1:2" x14ac:dyDescent="0.25">
      <c r="A5" s="104" t="s">
        <v>509</v>
      </c>
      <c r="B5" s="104">
        <v>3302</v>
      </c>
    </row>
    <row r="6" spans="1:2" x14ac:dyDescent="0.25">
      <c r="A6" s="104" t="s">
        <v>508</v>
      </c>
      <c r="B6" s="104">
        <v>1107</v>
      </c>
    </row>
    <row r="7" spans="1:2" x14ac:dyDescent="0.25">
      <c r="A7" s="104" t="s">
        <v>507</v>
      </c>
      <c r="B7" s="104">
        <v>10202</v>
      </c>
    </row>
    <row r="8" spans="1:2" x14ac:dyDescent="0.25">
      <c r="A8" s="104" t="s">
        <v>506</v>
      </c>
      <c r="B8" s="104">
        <v>4103</v>
      </c>
    </row>
    <row r="9" spans="1:2" x14ac:dyDescent="0.25">
      <c r="A9" s="104" t="s">
        <v>505</v>
      </c>
      <c r="B9" s="104">
        <v>9201</v>
      </c>
    </row>
    <row r="10" spans="1:2" x14ac:dyDescent="0.25">
      <c r="A10" s="104" t="s">
        <v>504</v>
      </c>
      <c r="B10" s="104">
        <v>12202</v>
      </c>
    </row>
    <row r="11" spans="1:2" x14ac:dyDescent="0.25">
      <c r="A11" s="104" t="s">
        <v>51</v>
      </c>
      <c r="B11" s="104">
        <v>2101</v>
      </c>
    </row>
    <row r="12" spans="1:2" x14ac:dyDescent="0.25">
      <c r="A12" s="104" t="s">
        <v>503</v>
      </c>
      <c r="B12" s="104">
        <v>8302</v>
      </c>
    </row>
    <row r="13" spans="1:2" x14ac:dyDescent="0.25">
      <c r="A13" s="104" t="s">
        <v>502</v>
      </c>
      <c r="B13" s="104">
        <v>8202</v>
      </c>
    </row>
    <row r="14" spans="1:2" x14ac:dyDescent="0.25">
      <c r="A14" s="104" t="s">
        <v>501</v>
      </c>
      <c r="B14" s="104">
        <v>15101</v>
      </c>
    </row>
    <row r="15" spans="1:2" x14ac:dyDescent="0.25">
      <c r="A15" s="104" t="s">
        <v>500</v>
      </c>
      <c r="B15" s="104">
        <v>11201</v>
      </c>
    </row>
    <row r="16" spans="1:2" x14ac:dyDescent="0.25">
      <c r="A16" s="104" t="s">
        <v>499</v>
      </c>
      <c r="B16" s="104">
        <v>13402</v>
      </c>
    </row>
    <row r="17" spans="1:2" x14ac:dyDescent="0.25">
      <c r="A17" s="104" t="s">
        <v>498</v>
      </c>
      <c r="B17" s="104">
        <v>8402</v>
      </c>
    </row>
    <row r="18" spans="1:2" x14ac:dyDescent="0.25">
      <c r="A18" s="104" t="s">
        <v>497</v>
      </c>
      <c r="B18" s="104">
        <v>5402</v>
      </c>
    </row>
    <row r="19" spans="1:2" x14ac:dyDescent="0.25">
      <c r="A19" s="104" t="s">
        <v>496</v>
      </c>
      <c r="B19" s="104">
        <v>12201</v>
      </c>
    </row>
    <row r="20" spans="1:2" x14ac:dyDescent="0.25">
      <c r="A20" s="104" t="s">
        <v>495</v>
      </c>
      <c r="B20" s="104">
        <v>8303</v>
      </c>
    </row>
    <row r="21" spans="1:2" x14ac:dyDescent="0.25">
      <c r="A21" s="104" t="s">
        <v>494</v>
      </c>
      <c r="B21" s="104">
        <v>2201</v>
      </c>
    </row>
    <row r="22" spans="1:2" x14ac:dyDescent="0.25">
      <c r="A22" s="104" t="s">
        <v>493</v>
      </c>
      <c r="B22" s="104">
        <v>10102</v>
      </c>
    </row>
    <row r="23" spans="1:2" x14ac:dyDescent="0.25">
      <c r="A23" s="104" t="s">
        <v>492</v>
      </c>
      <c r="B23" s="104">
        <v>3102</v>
      </c>
    </row>
    <row r="24" spans="1:2" x14ac:dyDescent="0.25">
      <c r="A24" s="104" t="s">
        <v>491</v>
      </c>
      <c r="B24" s="104">
        <v>5502</v>
      </c>
    </row>
    <row r="25" spans="1:2" x14ac:dyDescent="0.25">
      <c r="A25" s="104" t="s">
        <v>490</v>
      </c>
      <c r="B25" s="104">
        <v>13403</v>
      </c>
    </row>
    <row r="26" spans="1:2" x14ac:dyDescent="0.25">
      <c r="A26" s="104" t="s">
        <v>489</v>
      </c>
      <c r="B26" s="104">
        <v>5302</v>
      </c>
    </row>
    <row r="27" spans="1:2" x14ac:dyDescent="0.25">
      <c r="A27" s="104" t="s">
        <v>488</v>
      </c>
      <c r="B27" s="104">
        <v>15102</v>
      </c>
    </row>
    <row r="28" spans="1:2" x14ac:dyDescent="0.25">
      <c r="A28" s="104" t="s">
        <v>487</v>
      </c>
      <c r="B28" s="104">
        <v>1402</v>
      </c>
    </row>
    <row r="29" spans="1:2" x14ac:dyDescent="0.25">
      <c r="A29" s="104" t="s">
        <v>486</v>
      </c>
      <c r="B29" s="104">
        <v>4202</v>
      </c>
    </row>
    <row r="30" spans="1:2" x14ac:dyDescent="0.25">
      <c r="A30" s="104" t="s">
        <v>485</v>
      </c>
      <c r="B30" s="104">
        <v>8203</v>
      </c>
    </row>
    <row r="31" spans="1:2" x14ac:dyDescent="0.25">
      <c r="A31" s="104" t="s">
        <v>484</v>
      </c>
      <c r="B31" s="104">
        <v>9102</v>
      </c>
    </row>
    <row r="32" spans="1:2" x14ac:dyDescent="0.25">
      <c r="A32" s="104" t="s">
        <v>483</v>
      </c>
      <c r="B32" s="104">
        <v>5603</v>
      </c>
    </row>
    <row r="33" spans="1:2" x14ac:dyDescent="0.25">
      <c r="A33" s="104" t="s">
        <v>482</v>
      </c>
      <c r="B33" s="104">
        <v>5102</v>
      </c>
    </row>
    <row r="34" spans="1:2" x14ac:dyDescent="0.25">
      <c r="A34" s="104" t="s">
        <v>481</v>
      </c>
      <c r="B34" s="104">
        <v>10201</v>
      </c>
    </row>
    <row r="35" spans="1:2" x14ac:dyDescent="0.25">
      <c r="A35" s="104" t="s">
        <v>480</v>
      </c>
      <c r="B35" s="104">
        <v>5702</v>
      </c>
    </row>
    <row r="36" spans="1:2" x14ac:dyDescent="0.25">
      <c r="A36" s="104" t="s">
        <v>479</v>
      </c>
      <c r="B36" s="104">
        <v>7201</v>
      </c>
    </row>
    <row r="37" spans="1:2" x14ac:dyDescent="0.25">
      <c r="A37" s="104" t="s">
        <v>178</v>
      </c>
      <c r="B37" s="104">
        <v>13102</v>
      </c>
    </row>
    <row r="38" spans="1:2" x14ac:dyDescent="0.25">
      <c r="A38" s="104" t="s">
        <v>478</v>
      </c>
      <c r="B38" s="104">
        <v>13103</v>
      </c>
    </row>
    <row r="39" spans="1:2" x14ac:dyDescent="0.25">
      <c r="A39" s="104" t="s">
        <v>477</v>
      </c>
      <c r="B39" s="104">
        <v>10401</v>
      </c>
    </row>
    <row r="40" spans="1:2" x14ac:dyDescent="0.25">
      <c r="A40" s="104" t="s">
        <v>476</v>
      </c>
      <c r="B40" s="104">
        <v>7202</v>
      </c>
    </row>
    <row r="41" spans="1:2" x14ac:dyDescent="0.25">
      <c r="A41" s="104" t="s">
        <v>475</v>
      </c>
      <c r="B41" s="104">
        <v>3201</v>
      </c>
    </row>
    <row r="42" spans="1:2" x14ac:dyDescent="0.25">
      <c r="A42" s="104" t="s">
        <v>474</v>
      </c>
      <c r="B42" s="104">
        <v>6302</v>
      </c>
    </row>
    <row r="43" spans="1:2" x14ac:dyDescent="0.25">
      <c r="A43" s="104" t="s">
        <v>473</v>
      </c>
      <c r="B43" s="104">
        <v>8103</v>
      </c>
    </row>
    <row r="44" spans="1:2" x14ac:dyDescent="0.25">
      <c r="A44" s="104" t="s">
        <v>472</v>
      </c>
      <c r="B44" s="104">
        <v>11401</v>
      </c>
    </row>
    <row r="45" spans="1:2" x14ac:dyDescent="0.25">
      <c r="A45" s="104" t="s">
        <v>146</v>
      </c>
      <c r="B45" s="104">
        <v>8401</v>
      </c>
    </row>
    <row r="46" spans="1:2" x14ac:dyDescent="0.25">
      <c r="A46" s="104" t="s">
        <v>181</v>
      </c>
      <c r="B46" s="104">
        <v>8406</v>
      </c>
    </row>
    <row r="47" spans="1:2" x14ac:dyDescent="0.25">
      <c r="A47" s="104" t="s">
        <v>471</v>
      </c>
      <c r="B47" s="104">
        <v>6303</v>
      </c>
    </row>
    <row r="48" spans="1:2" x14ac:dyDescent="0.25">
      <c r="A48" s="104" t="s">
        <v>470</v>
      </c>
      <c r="B48" s="104">
        <v>9121</v>
      </c>
    </row>
    <row r="49" spans="1:2" x14ac:dyDescent="0.25">
      <c r="A49" s="104" t="s">
        <v>469</v>
      </c>
      <c r="B49" s="104">
        <v>10203</v>
      </c>
    </row>
    <row r="50" spans="1:2" x14ac:dyDescent="0.25">
      <c r="A50" s="104" t="s">
        <v>468</v>
      </c>
      <c r="B50" s="104">
        <v>11202</v>
      </c>
    </row>
    <row r="51" spans="1:2" x14ac:dyDescent="0.25">
      <c r="A51" s="104" t="s">
        <v>467</v>
      </c>
      <c r="B51" s="104">
        <v>8403</v>
      </c>
    </row>
    <row r="52" spans="1:2" x14ac:dyDescent="0.25">
      <c r="A52" s="104" t="s">
        <v>466</v>
      </c>
      <c r="B52" s="104">
        <v>10103</v>
      </c>
    </row>
    <row r="53" spans="1:2" x14ac:dyDescent="0.25">
      <c r="A53" s="104" t="s">
        <v>465</v>
      </c>
      <c r="B53" s="104">
        <v>11301</v>
      </c>
    </row>
    <row r="54" spans="1:2" x14ac:dyDescent="0.25">
      <c r="A54" s="104" t="s">
        <v>464</v>
      </c>
      <c r="B54" s="104">
        <v>6102</v>
      </c>
    </row>
    <row r="55" spans="1:2" x14ac:dyDescent="0.25">
      <c r="A55" s="104" t="s">
        <v>463</v>
      </c>
      <c r="B55" s="104">
        <v>8404</v>
      </c>
    </row>
    <row r="56" spans="1:2" x14ac:dyDescent="0.25">
      <c r="A56" s="104" t="s">
        <v>462</v>
      </c>
      <c r="B56" s="104">
        <v>11101</v>
      </c>
    </row>
    <row r="57" spans="1:2" x14ac:dyDescent="0.25">
      <c r="A57" s="104" t="s">
        <v>461</v>
      </c>
      <c r="B57" s="104">
        <v>8405</v>
      </c>
    </row>
    <row r="58" spans="1:2" x14ac:dyDescent="0.25">
      <c r="A58" s="104" t="s">
        <v>460</v>
      </c>
      <c r="B58" s="104">
        <v>6103</v>
      </c>
    </row>
    <row r="59" spans="1:2" x14ac:dyDescent="0.25">
      <c r="A59" s="104" t="s">
        <v>459</v>
      </c>
      <c r="B59" s="104">
        <v>7402</v>
      </c>
    </row>
    <row r="60" spans="1:2" x14ac:dyDescent="0.25">
      <c r="A60" s="104" t="s">
        <v>458</v>
      </c>
      <c r="B60" s="104">
        <v>1403</v>
      </c>
    </row>
    <row r="61" spans="1:2" x14ac:dyDescent="0.25">
      <c r="A61" s="104" t="s">
        <v>180</v>
      </c>
      <c r="B61" s="104">
        <v>13301</v>
      </c>
    </row>
    <row r="62" spans="1:2" x14ac:dyDescent="0.25">
      <c r="A62" s="104" t="s">
        <v>457</v>
      </c>
      <c r="B62" s="104">
        <v>9202</v>
      </c>
    </row>
    <row r="63" spans="1:2" x14ac:dyDescent="0.25">
      <c r="A63" s="104" t="s">
        <v>456</v>
      </c>
      <c r="B63" s="104">
        <v>6104</v>
      </c>
    </row>
    <row r="64" spans="1:2" x14ac:dyDescent="0.25">
      <c r="A64" s="104" t="s">
        <v>455</v>
      </c>
      <c r="B64" s="104">
        <v>4302</v>
      </c>
    </row>
    <row r="65" spans="1:2" x14ac:dyDescent="0.25">
      <c r="A65" s="104" t="s">
        <v>53</v>
      </c>
      <c r="B65" s="104">
        <v>8101</v>
      </c>
    </row>
    <row r="66" spans="1:2" x14ac:dyDescent="0.25">
      <c r="A66" s="104" t="s">
        <v>454</v>
      </c>
      <c r="B66" s="104">
        <v>13104</v>
      </c>
    </row>
    <row r="67" spans="1:2" x14ac:dyDescent="0.25">
      <c r="A67" s="104" t="s">
        <v>453</v>
      </c>
      <c r="B67" s="104">
        <v>5103</v>
      </c>
    </row>
    <row r="68" spans="1:2" x14ac:dyDescent="0.25">
      <c r="A68" s="104" t="s">
        <v>452</v>
      </c>
      <c r="B68" s="104">
        <v>7102</v>
      </c>
    </row>
    <row r="69" spans="1:2" x14ac:dyDescent="0.25">
      <c r="A69" s="104" t="s">
        <v>451</v>
      </c>
      <c r="B69" s="104">
        <v>8204</v>
      </c>
    </row>
    <row r="70" spans="1:2" x14ac:dyDescent="0.25">
      <c r="A70" s="104" t="s">
        <v>450</v>
      </c>
      <c r="B70" s="104">
        <v>3101</v>
      </c>
    </row>
    <row r="71" spans="1:2" x14ac:dyDescent="0.25">
      <c r="A71" s="104" t="s">
        <v>449</v>
      </c>
      <c r="B71" s="104">
        <v>4102</v>
      </c>
    </row>
    <row r="72" spans="1:2" x14ac:dyDescent="0.25">
      <c r="A72" s="104" t="s">
        <v>448</v>
      </c>
      <c r="B72" s="104">
        <v>8102</v>
      </c>
    </row>
    <row r="73" spans="1:2" x14ac:dyDescent="0.25">
      <c r="A73" s="104" t="s">
        <v>447</v>
      </c>
      <c r="B73" s="104">
        <v>14102</v>
      </c>
    </row>
    <row r="74" spans="1:2" x14ac:dyDescent="0.25">
      <c r="A74" s="104" t="s">
        <v>446</v>
      </c>
      <c r="B74" s="104">
        <v>9103</v>
      </c>
    </row>
    <row r="75" spans="1:2" x14ac:dyDescent="0.25">
      <c r="A75" s="104" t="s">
        <v>445</v>
      </c>
      <c r="B75" s="104">
        <v>9203</v>
      </c>
    </row>
    <row r="76" spans="1:2" x14ac:dyDescent="0.25">
      <c r="A76" s="104" t="s">
        <v>444</v>
      </c>
      <c r="B76" s="104">
        <v>13503</v>
      </c>
    </row>
    <row r="77" spans="1:2" x14ac:dyDescent="0.25">
      <c r="A77" s="104" t="s">
        <v>443</v>
      </c>
      <c r="B77" s="104">
        <v>10204</v>
      </c>
    </row>
    <row r="78" spans="1:2" x14ac:dyDescent="0.25">
      <c r="A78" s="104" t="s">
        <v>442</v>
      </c>
      <c r="B78" s="104">
        <v>8205</v>
      </c>
    </row>
    <row r="79" spans="1:2" x14ac:dyDescent="0.25">
      <c r="A79" s="104" t="s">
        <v>441</v>
      </c>
      <c r="B79" s="104">
        <v>9104</v>
      </c>
    </row>
    <row r="80" spans="1:2" x14ac:dyDescent="0.25">
      <c r="A80" s="104" t="s">
        <v>440</v>
      </c>
      <c r="B80" s="104">
        <v>7103</v>
      </c>
    </row>
    <row r="81" spans="1:2" x14ac:dyDescent="0.25">
      <c r="A81" s="104" t="s">
        <v>439</v>
      </c>
      <c r="B81" s="104">
        <v>7301</v>
      </c>
    </row>
    <row r="82" spans="1:2" x14ac:dyDescent="0.25">
      <c r="A82" s="104" t="s">
        <v>438</v>
      </c>
      <c r="B82" s="104">
        <v>10205</v>
      </c>
    </row>
    <row r="83" spans="1:2" x14ac:dyDescent="0.25">
      <c r="A83" s="104" t="s">
        <v>437</v>
      </c>
      <c r="B83" s="104">
        <v>3202</v>
      </c>
    </row>
    <row r="84" spans="1:2" x14ac:dyDescent="0.25">
      <c r="A84" s="104" t="s">
        <v>436</v>
      </c>
      <c r="B84" s="104">
        <v>6105</v>
      </c>
    </row>
    <row r="85" spans="1:2" x14ac:dyDescent="0.25">
      <c r="A85" s="104" t="s">
        <v>435</v>
      </c>
      <c r="B85" s="104">
        <v>13105</v>
      </c>
    </row>
    <row r="86" spans="1:2" x14ac:dyDescent="0.25">
      <c r="A86" s="104" t="s">
        <v>434</v>
      </c>
      <c r="B86" s="104">
        <v>8407</v>
      </c>
    </row>
    <row r="87" spans="1:2" x14ac:dyDescent="0.25">
      <c r="A87" s="104" t="s">
        <v>433</v>
      </c>
      <c r="B87" s="104">
        <v>13602</v>
      </c>
    </row>
    <row r="88" spans="1:2" x14ac:dyDescent="0.25">
      <c r="A88" s="104" t="s">
        <v>432</v>
      </c>
      <c r="B88" s="104">
        <v>5604</v>
      </c>
    </row>
    <row r="89" spans="1:2" x14ac:dyDescent="0.25">
      <c r="A89" s="104" t="s">
        <v>431</v>
      </c>
      <c r="B89" s="104">
        <v>5605</v>
      </c>
    </row>
    <row r="90" spans="1:2" x14ac:dyDescent="0.25">
      <c r="A90" s="104" t="s">
        <v>430</v>
      </c>
      <c r="B90" s="104">
        <v>7104</v>
      </c>
    </row>
    <row r="91" spans="1:2" x14ac:dyDescent="0.25">
      <c r="A91" s="104" t="s">
        <v>429</v>
      </c>
      <c r="B91" s="104">
        <v>9204</v>
      </c>
    </row>
    <row r="92" spans="1:2" x14ac:dyDescent="0.25">
      <c r="A92" s="104" t="s">
        <v>428</v>
      </c>
      <c r="B92" s="104">
        <v>13106</v>
      </c>
    </row>
    <row r="93" spans="1:2" x14ac:dyDescent="0.25">
      <c r="A93" s="104" t="s">
        <v>427</v>
      </c>
      <c r="B93" s="104">
        <v>15203</v>
      </c>
    </row>
    <row r="94" spans="1:2" x14ac:dyDescent="0.25">
      <c r="A94" s="104" t="s">
        <v>426</v>
      </c>
      <c r="B94" s="104">
        <v>8104</v>
      </c>
    </row>
    <row r="95" spans="1:2" x14ac:dyDescent="0.25">
      <c r="A95" s="104" t="s">
        <v>425</v>
      </c>
      <c r="B95" s="104">
        <v>9105</v>
      </c>
    </row>
    <row r="96" spans="1:2" x14ac:dyDescent="0.25">
      <c r="A96" s="104" t="s">
        <v>424</v>
      </c>
      <c r="B96" s="104">
        <v>3303</v>
      </c>
    </row>
    <row r="97" spans="1:2" x14ac:dyDescent="0.25">
      <c r="A97" s="104" t="s">
        <v>423</v>
      </c>
      <c r="B97" s="104">
        <v>10104</v>
      </c>
    </row>
    <row r="98" spans="1:2" x14ac:dyDescent="0.25">
      <c r="A98" s="104" t="s">
        <v>422</v>
      </c>
      <c r="B98" s="104">
        <v>10105</v>
      </c>
    </row>
    <row r="99" spans="1:2" x14ac:dyDescent="0.25">
      <c r="A99" s="104" t="s">
        <v>421</v>
      </c>
      <c r="B99" s="104">
        <v>10402</v>
      </c>
    </row>
    <row r="100" spans="1:2" x14ac:dyDescent="0.25">
      <c r="A100" s="104" t="s">
        <v>420</v>
      </c>
      <c r="B100" s="104">
        <v>14202</v>
      </c>
    </row>
    <row r="101" spans="1:2" x14ac:dyDescent="0.25">
      <c r="A101" s="104" t="s">
        <v>419</v>
      </c>
      <c r="B101" s="104">
        <v>9106</v>
      </c>
    </row>
    <row r="102" spans="1:2" x14ac:dyDescent="0.25">
      <c r="A102" s="104" t="s">
        <v>418</v>
      </c>
      <c r="B102" s="104">
        <v>15202</v>
      </c>
    </row>
    <row r="103" spans="1:2" x14ac:dyDescent="0.25">
      <c r="A103" s="104" t="s">
        <v>417</v>
      </c>
      <c r="B103" s="104">
        <v>9107</v>
      </c>
    </row>
    <row r="104" spans="1:2" x14ac:dyDescent="0.25">
      <c r="A104" s="104" t="s">
        <v>416</v>
      </c>
      <c r="B104" s="104">
        <v>6106</v>
      </c>
    </row>
    <row r="105" spans="1:2" x14ac:dyDescent="0.25">
      <c r="A105" s="104" t="s">
        <v>415</v>
      </c>
      <c r="B105" s="104">
        <v>11203</v>
      </c>
    </row>
    <row r="106" spans="1:2" x14ac:dyDescent="0.25">
      <c r="A106" s="104" t="s">
        <v>414</v>
      </c>
      <c r="B106" s="104">
        <v>5503</v>
      </c>
    </row>
    <row r="107" spans="1:2" x14ac:dyDescent="0.25">
      <c r="A107" s="104" t="s">
        <v>413</v>
      </c>
      <c r="B107" s="104">
        <v>10403</v>
      </c>
    </row>
    <row r="108" spans="1:2" x14ac:dyDescent="0.25">
      <c r="A108" s="104" t="s">
        <v>412</v>
      </c>
      <c r="B108" s="104">
        <v>7302</v>
      </c>
    </row>
    <row r="109" spans="1:2" x14ac:dyDescent="0.25">
      <c r="A109" s="104" t="s">
        <v>411</v>
      </c>
      <c r="B109" s="104">
        <v>8112</v>
      </c>
    </row>
    <row r="110" spans="1:2" x14ac:dyDescent="0.25">
      <c r="A110" s="104" t="s">
        <v>410</v>
      </c>
      <c r="B110" s="104">
        <v>8105</v>
      </c>
    </row>
    <row r="111" spans="1:2" x14ac:dyDescent="0.25">
      <c r="A111" s="104" t="s">
        <v>409</v>
      </c>
      <c r="B111" s="104">
        <v>1404</v>
      </c>
    </row>
    <row r="112" spans="1:2" x14ac:dyDescent="0.25">
      <c r="A112" s="104" t="s">
        <v>408</v>
      </c>
      <c r="B112" s="104">
        <v>3304</v>
      </c>
    </row>
    <row r="113" spans="1:2" x14ac:dyDescent="0.25">
      <c r="A113" s="104" t="s">
        <v>407</v>
      </c>
      <c r="B113" s="104">
        <v>13107</v>
      </c>
    </row>
    <row r="114" spans="1:2" x14ac:dyDescent="0.25">
      <c r="A114" s="104" t="s">
        <v>406</v>
      </c>
      <c r="B114" s="104">
        <v>4201</v>
      </c>
    </row>
    <row r="115" spans="1:2" x14ac:dyDescent="0.25">
      <c r="A115" s="104" t="s">
        <v>186</v>
      </c>
      <c r="B115" s="104">
        <v>13108</v>
      </c>
    </row>
    <row r="116" spans="1:2" x14ac:dyDescent="0.25">
      <c r="A116" s="104" t="s">
        <v>405</v>
      </c>
      <c r="B116" s="104">
        <v>1101</v>
      </c>
    </row>
    <row r="117" spans="1:2" x14ac:dyDescent="0.25">
      <c r="A117" s="104" t="s">
        <v>404</v>
      </c>
      <c r="B117" s="104">
        <v>13603</v>
      </c>
    </row>
    <row r="118" spans="1:2" x14ac:dyDescent="0.25">
      <c r="A118" s="104" t="s">
        <v>403</v>
      </c>
      <c r="B118" s="104">
        <v>5201</v>
      </c>
    </row>
    <row r="119" spans="1:2" x14ac:dyDescent="0.25">
      <c r="A119" s="104" t="s">
        <v>402</v>
      </c>
      <c r="B119" s="104">
        <v>5104</v>
      </c>
    </row>
    <row r="120" spans="1:2" x14ac:dyDescent="0.25">
      <c r="A120" s="104" t="s">
        <v>401</v>
      </c>
      <c r="B120" s="104">
        <v>13109</v>
      </c>
    </row>
    <row r="121" spans="1:2" x14ac:dyDescent="0.25">
      <c r="A121" s="104" t="s">
        <v>400</v>
      </c>
      <c r="B121" s="104">
        <v>5504</v>
      </c>
    </row>
    <row r="122" spans="1:2" x14ac:dyDescent="0.25">
      <c r="A122" s="104" t="s">
        <v>399</v>
      </c>
      <c r="B122" s="104">
        <v>6202</v>
      </c>
    </row>
    <row r="123" spans="1:2" x14ac:dyDescent="0.25">
      <c r="A123" s="104" t="s">
        <v>398</v>
      </c>
      <c r="B123" s="104">
        <v>13110</v>
      </c>
    </row>
    <row r="124" spans="1:2" x14ac:dyDescent="0.25">
      <c r="A124" s="104" t="s">
        <v>397</v>
      </c>
      <c r="B124" s="104">
        <v>13111</v>
      </c>
    </row>
    <row r="125" spans="1:2" x14ac:dyDescent="0.25">
      <c r="A125" s="104" t="s">
        <v>396</v>
      </c>
      <c r="B125" s="104">
        <v>4104</v>
      </c>
    </row>
    <row r="126" spans="1:2" x14ac:dyDescent="0.25">
      <c r="A126" s="104" t="s">
        <v>395</v>
      </c>
      <c r="B126" s="104">
        <v>5401</v>
      </c>
    </row>
    <row r="127" spans="1:2" x14ac:dyDescent="0.25">
      <c r="A127" s="104" t="s">
        <v>161</v>
      </c>
      <c r="B127" s="104">
        <v>13112</v>
      </c>
    </row>
    <row r="128" spans="1:2" x14ac:dyDescent="0.25">
      <c r="A128" s="104" t="s">
        <v>394</v>
      </c>
      <c r="B128" s="104">
        <v>13113</v>
      </c>
    </row>
    <row r="129" spans="1:2" x14ac:dyDescent="0.25">
      <c r="A129" s="104" t="s">
        <v>52</v>
      </c>
      <c r="B129" s="104">
        <v>4101</v>
      </c>
    </row>
    <row r="130" spans="1:2" x14ac:dyDescent="0.25">
      <c r="A130" s="104" t="s">
        <v>393</v>
      </c>
      <c r="B130" s="104">
        <v>14201</v>
      </c>
    </row>
    <row r="131" spans="1:2" x14ac:dyDescent="0.25">
      <c r="A131" s="104" t="s">
        <v>392</v>
      </c>
      <c r="B131" s="104">
        <v>14203</v>
      </c>
    </row>
    <row r="132" spans="1:2" x14ac:dyDescent="0.25">
      <c r="A132" s="104" t="s">
        <v>391</v>
      </c>
      <c r="B132" s="104">
        <v>11102</v>
      </c>
    </row>
    <row r="133" spans="1:2" x14ac:dyDescent="0.25">
      <c r="A133" s="104" t="s">
        <v>390</v>
      </c>
      <c r="B133" s="104">
        <v>12102</v>
      </c>
    </row>
    <row r="134" spans="1:2" x14ac:dyDescent="0.25">
      <c r="A134" s="104" t="s">
        <v>389</v>
      </c>
      <c r="B134" s="104">
        <v>8304</v>
      </c>
    </row>
    <row r="135" spans="1:2" x14ac:dyDescent="0.25">
      <c r="A135" s="104" t="s">
        <v>388</v>
      </c>
      <c r="B135" s="104">
        <v>13302</v>
      </c>
    </row>
    <row r="136" spans="1:2" x14ac:dyDescent="0.25">
      <c r="A136" s="104" t="s">
        <v>387</v>
      </c>
      <c r="B136" s="104">
        <v>14103</v>
      </c>
    </row>
    <row r="137" spans="1:2" x14ac:dyDescent="0.25">
      <c r="A137" s="104" t="s">
        <v>386</v>
      </c>
      <c r="B137" s="104">
        <v>6107</v>
      </c>
    </row>
    <row r="138" spans="1:2" x14ac:dyDescent="0.25">
      <c r="A138" s="104" t="s">
        <v>385</v>
      </c>
      <c r="B138" s="104">
        <v>13114</v>
      </c>
    </row>
    <row r="139" spans="1:2" x14ac:dyDescent="0.25">
      <c r="A139" s="104" t="s">
        <v>384</v>
      </c>
      <c r="B139" s="104">
        <v>9108</v>
      </c>
    </row>
    <row r="140" spans="1:2" x14ac:dyDescent="0.25">
      <c r="A140" s="104" t="s">
        <v>383</v>
      </c>
      <c r="B140" s="104">
        <v>8201</v>
      </c>
    </row>
    <row r="141" spans="1:2" x14ac:dyDescent="0.25">
      <c r="A141" s="104" t="s">
        <v>382</v>
      </c>
      <c r="B141" s="104">
        <v>7303</v>
      </c>
    </row>
    <row r="142" spans="1:2" x14ac:dyDescent="0.25">
      <c r="A142" s="104" t="s">
        <v>381</v>
      </c>
      <c r="B142" s="104">
        <v>5802</v>
      </c>
    </row>
    <row r="143" spans="1:2" x14ac:dyDescent="0.25">
      <c r="A143" s="104" t="s">
        <v>184</v>
      </c>
      <c r="B143" s="104">
        <v>7401</v>
      </c>
    </row>
    <row r="144" spans="1:2" x14ac:dyDescent="0.25">
      <c r="A144" s="104" t="s">
        <v>380</v>
      </c>
      <c r="B144" s="104">
        <v>6203</v>
      </c>
    </row>
    <row r="145" spans="1:2" x14ac:dyDescent="0.25">
      <c r="A145" s="104" t="s">
        <v>379</v>
      </c>
      <c r="B145" s="104">
        <v>5703</v>
      </c>
    </row>
    <row r="146" spans="1:2" x14ac:dyDescent="0.25">
      <c r="A146" s="104" t="s">
        <v>378</v>
      </c>
      <c r="B146" s="104">
        <v>10107</v>
      </c>
    </row>
    <row r="147" spans="1:2" x14ac:dyDescent="0.25">
      <c r="A147" s="104" t="s">
        <v>377</v>
      </c>
      <c r="B147" s="104">
        <v>13115</v>
      </c>
    </row>
    <row r="148" spans="1:2" x14ac:dyDescent="0.25">
      <c r="A148" s="104" t="s">
        <v>376</v>
      </c>
      <c r="B148" s="104">
        <v>13116</v>
      </c>
    </row>
    <row r="149" spans="1:2" x14ac:dyDescent="0.25">
      <c r="A149" s="104" t="s">
        <v>375</v>
      </c>
      <c r="B149" s="104">
        <v>13117</v>
      </c>
    </row>
    <row r="150" spans="1:2" x14ac:dyDescent="0.25">
      <c r="A150" s="104" t="s">
        <v>374</v>
      </c>
      <c r="B150" s="104">
        <v>6304</v>
      </c>
    </row>
    <row r="151" spans="1:2" x14ac:dyDescent="0.25">
      <c r="A151" s="104" t="s">
        <v>373</v>
      </c>
      <c r="B151" s="104">
        <v>9109</v>
      </c>
    </row>
    <row r="152" spans="1:2" x14ac:dyDescent="0.25">
      <c r="A152" s="104" t="s">
        <v>372</v>
      </c>
      <c r="B152" s="104">
        <v>7403</v>
      </c>
    </row>
    <row r="153" spans="1:2" x14ac:dyDescent="0.25">
      <c r="A153" s="104" t="s">
        <v>371</v>
      </c>
      <c r="B153" s="104">
        <v>9205</v>
      </c>
    </row>
    <row r="154" spans="1:2" x14ac:dyDescent="0.25">
      <c r="A154" s="104" t="s">
        <v>370</v>
      </c>
      <c r="B154" s="104">
        <v>8206</v>
      </c>
    </row>
    <row r="155" spans="1:2" x14ac:dyDescent="0.25">
      <c r="A155" s="104" t="s">
        <v>369</v>
      </c>
      <c r="B155" s="104">
        <v>5301</v>
      </c>
    </row>
    <row r="156" spans="1:2" x14ac:dyDescent="0.25">
      <c r="A156" s="104" t="s">
        <v>368</v>
      </c>
      <c r="B156" s="104">
        <v>8301</v>
      </c>
    </row>
    <row r="157" spans="1:2" x14ac:dyDescent="0.25">
      <c r="A157" s="104" t="s">
        <v>367</v>
      </c>
      <c r="B157" s="104">
        <v>14104</v>
      </c>
    </row>
    <row r="158" spans="1:2" x14ac:dyDescent="0.25">
      <c r="A158" s="104" t="s">
        <v>366</v>
      </c>
      <c r="B158" s="104">
        <v>10106</v>
      </c>
    </row>
    <row r="159" spans="1:2" x14ac:dyDescent="0.25">
      <c r="A159" s="104" t="s">
        <v>365</v>
      </c>
      <c r="B159" s="104">
        <v>9206</v>
      </c>
    </row>
    <row r="160" spans="1:2" x14ac:dyDescent="0.25">
      <c r="A160" s="104" t="s">
        <v>364</v>
      </c>
      <c r="B160" s="104">
        <v>4203</v>
      </c>
    </row>
    <row r="161" spans="1:2" x14ac:dyDescent="0.25">
      <c r="A161" s="104" t="s">
        <v>363</v>
      </c>
      <c r="B161" s="104">
        <v>8106</v>
      </c>
    </row>
    <row r="162" spans="1:2" x14ac:dyDescent="0.25">
      <c r="A162" s="104" t="s">
        <v>362</v>
      </c>
      <c r="B162" s="104">
        <v>9207</v>
      </c>
    </row>
    <row r="163" spans="1:2" x14ac:dyDescent="0.25">
      <c r="A163" s="104" t="s">
        <v>361</v>
      </c>
      <c r="B163" s="104">
        <v>6108</v>
      </c>
    </row>
    <row r="164" spans="1:2" x14ac:dyDescent="0.25">
      <c r="A164" s="104" t="s">
        <v>360</v>
      </c>
      <c r="B164" s="104">
        <v>13118</v>
      </c>
    </row>
    <row r="165" spans="1:2" x14ac:dyDescent="0.25">
      <c r="A165" s="104" t="s">
        <v>359</v>
      </c>
      <c r="B165" s="104">
        <v>14105</v>
      </c>
    </row>
    <row r="166" spans="1:2" x14ac:dyDescent="0.25">
      <c r="A166" s="104" t="s">
        <v>358</v>
      </c>
      <c r="B166" s="104">
        <v>13119</v>
      </c>
    </row>
    <row r="167" spans="1:2" x14ac:dyDescent="0.25">
      <c r="A167" s="104" t="s">
        <v>357</v>
      </c>
      <c r="B167" s="104">
        <v>6109</v>
      </c>
    </row>
    <row r="168" spans="1:2" x14ac:dyDescent="0.25">
      <c r="A168" s="104" t="s">
        <v>356</v>
      </c>
      <c r="B168" s="104">
        <v>6204</v>
      </c>
    </row>
    <row r="169" spans="1:2" x14ac:dyDescent="0.25">
      <c r="A169" s="104" t="s">
        <v>355</v>
      </c>
      <c r="B169" s="104">
        <v>2302</v>
      </c>
    </row>
    <row r="170" spans="1:2" x14ac:dyDescent="0.25">
      <c r="A170" s="104" t="s">
        <v>354</v>
      </c>
      <c r="B170" s="104">
        <v>13504</v>
      </c>
    </row>
    <row r="171" spans="1:2" x14ac:dyDescent="0.25">
      <c r="A171" s="104" t="s">
        <v>353</v>
      </c>
      <c r="B171" s="104">
        <v>14106</v>
      </c>
    </row>
    <row r="172" spans="1:2" x14ac:dyDescent="0.25">
      <c r="A172" s="104" t="s">
        <v>352</v>
      </c>
      <c r="B172" s="104">
        <v>7105</v>
      </c>
    </row>
    <row r="173" spans="1:2" x14ac:dyDescent="0.25">
      <c r="A173" s="104" t="s">
        <v>351</v>
      </c>
      <c r="B173" s="104">
        <v>10108</v>
      </c>
    </row>
    <row r="174" spans="1:2" x14ac:dyDescent="0.25">
      <c r="A174" s="104" t="s">
        <v>350</v>
      </c>
      <c r="B174" s="104">
        <v>2102</v>
      </c>
    </row>
    <row r="175" spans="1:2" x14ac:dyDescent="0.25">
      <c r="A175" s="104" t="s">
        <v>349</v>
      </c>
      <c r="B175" s="104">
        <v>9110</v>
      </c>
    </row>
    <row r="176" spans="1:2" x14ac:dyDescent="0.25">
      <c r="A176" s="104" t="s">
        <v>164</v>
      </c>
      <c r="B176" s="104">
        <v>13501</v>
      </c>
    </row>
    <row r="177" spans="1:2" x14ac:dyDescent="0.25">
      <c r="A177" s="104" t="s">
        <v>162</v>
      </c>
      <c r="B177" s="104">
        <v>7304</v>
      </c>
    </row>
    <row r="178" spans="1:2" x14ac:dyDescent="0.25">
      <c r="A178" s="104" t="s">
        <v>348</v>
      </c>
      <c r="B178" s="104">
        <v>4303</v>
      </c>
    </row>
    <row r="179" spans="1:2" x14ac:dyDescent="0.25">
      <c r="A179" s="104" t="s">
        <v>347</v>
      </c>
      <c r="B179" s="104">
        <v>6110</v>
      </c>
    </row>
    <row r="180" spans="1:2" x14ac:dyDescent="0.25">
      <c r="A180" s="104" t="s">
        <v>346</v>
      </c>
      <c r="B180" s="104">
        <v>8305</v>
      </c>
    </row>
    <row r="181" spans="1:2" x14ac:dyDescent="0.25">
      <c r="A181" s="104" t="s">
        <v>345</v>
      </c>
      <c r="B181" s="104">
        <v>8306</v>
      </c>
    </row>
    <row r="182" spans="1:2" x14ac:dyDescent="0.25">
      <c r="A182" s="104" t="s">
        <v>344</v>
      </c>
      <c r="B182" s="104">
        <v>6305</v>
      </c>
    </row>
    <row r="183" spans="1:2" x14ac:dyDescent="0.25">
      <c r="A183" s="104" t="s">
        <v>343</v>
      </c>
      <c r="B183" s="104">
        <v>12401</v>
      </c>
    </row>
    <row r="184" spans="1:2" x14ac:dyDescent="0.25">
      <c r="A184" s="104" t="s">
        <v>342</v>
      </c>
      <c r="B184" s="104">
        <v>6205</v>
      </c>
    </row>
    <row r="185" spans="1:2" x14ac:dyDescent="0.25">
      <c r="A185" s="104" t="s">
        <v>341</v>
      </c>
      <c r="B185" s="104">
        <v>8307</v>
      </c>
    </row>
    <row r="186" spans="1:2" x14ac:dyDescent="0.25">
      <c r="A186" s="104" t="s">
        <v>340</v>
      </c>
      <c r="B186" s="104">
        <v>8408</v>
      </c>
    </row>
    <row r="187" spans="1:2" x14ac:dyDescent="0.25">
      <c r="A187" s="104" t="s">
        <v>339</v>
      </c>
      <c r="B187" s="104">
        <v>5506</v>
      </c>
    </row>
    <row r="188" spans="1:2" x14ac:dyDescent="0.25">
      <c r="A188" s="104" t="s">
        <v>338</v>
      </c>
      <c r="B188" s="104">
        <v>9111</v>
      </c>
    </row>
    <row r="189" spans="1:2" x14ac:dyDescent="0.25">
      <c r="A189" s="104" t="s">
        <v>337</v>
      </c>
      <c r="B189" s="104">
        <v>8409</v>
      </c>
    </row>
    <row r="190" spans="1:2" x14ac:dyDescent="0.25">
      <c r="A190" s="104" t="s">
        <v>336</v>
      </c>
      <c r="B190" s="104">
        <v>13120</v>
      </c>
    </row>
    <row r="191" spans="1:2" x14ac:dyDescent="0.25">
      <c r="A191" s="104" t="s">
        <v>335</v>
      </c>
      <c r="B191" s="104">
        <v>11302</v>
      </c>
    </row>
    <row r="192" spans="1:2" x14ac:dyDescent="0.25">
      <c r="A192" s="104" t="s">
        <v>334</v>
      </c>
      <c r="B192" s="104">
        <v>6111</v>
      </c>
    </row>
    <row r="193" spans="1:2" x14ac:dyDescent="0.25">
      <c r="A193" s="104" t="s">
        <v>333</v>
      </c>
      <c r="B193" s="104">
        <v>2202</v>
      </c>
    </row>
    <row r="194" spans="1:2" x14ac:dyDescent="0.25">
      <c r="A194" s="104" t="s">
        <v>332</v>
      </c>
      <c r="B194" s="104">
        <v>5803</v>
      </c>
    </row>
    <row r="195" spans="1:2" x14ac:dyDescent="0.25">
      <c r="A195" s="104" t="s">
        <v>331</v>
      </c>
      <c r="B195" s="104">
        <v>10301</v>
      </c>
    </row>
    <row r="196" spans="1:2" x14ac:dyDescent="0.25">
      <c r="A196" s="104" t="s">
        <v>330</v>
      </c>
      <c r="B196" s="104">
        <v>4301</v>
      </c>
    </row>
    <row r="197" spans="1:2" x14ac:dyDescent="0.25">
      <c r="A197" s="104" t="s">
        <v>175</v>
      </c>
      <c r="B197" s="104">
        <v>13604</v>
      </c>
    </row>
    <row r="198" spans="1:2" x14ac:dyDescent="0.25">
      <c r="A198" s="104" t="s">
        <v>329</v>
      </c>
      <c r="B198" s="104">
        <v>9112</v>
      </c>
    </row>
    <row r="199" spans="1:2" x14ac:dyDescent="0.25">
      <c r="A199" s="104" t="s">
        <v>328</v>
      </c>
      <c r="B199" s="104">
        <v>4105</v>
      </c>
    </row>
    <row r="200" spans="1:2" x14ac:dyDescent="0.25">
      <c r="A200" s="104" t="s">
        <v>327</v>
      </c>
      <c r="B200" s="104">
        <v>14107</v>
      </c>
    </row>
    <row r="201" spans="1:2" x14ac:dyDescent="0.25">
      <c r="A201" s="104" t="s">
        <v>150</v>
      </c>
      <c r="B201" s="104">
        <v>13404</v>
      </c>
    </row>
    <row r="202" spans="1:2" x14ac:dyDescent="0.25">
      <c r="A202" s="104" t="s">
        <v>326</v>
      </c>
      <c r="B202" s="104">
        <v>10404</v>
      </c>
    </row>
    <row r="203" spans="1:2" x14ac:dyDescent="0.25">
      <c r="A203" s="104" t="s">
        <v>325</v>
      </c>
      <c r="B203" s="104">
        <v>6306</v>
      </c>
    </row>
    <row r="204" spans="1:2" x14ac:dyDescent="0.25">
      <c r="A204" s="104" t="s">
        <v>324</v>
      </c>
      <c r="B204" s="104">
        <v>14108</v>
      </c>
    </row>
    <row r="205" spans="1:2" x14ac:dyDescent="0.25">
      <c r="A205" s="104" t="s">
        <v>323</v>
      </c>
      <c r="B205" s="104">
        <v>5704</v>
      </c>
    </row>
    <row r="206" spans="1:2" x14ac:dyDescent="0.25">
      <c r="A206" s="104" t="s">
        <v>322</v>
      </c>
      <c r="B206" s="104">
        <v>5403</v>
      </c>
    </row>
    <row r="207" spans="1:2" x14ac:dyDescent="0.25">
      <c r="A207" s="104" t="s">
        <v>321</v>
      </c>
      <c r="B207" s="104">
        <v>6206</v>
      </c>
    </row>
    <row r="208" spans="1:2" x14ac:dyDescent="0.25">
      <c r="A208" s="104" t="s">
        <v>320</v>
      </c>
      <c r="B208" s="104">
        <v>7404</v>
      </c>
    </row>
    <row r="209" spans="1:2" x14ac:dyDescent="0.25">
      <c r="A209" s="104" t="s">
        <v>319</v>
      </c>
      <c r="B209" s="104">
        <v>13121</v>
      </c>
    </row>
    <row r="210" spans="1:2" x14ac:dyDescent="0.25">
      <c r="A210" s="104" t="s">
        <v>318</v>
      </c>
      <c r="B210" s="104">
        <v>7106</v>
      </c>
    </row>
    <row r="211" spans="1:2" x14ac:dyDescent="0.25">
      <c r="A211" s="104" t="s">
        <v>317</v>
      </c>
      <c r="B211" s="104">
        <v>7203</v>
      </c>
    </row>
    <row r="212" spans="1:2" x14ac:dyDescent="0.25">
      <c r="A212" s="104" t="s">
        <v>316</v>
      </c>
      <c r="B212" s="104">
        <v>8410</v>
      </c>
    </row>
    <row r="213" spans="1:2" x14ac:dyDescent="0.25">
      <c r="A213" s="104" t="s">
        <v>315</v>
      </c>
      <c r="B213" s="104">
        <v>7107</v>
      </c>
    </row>
    <row r="214" spans="1:2" x14ac:dyDescent="0.25">
      <c r="A214" s="104" t="s">
        <v>314</v>
      </c>
      <c r="B214" s="104">
        <v>8107</v>
      </c>
    </row>
    <row r="215" spans="1:2" x14ac:dyDescent="0.25">
      <c r="A215" s="104" t="s">
        <v>313</v>
      </c>
      <c r="B215" s="104">
        <v>13605</v>
      </c>
    </row>
    <row r="216" spans="1:2" x14ac:dyDescent="0.25">
      <c r="A216" s="104" t="s">
        <v>312</v>
      </c>
      <c r="B216" s="104">
        <v>13122</v>
      </c>
    </row>
    <row r="217" spans="1:2" x14ac:dyDescent="0.25">
      <c r="A217" s="104" t="s">
        <v>311</v>
      </c>
      <c r="B217" s="104">
        <v>6307</v>
      </c>
    </row>
    <row r="218" spans="1:2" x14ac:dyDescent="0.25">
      <c r="A218" s="104" t="s">
        <v>310</v>
      </c>
      <c r="B218" s="104">
        <v>9113</v>
      </c>
    </row>
    <row r="219" spans="1:2" x14ac:dyDescent="0.25">
      <c r="A219" s="104" t="s">
        <v>309</v>
      </c>
      <c r="B219" s="104">
        <v>5404</v>
      </c>
    </row>
    <row r="220" spans="1:2" x14ac:dyDescent="0.25">
      <c r="A220" s="104" t="s">
        <v>308</v>
      </c>
      <c r="B220" s="104">
        <v>6112</v>
      </c>
    </row>
    <row r="221" spans="1:2" x14ac:dyDescent="0.25">
      <c r="A221" s="104" t="s">
        <v>307</v>
      </c>
      <c r="B221" s="104">
        <v>1405</v>
      </c>
    </row>
    <row r="222" spans="1:2" x14ac:dyDescent="0.25">
      <c r="A222" s="104" t="s">
        <v>306</v>
      </c>
      <c r="B222" s="104">
        <v>6113</v>
      </c>
    </row>
    <row r="223" spans="1:2" x14ac:dyDescent="0.25">
      <c r="A223" s="104" t="s">
        <v>305</v>
      </c>
      <c r="B223" s="104">
        <v>6201</v>
      </c>
    </row>
    <row r="224" spans="1:2" x14ac:dyDescent="0.25">
      <c r="A224" s="104" t="s">
        <v>304</v>
      </c>
      <c r="B224" s="104">
        <v>8411</v>
      </c>
    </row>
    <row r="225" spans="1:2" x14ac:dyDescent="0.25">
      <c r="A225" s="104" t="s">
        <v>303</v>
      </c>
      <c r="B225" s="104">
        <v>13202</v>
      </c>
    </row>
    <row r="226" spans="1:2" x14ac:dyDescent="0.25">
      <c r="A226" s="104" t="s">
        <v>302</v>
      </c>
      <c r="B226" s="104">
        <v>9114</v>
      </c>
    </row>
    <row r="227" spans="1:2" x14ac:dyDescent="0.25">
      <c r="A227" s="104" t="s">
        <v>301</v>
      </c>
      <c r="B227" s="104">
        <v>6308</v>
      </c>
    </row>
    <row r="228" spans="1:2" x14ac:dyDescent="0.25">
      <c r="A228" s="104" t="s">
        <v>300</v>
      </c>
      <c r="B228" s="104">
        <v>8412</v>
      </c>
    </row>
    <row r="229" spans="1:2" x14ac:dyDescent="0.25">
      <c r="A229" s="104" t="s">
        <v>299</v>
      </c>
      <c r="B229" s="104">
        <v>12301</v>
      </c>
    </row>
    <row r="230" spans="1:2" x14ac:dyDescent="0.25">
      <c r="A230" s="104" t="s">
        <v>298</v>
      </c>
      <c r="B230" s="104">
        <v>1401</v>
      </c>
    </row>
    <row r="231" spans="1:2" x14ac:dyDescent="0.25">
      <c r="A231" s="104" t="s">
        <v>297</v>
      </c>
      <c r="B231" s="104">
        <v>12302</v>
      </c>
    </row>
    <row r="232" spans="1:2" x14ac:dyDescent="0.25">
      <c r="A232" s="104" t="s">
        <v>296</v>
      </c>
      <c r="B232" s="104">
        <v>13123</v>
      </c>
    </row>
    <row r="233" spans="1:2" x14ac:dyDescent="0.25">
      <c r="A233" s="104" t="s">
        <v>295</v>
      </c>
      <c r="B233" s="104">
        <v>5105</v>
      </c>
    </row>
    <row r="234" spans="1:2" x14ac:dyDescent="0.25">
      <c r="A234" s="104" t="s">
        <v>294</v>
      </c>
      <c r="B234" s="104">
        <v>9115</v>
      </c>
    </row>
    <row r="235" spans="1:2" x14ac:dyDescent="0.25">
      <c r="A235" s="104" t="s">
        <v>293</v>
      </c>
      <c r="B235" s="104">
        <v>13124</v>
      </c>
    </row>
    <row r="236" spans="1:2" x14ac:dyDescent="0.25">
      <c r="A236" s="104" t="s">
        <v>292</v>
      </c>
      <c r="B236" s="104">
        <v>13201</v>
      </c>
    </row>
    <row r="237" spans="1:2" x14ac:dyDescent="0.25">
      <c r="A237" s="104" t="s">
        <v>291</v>
      </c>
      <c r="B237" s="104">
        <v>10101</v>
      </c>
    </row>
    <row r="238" spans="1:2" x14ac:dyDescent="0.25">
      <c r="A238" s="104" t="s">
        <v>290</v>
      </c>
      <c r="B238" s="104">
        <v>10302</v>
      </c>
    </row>
    <row r="239" spans="1:2" x14ac:dyDescent="0.25">
      <c r="A239" s="104" t="s">
        <v>289</v>
      </c>
      <c r="B239" s="104">
        <v>10109</v>
      </c>
    </row>
    <row r="240" spans="1:2" x14ac:dyDescent="0.25">
      <c r="A240" s="104" t="s">
        <v>288</v>
      </c>
      <c r="B240" s="104">
        <v>6309</v>
      </c>
    </row>
    <row r="241" spans="1:2" x14ac:dyDescent="0.25">
      <c r="A241" s="104" t="s">
        <v>287</v>
      </c>
      <c r="B241" s="104">
        <v>4304</v>
      </c>
    </row>
    <row r="242" spans="1:2" x14ac:dyDescent="0.25">
      <c r="A242" s="104" t="s">
        <v>286</v>
      </c>
      <c r="B242" s="104">
        <v>12101</v>
      </c>
    </row>
    <row r="243" spans="1:2" x14ac:dyDescent="0.25">
      <c r="A243" s="104" t="s">
        <v>285</v>
      </c>
      <c r="B243" s="104">
        <v>10206</v>
      </c>
    </row>
    <row r="244" spans="1:2" x14ac:dyDescent="0.25">
      <c r="A244" s="104" t="s">
        <v>284</v>
      </c>
      <c r="B244" s="104">
        <v>9208</v>
      </c>
    </row>
    <row r="245" spans="1:2" x14ac:dyDescent="0.25">
      <c r="A245" s="104" t="s">
        <v>283</v>
      </c>
      <c r="B245" s="104">
        <v>10303</v>
      </c>
    </row>
    <row r="246" spans="1:2" x14ac:dyDescent="0.25">
      <c r="A246" s="104" t="s">
        <v>282</v>
      </c>
      <c r="B246" s="104">
        <v>5705</v>
      </c>
    </row>
    <row r="247" spans="1:2" x14ac:dyDescent="0.25">
      <c r="A247" s="104" t="s">
        <v>281</v>
      </c>
      <c r="B247" s="104">
        <v>15201</v>
      </c>
    </row>
    <row r="248" spans="1:2" x14ac:dyDescent="0.25">
      <c r="A248" s="104" t="s">
        <v>280</v>
      </c>
      <c r="B248" s="104">
        <v>10304</v>
      </c>
    </row>
    <row r="249" spans="1:2" x14ac:dyDescent="0.25">
      <c r="A249" s="104" t="s">
        <v>279</v>
      </c>
      <c r="B249" s="104">
        <v>10207</v>
      </c>
    </row>
    <row r="250" spans="1:2" x14ac:dyDescent="0.25">
      <c r="A250" s="104" t="s">
        <v>278</v>
      </c>
      <c r="B250" s="104">
        <v>10208</v>
      </c>
    </row>
    <row r="251" spans="1:2" x14ac:dyDescent="0.25">
      <c r="A251" s="104" t="s">
        <v>277</v>
      </c>
      <c r="B251" s="104">
        <v>10209</v>
      </c>
    </row>
    <row r="252" spans="1:2" x14ac:dyDescent="0.25">
      <c r="A252" s="104" t="s">
        <v>276</v>
      </c>
      <c r="B252" s="104">
        <v>8308</v>
      </c>
    </row>
    <row r="253" spans="1:2" x14ac:dyDescent="0.25">
      <c r="A253" s="104" t="s">
        <v>275</v>
      </c>
      <c r="B253" s="104">
        <v>13125</v>
      </c>
    </row>
    <row r="254" spans="1:2" x14ac:dyDescent="0.25">
      <c r="A254" s="104" t="s">
        <v>274</v>
      </c>
      <c r="B254" s="104">
        <v>8309</v>
      </c>
    </row>
    <row r="255" spans="1:2" x14ac:dyDescent="0.25">
      <c r="A255" s="104" t="s">
        <v>273</v>
      </c>
      <c r="B255" s="104">
        <v>8413</v>
      </c>
    </row>
    <row r="256" spans="1:2" x14ac:dyDescent="0.25">
      <c r="A256" s="104" t="s">
        <v>272</v>
      </c>
      <c r="B256" s="104">
        <v>5501</v>
      </c>
    </row>
    <row r="257" spans="1:2" x14ac:dyDescent="0.25">
      <c r="A257" s="104" t="s">
        <v>271</v>
      </c>
      <c r="B257" s="104">
        <v>5801</v>
      </c>
    </row>
    <row r="258" spans="1:2" x14ac:dyDescent="0.25">
      <c r="A258" s="104" t="s">
        <v>270</v>
      </c>
      <c r="B258" s="104">
        <v>10210</v>
      </c>
    </row>
    <row r="259" spans="1:2" x14ac:dyDescent="0.25">
      <c r="A259" s="104" t="s">
        <v>269</v>
      </c>
      <c r="B259" s="104">
        <v>6114</v>
      </c>
    </row>
    <row r="260" spans="1:2" x14ac:dyDescent="0.25">
      <c r="A260" s="104" t="s">
        <v>268</v>
      </c>
      <c r="B260" s="104">
        <v>13126</v>
      </c>
    </row>
    <row r="261" spans="1:2" x14ac:dyDescent="0.25">
      <c r="A261" s="104" t="s">
        <v>267</v>
      </c>
      <c r="B261" s="104">
        <v>5107</v>
      </c>
    </row>
    <row r="262" spans="1:2" x14ac:dyDescent="0.25">
      <c r="A262" s="104" t="s">
        <v>266</v>
      </c>
      <c r="B262" s="104">
        <v>8414</v>
      </c>
    </row>
    <row r="263" spans="1:2" x14ac:dyDescent="0.25">
      <c r="A263" s="104" t="s">
        <v>49</v>
      </c>
      <c r="B263" s="104">
        <v>6101</v>
      </c>
    </row>
    <row r="264" spans="1:2" x14ac:dyDescent="0.25">
      <c r="A264" s="104" t="s">
        <v>265</v>
      </c>
      <c r="B264" s="104">
        <v>8415</v>
      </c>
    </row>
    <row r="265" spans="1:2" x14ac:dyDescent="0.25">
      <c r="A265" s="104" t="s">
        <v>264</v>
      </c>
      <c r="B265" s="104">
        <v>7305</v>
      </c>
    </row>
    <row r="266" spans="1:2" x14ac:dyDescent="0.25">
      <c r="A266" s="104" t="s">
        <v>263</v>
      </c>
      <c r="B266" s="104">
        <v>13127</v>
      </c>
    </row>
    <row r="267" spans="1:2" x14ac:dyDescent="0.25">
      <c r="A267" s="104" t="s">
        <v>262</v>
      </c>
      <c r="B267" s="104">
        <v>9209</v>
      </c>
    </row>
    <row r="268" spans="1:2" x14ac:dyDescent="0.25">
      <c r="A268" s="104" t="s">
        <v>261</v>
      </c>
      <c r="B268" s="104">
        <v>13128</v>
      </c>
    </row>
    <row r="269" spans="1:2" x14ac:dyDescent="0.25">
      <c r="A269" s="104" t="s">
        <v>260</v>
      </c>
      <c r="B269" s="104">
        <v>6115</v>
      </c>
    </row>
    <row r="270" spans="1:2" x14ac:dyDescent="0.25">
      <c r="A270" s="104" t="s">
        <v>259</v>
      </c>
      <c r="B270" s="104">
        <v>6116</v>
      </c>
    </row>
    <row r="271" spans="1:2" x14ac:dyDescent="0.25">
      <c r="A271" s="104" t="s">
        <v>258</v>
      </c>
      <c r="B271" s="104">
        <v>7405</v>
      </c>
    </row>
    <row r="272" spans="1:2" x14ac:dyDescent="0.25">
      <c r="A272" s="104" t="s">
        <v>257</v>
      </c>
      <c r="B272" s="104">
        <v>5303</v>
      </c>
    </row>
    <row r="273" spans="1:2" x14ac:dyDescent="0.25">
      <c r="A273" s="104" t="s">
        <v>256</v>
      </c>
      <c r="B273" s="104">
        <v>14204</v>
      </c>
    </row>
    <row r="274" spans="1:2" x14ac:dyDescent="0.25">
      <c r="A274" s="104" t="s">
        <v>255</v>
      </c>
      <c r="B274" s="104">
        <v>7108</v>
      </c>
    </row>
    <row r="275" spans="1:2" x14ac:dyDescent="0.25">
      <c r="A275" s="104" t="s">
        <v>254</v>
      </c>
      <c r="B275" s="104">
        <v>4305</v>
      </c>
    </row>
    <row r="276" spans="1:2" x14ac:dyDescent="0.25">
      <c r="A276" s="104" t="s">
        <v>253</v>
      </c>
      <c r="B276" s="104">
        <v>11402</v>
      </c>
    </row>
    <row r="277" spans="1:2" x14ac:dyDescent="0.25">
      <c r="A277" s="104" t="s">
        <v>252</v>
      </c>
      <c r="B277" s="104">
        <v>10305</v>
      </c>
    </row>
    <row r="278" spans="1:2" x14ac:dyDescent="0.25">
      <c r="A278" s="104" t="s">
        <v>251</v>
      </c>
      <c r="B278" s="104">
        <v>12103</v>
      </c>
    </row>
    <row r="279" spans="1:2" x14ac:dyDescent="0.25">
      <c r="A279" s="104" t="s">
        <v>250</v>
      </c>
      <c r="B279" s="104">
        <v>7306</v>
      </c>
    </row>
    <row r="280" spans="1:2" x14ac:dyDescent="0.25">
      <c r="A280" s="104" t="s">
        <v>167</v>
      </c>
      <c r="B280" s="104">
        <v>9116</v>
      </c>
    </row>
    <row r="281" spans="1:2" x14ac:dyDescent="0.25">
      <c r="A281" s="104" t="s">
        <v>249</v>
      </c>
      <c r="B281" s="104">
        <v>7307</v>
      </c>
    </row>
    <row r="282" spans="1:2" x14ac:dyDescent="0.25">
      <c r="A282" s="104" t="s">
        <v>248</v>
      </c>
      <c r="B282" s="104">
        <v>4204</v>
      </c>
    </row>
    <row r="283" spans="1:2" x14ac:dyDescent="0.25">
      <c r="A283" s="104" t="s">
        <v>247</v>
      </c>
      <c r="B283" s="104">
        <v>5601</v>
      </c>
    </row>
    <row r="284" spans="1:2" x14ac:dyDescent="0.25">
      <c r="A284" s="104" t="s">
        <v>136</v>
      </c>
      <c r="B284" s="104">
        <v>13401</v>
      </c>
    </row>
    <row r="285" spans="1:2" x14ac:dyDescent="0.25">
      <c r="A285" s="104" t="s">
        <v>246</v>
      </c>
      <c r="B285" s="104">
        <v>8416</v>
      </c>
    </row>
    <row r="286" spans="1:2" x14ac:dyDescent="0.25">
      <c r="A286" s="104" t="s">
        <v>245</v>
      </c>
      <c r="B286" s="104">
        <v>7109</v>
      </c>
    </row>
    <row r="287" spans="1:2" x14ac:dyDescent="0.25">
      <c r="A287" s="104" t="s">
        <v>244</v>
      </c>
      <c r="B287" s="104">
        <v>5304</v>
      </c>
    </row>
    <row r="288" spans="1:2" x14ac:dyDescent="0.25">
      <c r="A288" s="104" t="s">
        <v>243</v>
      </c>
      <c r="B288" s="104">
        <v>8417</v>
      </c>
    </row>
    <row r="289" spans="1:2" x14ac:dyDescent="0.25">
      <c r="A289" s="104" t="s">
        <v>242</v>
      </c>
      <c r="B289" s="104">
        <v>5701</v>
      </c>
    </row>
    <row r="290" spans="1:2" x14ac:dyDescent="0.25">
      <c r="A290" s="104" t="s">
        <v>241</v>
      </c>
      <c r="B290" s="104">
        <v>6301</v>
      </c>
    </row>
    <row r="291" spans="1:2" x14ac:dyDescent="0.25">
      <c r="A291" s="104" t="s">
        <v>240</v>
      </c>
      <c r="B291" s="104">
        <v>12104</v>
      </c>
    </row>
    <row r="292" spans="1:2" x14ac:dyDescent="0.25">
      <c r="A292" s="104" t="s">
        <v>239</v>
      </c>
      <c r="B292" s="104">
        <v>8418</v>
      </c>
    </row>
    <row r="293" spans="1:2" x14ac:dyDescent="0.25">
      <c r="A293" s="104" t="s">
        <v>183</v>
      </c>
      <c r="B293" s="104">
        <v>7406</v>
      </c>
    </row>
    <row r="294" spans="1:2" x14ac:dyDescent="0.25">
      <c r="A294" s="104" t="s">
        <v>238</v>
      </c>
      <c r="B294" s="104">
        <v>13129</v>
      </c>
    </row>
    <row r="295" spans="1:2" x14ac:dyDescent="0.25">
      <c r="A295" s="104" t="s">
        <v>237</v>
      </c>
      <c r="B295" s="104">
        <v>13203</v>
      </c>
    </row>
    <row r="296" spans="1:2" x14ac:dyDescent="0.25">
      <c r="A296" s="104" t="s">
        <v>236</v>
      </c>
      <c r="B296" s="104">
        <v>10306</v>
      </c>
    </row>
    <row r="297" spans="1:2" x14ac:dyDescent="0.25">
      <c r="A297" s="104" t="s">
        <v>235</v>
      </c>
      <c r="B297" s="104">
        <v>13130</v>
      </c>
    </row>
    <row r="298" spans="1:2" x14ac:dyDescent="0.25">
      <c r="A298" s="104" t="s">
        <v>234</v>
      </c>
      <c r="B298" s="104">
        <v>8419</v>
      </c>
    </row>
    <row r="299" spans="1:2" x14ac:dyDescent="0.25">
      <c r="A299" s="104" t="s">
        <v>233</v>
      </c>
      <c r="B299" s="104">
        <v>10307</v>
      </c>
    </row>
    <row r="300" spans="1:2" x14ac:dyDescent="0.25">
      <c r="A300" s="104" t="s">
        <v>232</v>
      </c>
      <c r="B300" s="104">
        <v>13505</v>
      </c>
    </row>
    <row r="301" spans="1:2" x14ac:dyDescent="0.25">
      <c r="A301" s="104" t="s">
        <v>231</v>
      </c>
      <c r="B301" s="104">
        <v>2203</v>
      </c>
    </row>
    <row r="302" spans="1:2" x14ac:dyDescent="0.25">
      <c r="A302" s="104" t="s">
        <v>230</v>
      </c>
      <c r="B302" s="104">
        <v>8108</v>
      </c>
    </row>
    <row r="303" spans="1:2" x14ac:dyDescent="0.25">
      <c r="A303" s="104" t="s">
        <v>229</v>
      </c>
      <c r="B303" s="104">
        <v>7110</v>
      </c>
    </row>
    <row r="304" spans="1:2" x14ac:dyDescent="0.25">
      <c r="A304" s="104" t="s">
        <v>228</v>
      </c>
      <c r="B304" s="104">
        <v>13131</v>
      </c>
    </row>
    <row r="305" spans="1:2" x14ac:dyDescent="0.25">
      <c r="A305" s="104" t="s">
        <v>227</v>
      </c>
      <c r="B305" s="104">
        <v>8310</v>
      </c>
    </row>
    <row r="306" spans="1:2" x14ac:dyDescent="0.25">
      <c r="A306" s="104" t="s">
        <v>226</v>
      </c>
      <c r="B306" s="104">
        <v>6117</v>
      </c>
    </row>
    <row r="307" spans="1:2" x14ac:dyDescent="0.25">
      <c r="A307" s="104" t="s">
        <v>225</v>
      </c>
      <c r="B307" s="104">
        <v>8311</v>
      </c>
    </row>
    <row r="308" spans="1:2" x14ac:dyDescent="0.25">
      <c r="A308" s="104" t="s">
        <v>224</v>
      </c>
      <c r="B308" s="104">
        <v>6310</v>
      </c>
    </row>
    <row r="309" spans="1:2" x14ac:dyDescent="0.25">
      <c r="A309" s="104" t="s">
        <v>223</v>
      </c>
      <c r="B309" s="104">
        <v>8109</v>
      </c>
    </row>
    <row r="310" spans="1:2" x14ac:dyDescent="0.25">
      <c r="A310" s="104" t="s">
        <v>222</v>
      </c>
      <c r="B310" s="104">
        <v>5706</v>
      </c>
    </row>
    <row r="311" spans="1:2" x14ac:dyDescent="0.25">
      <c r="A311" s="104" t="s">
        <v>50</v>
      </c>
      <c r="B311" s="104">
        <v>13101</v>
      </c>
    </row>
    <row r="312" spans="1:2" x14ac:dyDescent="0.25">
      <c r="A312" s="104" t="s">
        <v>221</v>
      </c>
      <c r="B312" s="104">
        <v>5606</v>
      </c>
    </row>
    <row r="313" spans="1:2" x14ac:dyDescent="0.25">
      <c r="A313" s="104" t="s">
        <v>220</v>
      </c>
      <c r="B313" s="104">
        <v>2103</v>
      </c>
    </row>
    <row r="314" spans="1:2" x14ac:dyDescent="0.25">
      <c r="A314" s="104" t="s">
        <v>176</v>
      </c>
      <c r="B314" s="104">
        <v>13601</v>
      </c>
    </row>
    <row r="315" spans="1:2" x14ac:dyDescent="0.25">
      <c r="A315" s="104" t="s">
        <v>55</v>
      </c>
      <c r="B315" s="104">
        <v>7101</v>
      </c>
    </row>
    <row r="316" spans="1:2" x14ac:dyDescent="0.25">
      <c r="A316" s="104" t="s">
        <v>219</v>
      </c>
      <c r="B316" s="104">
        <v>8110</v>
      </c>
    </row>
    <row r="317" spans="1:2" x14ac:dyDescent="0.25">
      <c r="A317" s="104" t="s">
        <v>218</v>
      </c>
      <c r="B317" s="104">
        <v>2104</v>
      </c>
    </row>
    <row r="318" spans="1:2" x14ac:dyDescent="0.25">
      <c r="A318" s="104" t="s">
        <v>47</v>
      </c>
      <c r="B318" s="104">
        <v>9101</v>
      </c>
    </row>
    <row r="319" spans="1:2" x14ac:dyDescent="0.25">
      <c r="A319" s="104" t="s">
        <v>217</v>
      </c>
      <c r="B319" s="104">
        <v>7308</v>
      </c>
    </row>
    <row r="320" spans="1:2" x14ac:dyDescent="0.25">
      <c r="A320" s="104" t="s">
        <v>216</v>
      </c>
      <c r="B320" s="104">
        <v>9117</v>
      </c>
    </row>
    <row r="321" spans="1:2" x14ac:dyDescent="0.25">
      <c r="A321" s="104" t="s">
        <v>215</v>
      </c>
      <c r="B321" s="104">
        <v>3103</v>
      </c>
    </row>
    <row r="322" spans="1:2" x14ac:dyDescent="0.25">
      <c r="A322" s="104" t="s">
        <v>214</v>
      </c>
      <c r="B322" s="104">
        <v>13303</v>
      </c>
    </row>
    <row r="323" spans="1:2" x14ac:dyDescent="0.25">
      <c r="A323" s="104" t="s">
        <v>213</v>
      </c>
      <c r="B323" s="104">
        <v>12303</v>
      </c>
    </row>
    <row r="324" spans="1:2" x14ac:dyDescent="0.25">
      <c r="A324" s="104" t="s">
        <v>212</v>
      </c>
      <c r="B324" s="104">
        <v>8207</v>
      </c>
    </row>
    <row r="325" spans="1:2" x14ac:dyDescent="0.25">
      <c r="A325" s="104" t="s">
        <v>211</v>
      </c>
      <c r="B325" s="104">
        <v>2301</v>
      </c>
    </row>
    <row r="326" spans="1:2" x14ac:dyDescent="0.25">
      <c r="A326" s="104" t="s">
        <v>210</v>
      </c>
      <c r="B326" s="104">
        <v>9118</v>
      </c>
    </row>
    <row r="327" spans="1:2" x14ac:dyDescent="0.25">
      <c r="A327" s="104" t="s">
        <v>209</v>
      </c>
      <c r="B327" s="104">
        <v>8111</v>
      </c>
    </row>
    <row r="328" spans="1:2" x14ac:dyDescent="0.25">
      <c r="A328" s="104" t="s">
        <v>208</v>
      </c>
      <c r="B328" s="104">
        <v>12402</v>
      </c>
    </row>
    <row r="329" spans="1:2" x14ac:dyDescent="0.25">
      <c r="A329" s="104" t="s">
        <v>207</v>
      </c>
      <c r="B329" s="104">
        <v>11303</v>
      </c>
    </row>
    <row r="330" spans="1:2" x14ac:dyDescent="0.25">
      <c r="A330" s="104" t="s">
        <v>206</v>
      </c>
      <c r="B330" s="104">
        <v>9210</v>
      </c>
    </row>
    <row r="331" spans="1:2" x14ac:dyDescent="0.25">
      <c r="A331" s="104" t="s">
        <v>205</v>
      </c>
      <c r="B331" s="104">
        <v>8420</v>
      </c>
    </row>
    <row r="332" spans="1:2" x14ac:dyDescent="0.25">
      <c r="A332" s="104" t="s">
        <v>204</v>
      </c>
      <c r="B332" s="104">
        <v>8312</v>
      </c>
    </row>
    <row r="333" spans="1:2" x14ac:dyDescent="0.25">
      <c r="A333" s="104" t="s">
        <v>203</v>
      </c>
      <c r="B333" s="104">
        <v>14101</v>
      </c>
    </row>
    <row r="334" spans="1:2" x14ac:dyDescent="0.25">
      <c r="A334" s="104" t="s">
        <v>202</v>
      </c>
      <c r="B334" s="104">
        <v>3301</v>
      </c>
    </row>
    <row r="335" spans="1:2" x14ac:dyDescent="0.25">
      <c r="A335" s="104" t="s">
        <v>149</v>
      </c>
      <c r="B335" s="104">
        <v>5101</v>
      </c>
    </row>
    <row r="336" spans="1:2" x14ac:dyDescent="0.25">
      <c r="A336" s="104" t="s">
        <v>201</v>
      </c>
      <c r="B336" s="104">
        <v>7309</v>
      </c>
    </row>
    <row r="337" spans="1:2" x14ac:dyDescent="0.25">
      <c r="A337" s="104" t="s">
        <v>200</v>
      </c>
      <c r="B337" s="104">
        <v>9211</v>
      </c>
    </row>
    <row r="338" spans="1:2" x14ac:dyDescent="0.25">
      <c r="A338" s="104" t="s">
        <v>199</v>
      </c>
      <c r="B338" s="104">
        <v>4106</v>
      </c>
    </row>
    <row r="339" spans="1:2" x14ac:dyDescent="0.25">
      <c r="A339" s="104" t="s">
        <v>198</v>
      </c>
      <c r="B339" s="104">
        <v>9119</v>
      </c>
    </row>
    <row r="340" spans="1:2" x14ac:dyDescent="0.25">
      <c r="A340" s="104" t="s">
        <v>197</v>
      </c>
      <c r="B340" s="104">
        <v>7407</v>
      </c>
    </row>
    <row r="341" spans="1:2" x14ac:dyDescent="0.25">
      <c r="A341" s="104" t="s">
        <v>196</v>
      </c>
      <c r="B341" s="104">
        <v>5804</v>
      </c>
    </row>
    <row r="342" spans="1:2" x14ac:dyDescent="0.25">
      <c r="A342" s="104" t="s">
        <v>137</v>
      </c>
      <c r="B342" s="104">
        <v>9120</v>
      </c>
    </row>
    <row r="343" spans="1:2" x14ac:dyDescent="0.25">
      <c r="A343" s="104" t="s">
        <v>48</v>
      </c>
      <c r="B343" s="104">
        <v>5109</v>
      </c>
    </row>
    <row r="344" spans="1:2" x14ac:dyDescent="0.25">
      <c r="A344" s="104" t="s">
        <v>195</v>
      </c>
      <c r="B344" s="104">
        <v>13132</v>
      </c>
    </row>
    <row r="345" spans="1:2" x14ac:dyDescent="0.25">
      <c r="A345" s="104" t="s">
        <v>194</v>
      </c>
      <c r="B345" s="104">
        <v>7408</v>
      </c>
    </row>
    <row r="346" spans="1:2" x14ac:dyDescent="0.25">
      <c r="A346" s="104" t="s">
        <v>193</v>
      </c>
      <c r="B346" s="104">
        <v>8313</v>
      </c>
    </row>
    <row r="347" spans="1:2" x14ac:dyDescent="0.25">
      <c r="A347" s="104" t="s">
        <v>192</v>
      </c>
      <c r="B347" s="104">
        <v>8421</v>
      </c>
    </row>
    <row r="348" spans="1:2" x14ac:dyDescent="0.25">
      <c r="A348" s="104" t="s">
        <v>191</v>
      </c>
      <c r="B348" s="104">
        <v>5405</v>
      </c>
    </row>
  </sheetData>
  <pageMargins left="0.7" right="0.7" top="0.75" bottom="0.75" header="0.3" footer="0.3"/>
  <pageSetup orientation="portrait" horizontalDpi="300" verticalDpi="300" r:id="rId1"/>
  <headerFooter>
    <oddFooter>&amp;L&amp;1#&amp;"Calibri"&amp;10&amp;K000000Internal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49"/>
  <sheetViews>
    <sheetView workbookViewId="0">
      <selection activeCell="A40" sqref="A40"/>
    </sheetView>
  </sheetViews>
  <sheetFormatPr defaultColWidth="11.42578125" defaultRowHeight="12.75" x14ac:dyDescent="0.2"/>
  <cols>
    <col min="1" max="1" width="3" bestFit="1" customWidth="1"/>
    <col min="3" max="3" width="12.28515625" bestFit="1" customWidth="1"/>
    <col min="4" max="4" width="11.7109375" bestFit="1" customWidth="1"/>
    <col min="10" max="10" width="37.28515625" bestFit="1" customWidth="1"/>
    <col min="13" max="13" width="12.140625" bestFit="1" customWidth="1"/>
    <col min="14" max="14" width="12.28515625" bestFit="1" customWidth="1"/>
    <col min="15" max="15" width="45.85546875" bestFit="1" customWidth="1"/>
    <col min="16" max="16" width="14.7109375" bestFit="1" customWidth="1"/>
    <col min="17" max="17" width="14.85546875" customWidth="1"/>
    <col min="19" max="19" width="21" bestFit="1" customWidth="1"/>
    <col min="21" max="21" width="12.5703125" bestFit="1" customWidth="1"/>
    <col min="22" max="22" width="12.140625" customWidth="1"/>
  </cols>
  <sheetData>
    <row r="1" spans="1:22" ht="25.5" x14ac:dyDescent="0.2">
      <c r="A1" t="s">
        <v>72</v>
      </c>
      <c r="B1" t="s">
        <v>56</v>
      </c>
      <c r="C1" t="s">
        <v>57</v>
      </c>
      <c r="D1" t="s">
        <v>58</v>
      </c>
      <c r="E1" s="34"/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7</v>
      </c>
      <c r="L1" t="s">
        <v>8</v>
      </c>
      <c r="M1" t="s">
        <v>64</v>
      </c>
      <c r="N1" t="s">
        <v>65</v>
      </c>
      <c r="O1" t="s">
        <v>66</v>
      </c>
      <c r="P1" t="s">
        <v>39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s="41" t="s">
        <v>43</v>
      </c>
    </row>
    <row r="2" spans="1:22" x14ac:dyDescent="0.2">
      <c r="A2">
        <v>1</v>
      </c>
      <c r="B2">
        <v>8</v>
      </c>
      <c r="C2" t="s">
        <v>45</v>
      </c>
      <c r="D2">
        <v>2019</v>
      </c>
      <c r="E2" s="34">
        <f>Base!Y2</f>
        <v>5.7559072994648464E-3</v>
      </c>
      <c r="F2">
        <f>DAY(E2)</f>
        <v>0</v>
      </c>
      <c r="G2" s="40" t="str">
        <f>TEXT(E2,"mmmm")</f>
        <v>enero</v>
      </c>
      <c r="H2">
        <f>YEAR(E2)</f>
        <v>1900</v>
      </c>
      <c r="I2" t="s">
        <v>73</v>
      </c>
      <c r="J2" t="str">
        <f>Base!H2&amp;" "&amp;Base!F2&amp;" "&amp;Base!G2</f>
        <v xml:space="preserve">Joel Alejandro  Diaz  Zuñiga </v>
      </c>
      <c r="K2">
        <v>17993152</v>
      </c>
      <c r="L2" t="str">
        <f>Base!E2</f>
        <v>9</v>
      </c>
      <c r="M2" s="37">
        <f>Base!S2</f>
        <v>0.72499999999999998</v>
      </c>
      <c r="N2" s="38">
        <f>Base!P2</f>
        <v>6.0683124257288057E-3</v>
      </c>
      <c r="O2">
        <f>Base!AF2</f>
        <v>1647.6019123785247</v>
      </c>
      <c r="P2" t="str">
        <f>Base!AG2</f>
        <v>Calle 8 Sur Poniente 351,casa 351</v>
      </c>
      <c r="Q2" t="str">
        <f>Base!AI2</f>
        <v>Biobío</v>
      </c>
      <c r="R2" t="s">
        <v>73</v>
      </c>
      <c r="S2" t="s">
        <v>75</v>
      </c>
      <c r="T2">
        <v>17455</v>
      </c>
      <c r="U2" t="s">
        <v>87</v>
      </c>
      <c r="V2" s="28" t="s">
        <v>50</v>
      </c>
    </row>
    <row r="3" spans="1:22" x14ac:dyDescent="0.2">
      <c r="A3">
        <v>2</v>
      </c>
      <c r="B3">
        <v>8</v>
      </c>
      <c r="C3" t="s">
        <v>45</v>
      </c>
      <c r="D3">
        <v>2019</v>
      </c>
      <c r="E3" s="34">
        <f>Base!Y3</f>
        <v>5.7559072994648464E-3</v>
      </c>
      <c r="F3">
        <f t="shared" ref="F3:F49" si="0">DAY(E3)</f>
        <v>0</v>
      </c>
      <c r="G3" s="40" t="str">
        <f t="shared" ref="G3:G49" si="1">TEXT(E3,"mmmm")</f>
        <v>enero</v>
      </c>
      <c r="H3">
        <f t="shared" ref="H3:H49" si="2">YEAR(E3)</f>
        <v>1900</v>
      </c>
      <c r="I3" t="s">
        <v>74</v>
      </c>
      <c r="J3" t="str">
        <f>Base!H3&amp;" "&amp;Base!F3&amp;" "&amp;Base!G3</f>
        <v>Daniela Del Carmen Hultazo Novoa</v>
      </c>
      <c r="K3">
        <v>17621952</v>
      </c>
      <c r="L3" t="str">
        <f>Base!E3</f>
        <v>9</v>
      </c>
      <c r="M3">
        <f>Base!S3</f>
        <v>0.67294545454545451</v>
      </c>
      <c r="N3" s="38">
        <f>Base!P3</f>
        <v>6.0683124257288057E-3</v>
      </c>
      <c r="O3">
        <f>Base!AF3</f>
        <v>1534.7210730811703</v>
      </c>
      <c r="P3" t="str">
        <f>Base!AG3</f>
        <v>ADRIANA GARCIA IBAÑEZ 2030, Edificio G,departamento 303</v>
      </c>
      <c r="Q3" t="str">
        <f>Base!AI3</f>
        <v>Linares</v>
      </c>
      <c r="R3" t="s">
        <v>73</v>
      </c>
      <c r="S3" t="s">
        <v>54</v>
      </c>
      <c r="T3">
        <v>20884</v>
      </c>
      <c r="U3" t="s">
        <v>88</v>
      </c>
      <c r="V3" s="28" t="s">
        <v>51</v>
      </c>
    </row>
    <row r="4" spans="1:22" x14ac:dyDescent="0.2">
      <c r="A4">
        <v>3</v>
      </c>
      <c r="B4">
        <v>8</v>
      </c>
      <c r="C4" t="s">
        <v>45</v>
      </c>
      <c r="D4">
        <v>2019</v>
      </c>
      <c r="E4" s="34">
        <f>Base!Y4</f>
        <v>5.7559072994648464E-3</v>
      </c>
      <c r="F4">
        <f t="shared" si="0"/>
        <v>0</v>
      </c>
      <c r="G4" s="40" t="str">
        <f t="shared" si="1"/>
        <v>enero</v>
      </c>
      <c r="H4">
        <f t="shared" si="2"/>
        <v>1900</v>
      </c>
      <c r="I4" t="s">
        <v>73</v>
      </c>
      <c r="J4" t="str">
        <f>Base!H4&amp;" "&amp;Base!F4&amp;" "&amp;Base!G4</f>
        <v>Nedier Graciela  Salazar  Carvajal</v>
      </c>
      <c r="K4">
        <v>11660191</v>
      </c>
      <c r="L4" t="str">
        <f>Base!E4</f>
        <v>7</v>
      </c>
      <c r="M4">
        <f>Base!S4</f>
        <v>0.61711428571428573</v>
      </c>
      <c r="N4" s="38">
        <f>Base!P4</f>
        <v>6.0683124257288057E-3</v>
      </c>
      <c r="O4">
        <f>Base!AF4</f>
        <v>892.68740115450908</v>
      </c>
      <c r="P4" t="str">
        <f>Base!AG4</f>
        <v>Camino La Vara  02600, Torre 1,departamento 406</v>
      </c>
      <c r="Q4" t="str">
        <f>Base!AI4</f>
        <v>Maipo</v>
      </c>
      <c r="R4" t="s">
        <v>73</v>
      </c>
      <c r="S4" t="s">
        <v>76</v>
      </c>
      <c r="T4">
        <v>1437</v>
      </c>
      <c r="U4" t="s">
        <v>89</v>
      </c>
      <c r="V4" s="28" t="s">
        <v>52</v>
      </c>
    </row>
    <row r="5" spans="1:22" x14ac:dyDescent="0.2">
      <c r="A5">
        <v>4</v>
      </c>
      <c r="B5">
        <v>8</v>
      </c>
      <c r="C5" t="s">
        <v>45</v>
      </c>
      <c r="D5">
        <v>2019</v>
      </c>
      <c r="E5" s="34">
        <f>Base!Y5</f>
        <v>5.7559072994648464E-3</v>
      </c>
      <c r="F5">
        <f t="shared" si="0"/>
        <v>0</v>
      </c>
      <c r="G5" s="40" t="str">
        <f t="shared" si="1"/>
        <v>enero</v>
      </c>
      <c r="H5">
        <f t="shared" si="2"/>
        <v>1900</v>
      </c>
      <c r="I5" t="s">
        <v>74</v>
      </c>
      <c r="J5" t="e">
        <f>Base!#REF!&amp;" "&amp;Base!#REF!&amp;" "&amp;Base!#REF!</f>
        <v>#REF!</v>
      </c>
      <c r="K5">
        <v>13289022</v>
      </c>
      <c r="L5" t="str">
        <f>Base!E5</f>
        <v>2</v>
      </c>
      <c r="M5">
        <f>Base!S5</f>
        <v>0.74652173913043474</v>
      </c>
      <c r="N5" s="38">
        <f>Base!P5</f>
        <v>6.0683124257288057E-3</v>
      </c>
      <c r="O5">
        <f>Base!AF5</f>
        <v>1768.2353146193509</v>
      </c>
      <c r="P5" t="str">
        <f>Base!AG5</f>
        <v>Calle 38 Oriente  350, Torre 8,departamento 2804</v>
      </c>
      <c r="Q5" t="str">
        <f>Base!AI5</f>
        <v>Talca</v>
      </c>
      <c r="R5" t="s">
        <v>73</v>
      </c>
      <c r="S5" t="s">
        <v>75</v>
      </c>
      <c r="T5">
        <v>22222</v>
      </c>
      <c r="U5" t="s">
        <v>90</v>
      </c>
      <c r="V5" s="28" t="s">
        <v>50</v>
      </c>
    </row>
    <row r="6" spans="1:22" x14ac:dyDescent="0.2">
      <c r="A6">
        <v>5</v>
      </c>
      <c r="B6">
        <v>8</v>
      </c>
      <c r="C6" t="s">
        <v>45</v>
      </c>
      <c r="D6">
        <v>2019</v>
      </c>
      <c r="E6" s="34">
        <f>Base!Y6</f>
        <v>5.7559072994648464E-3</v>
      </c>
      <c r="F6">
        <f t="shared" si="0"/>
        <v>0</v>
      </c>
      <c r="G6" s="40" t="str">
        <f t="shared" si="1"/>
        <v>enero</v>
      </c>
      <c r="H6">
        <f t="shared" si="2"/>
        <v>1900</v>
      </c>
      <c r="I6" t="s">
        <v>73</v>
      </c>
      <c r="J6" t="str">
        <f>Base!H6&amp;" "&amp;Base!F6&amp;" "&amp;Base!G6</f>
        <v>César Antonio  Huenchul  Colihuinca</v>
      </c>
      <c r="K6">
        <v>17914896</v>
      </c>
      <c r="L6" t="str">
        <f>Base!E6</f>
        <v>2</v>
      </c>
      <c r="M6">
        <f>Base!S6</f>
        <v>0.74956521739130433</v>
      </c>
      <c r="N6" s="38">
        <f>Base!P6</f>
        <v>6.0683124257288057E-3</v>
      </c>
      <c r="O6">
        <f>Base!AF6</f>
        <v>1609.4064692661752</v>
      </c>
      <c r="P6" t="str">
        <f>Base!AG6</f>
        <v>Camino La Vara  02600, TORRE 2,departamento 412</v>
      </c>
      <c r="Q6" t="str">
        <f>Base!AI6</f>
        <v>Maipo</v>
      </c>
      <c r="R6" t="s">
        <v>73</v>
      </c>
      <c r="S6" t="s">
        <v>76</v>
      </c>
      <c r="T6">
        <v>1520</v>
      </c>
      <c r="U6" t="s">
        <v>91</v>
      </c>
      <c r="V6" s="28" t="s">
        <v>52</v>
      </c>
    </row>
    <row r="7" spans="1:22" x14ac:dyDescent="0.2">
      <c r="A7">
        <v>6</v>
      </c>
      <c r="B7">
        <v>8</v>
      </c>
      <c r="C7" t="s">
        <v>45</v>
      </c>
      <c r="D7">
        <v>2019</v>
      </c>
      <c r="E7" s="34">
        <f>Base!Y7</f>
        <v>5.7559072994648464E-3</v>
      </c>
      <c r="F7">
        <f t="shared" si="0"/>
        <v>0</v>
      </c>
      <c r="G7" s="40" t="str">
        <f t="shared" si="1"/>
        <v>enero</v>
      </c>
      <c r="H7">
        <f t="shared" si="2"/>
        <v>1900</v>
      </c>
      <c r="I7" t="s">
        <v>73</v>
      </c>
      <c r="J7" t="str">
        <f>Base!H7&amp;" "&amp;Base!F7&amp;" "&amp;Base!G7</f>
        <v>Claudio Sebastian  Rojas  Diaz</v>
      </c>
      <c r="K7">
        <v>14277619</v>
      </c>
      <c r="L7" t="str">
        <f>Base!E7</f>
        <v>1</v>
      </c>
      <c r="M7">
        <f>Base!S7</f>
        <v>0.61638148148148153</v>
      </c>
      <c r="N7" s="38">
        <f>Base!P7</f>
        <v>6.0683124257288057E-3</v>
      </c>
      <c r="O7">
        <f>Base!AF7</f>
        <v>1719.0580822949839</v>
      </c>
      <c r="P7" t="str">
        <f>Base!AG7</f>
        <v>Los Libertadores  4733, Edificio F,departamento 106</v>
      </c>
      <c r="Q7" t="str">
        <f>Base!AI7</f>
        <v>Santiago</v>
      </c>
      <c r="R7" t="s">
        <v>73</v>
      </c>
      <c r="S7" t="s">
        <v>75</v>
      </c>
      <c r="T7">
        <v>22710</v>
      </c>
      <c r="U7" t="s">
        <v>92</v>
      </c>
      <c r="V7" s="28" t="s">
        <v>50</v>
      </c>
    </row>
    <row r="8" spans="1:22" x14ac:dyDescent="0.2">
      <c r="A8">
        <v>7</v>
      </c>
      <c r="B8">
        <v>8</v>
      </c>
      <c r="C8" t="s">
        <v>45</v>
      </c>
      <c r="D8">
        <v>2019</v>
      </c>
      <c r="E8" s="34">
        <f>Base!Y8</f>
        <v>5.7559072994648464E-3</v>
      </c>
      <c r="F8">
        <f t="shared" si="0"/>
        <v>0</v>
      </c>
      <c r="G8" s="40" t="str">
        <f t="shared" si="1"/>
        <v>enero</v>
      </c>
      <c r="H8">
        <f t="shared" si="2"/>
        <v>1900</v>
      </c>
      <c r="I8" t="s">
        <v>74</v>
      </c>
      <c r="J8" t="str">
        <f>Base!H8&amp;" "&amp;Base!F8&amp;" "&amp;Base!G8</f>
        <v>Pablo Daniel Lagos Muñoz</v>
      </c>
      <c r="K8">
        <v>15449863</v>
      </c>
      <c r="L8" t="str">
        <f>Base!E8</f>
        <v>4</v>
      </c>
      <c r="M8">
        <f>Base!S8</f>
        <v>0.72487777777777773</v>
      </c>
      <c r="N8" s="38">
        <f>Base!P8</f>
        <v>6.0683124257288057E-3</v>
      </c>
      <c r="O8">
        <f>Base!AF8</f>
        <v>1691.4151013084154</v>
      </c>
      <c r="P8" t="str">
        <f>Base!AG8</f>
        <v>ADRIANA GARCIA IBAÑEZ 2030, Torre B,departamento 401</v>
      </c>
      <c r="Q8" t="str">
        <f>Base!AI8</f>
        <v>Linares</v>
      </c>
      <c r="R8" t="s">
        <v>73</v>
      </c>
      <c r="S8" t="s">
        <v>75</v>
      </c>
      <c r="T8">
        <v>23038</v>
      </c>
      <c r="U8" t="s">
        <v>93</v>
      </c>
      <c r="V8" s="28" t="s">
        <v>50</v>
      </c>
    </row>
    <row r="9" spans="1:22" x14ac:dyDescent="0.2">
      <c r="A9">
        <v>8</v>
      </c>
      <c r="B9">
        <v>8</v>
      </c>
      <c r="C9" t="s">
        <v>45</v>
      </c>
      <c r="D9">
        <v>2019</v>
      </c>
      <c r="E9" s="34" t="e">
        <f>Base!#REF!</f>
        <v>#REF!</v>
      </c>
      <c r="F9" t="e">
        <f t="shared" si="0"/>
        <v>#REF!</v>
      </c>
      <c r="G9" s="40" t="e">
        <f t="shared" si="1"/>
        <v>#REF!</v>
      </c>
      <c r="H9" t="e">
        <f t="shared" si="2"/>
        <v>#REF!</v>
      </c>
      <c r="I9" t="s">
        <v>74</v>
      </c>
      <c r="J9" t="e">
        <f>Base!#REF!&amp;" "&amp;Base!#REF!&amp;" "&amp;Base!#REF!</f>
        <v>#REF!</v>
      </c>
      <c r="K9">
        <v>15028168</v>
      </c>
      <c r="L9" t="e">
        <f>Base!#REF!</f>
        <v>#REF!</v>
      </c>
      <c r="M9" t="e">
        <f>Base!#REF!</f>
        <v>#REF!</v>
      </c>
      <c r="N9" s="38" t="e">
        <f>Base!#REF!</f>
        <v>#REF!</v>
      </c>
      <c r="O9" t="e">
        <f>Base!#REF!</f>
        <v>#REF!</v>
      </c>
      <c r="P9" t="e">
        <f>Base!#REF!</f>
        <v>#REF!</v>
      </c>
      <c r="Q9" t="e">
        <f>Base!#REF!</f>
        <v>#REF!</v>
      </c>
      <c r="R9" t="s">
        <v>73</v>
      </c>
      <c r="S9" t="s">
        <v>75</v>
      </c>
      <c r="T9">
        <v>23061</v>
      </c>
      <c r="U9" t="s">
        <v>94</v>
      </c>
      <c r="V9" s="28" t="s">
        <v>50</v>
      </c>
    </row>
    <row r="10" spans="1:22" x14ac:dyDescent="0.2">
      <c r="A10">
        <v>9</v>
      </c>
      <c r="B10">
        <v>8</v>
      </c>
      <c r="C10" t="s">
        <v>45</v>
      </c>
      <c r="D10">
        <v>2019</v>
      </c>
      <c r="E10" s="34" t="e">
        <f>Base!#REF!</f>
        <v>#REF!</v>
      </c>
      <c r="F10" t="e">
        <f t="shared" si="0"/>
        <v>#REF!</v>
      </c>
      <c r="G10" s="40" t="e">
        <f t="shared" si="1"/>
        <v>#REF!</v>
      </c>
      <c r="H10" t="e">
        <f t="shared" si="2"/>
        <v>#REF!</v>
      </c>
      <c r="I10" t="s">
        <v>74</v>
      </c>
      <c r="J10" t="e">
        <f>Base!#REF!&amp;" "&amp;Base!#REF!&amp;" "&amp;Base!#REF!</f>
        <v>#REF!</v>
      </c>
      <c r="K10">
        <v>11619168</v>
      </c>
      <c r="L10" t="e">
        <f>Base!#REF!</f>
        <v>#REF!</v>
      </c>
      <c r="M10" t="e">
        <f>Base!#REF!</f>
        <v>#REF!</v>
      </c>
      <c r="N10" s="38" t="e">
        <f>Base!#REF!</f>
        <v>#REF!</v>
      </c>
      <c r="O10" t="e">
        <f>Base!#REF!</f>
        <v>#REF!</v>
      </c>
      <c r="P10" t="e">
        <f>Base!#REF!</f>
        <v>#REF!</v>
      </c>
      <c r="Q10" t="e">
        <f>Base!#REF!</f>
        <v>#REF!</v>
      </c>
      <c r="R10" t="s">
        <v>74</v>
      </c>
      <c r="S10" t="s">
        <v>77</v>
      </c>
      <c r="T10">
        <v>4236</v>
      </c>
      <c r="U10" t="s">
        <v>95</v>
      </c>
      <c r="V10" s="28" t="s">
        <v>52</v>
      </c>
    </row>
    <row r="11" spans="1:22" x14ac:dyDescent="0.2">
      <c r="A11">
        <v>10</v>
      </c>
      <c r="B11">
        <v>8</v>
      </c>
      <c r="C11" t="s">
        <v>45</v>
      </c>
      <c r="D11">
        <v>2019</v>
      </c>
      <c r="E11" s="34" t="e">
        <f>Base!#REF!</f>
        <v>#REF!</v>
      </c>
      <c r="F11" t="e">
        <f t="shared" si="0"/>
        <v>#REF!</v>
      </c>
      <c r="G11" s="40" t="e">
        <f t="shared" si="1"/>
        <v>#REF!</v>
      </c>
      <c r="H11" t="e">
        <f t="shared" si="2"/>
        <v>#REF!</v>
      </c>
      <c r="I11" t="s">
        <v>73</v>
      </c>
      <c r="J11" t="e">
        <f>Base!#REF!&amp;" "&amp;Base!#REF!&amp;" "&amp;Base!#REF!</f>
        <v>#REF!</v>
      </c>
      <c r="K11">
        <v>10083891</v>
      </c>
      <c r="L11" t="e">
        <f>Base!#REF!</f>
        <v>#REF!</v>
      </c>
      <c r="M11" t="e">
        <f>Base!#REF!</f>
        <v>#REF!</v>
      </c>
      <c r="N11" s="38" t="e">
        <f>Base!#REF!</f>
        <v>#REF!</v>
      </c>
      <c r="O11" t="e">
        <f>Base!#REF!</f>
        <v>#REF!</v>
      </c>
      <c r="P11" t="e">
        <f>Base!#REF!</f>
        <v>#REF!</v>
      </c>
      <c r="Q11" t="e">
        <f>Base!#REF!</f>
        <v>#REF!</v>
      </c>
      <c r="R11" t="s">
        <v>73</v>
      </c>
      <c r="S11" t="s">
        <v>75</v>
      </c>
      <c r="T11">
        <v>25520</v>
      </c>
      <c r="U11" t="s">
        <v>96</v>
      </c>
      <c r="V11" s="28" t="s">
        <v>50</v>
      </c>
    </row>
    <row r="12" spans="1:22" x14ac:dyDescent="0.2">
      <c r="A12">
        <v>11</v>
      </c>
      <c r="B12">
        <v>8</v>
      </c>
      <c r="C12" t="s">
        <v>45</v>
      </c>
      <c r="D12">
        <v>2019</v>
      </c>
      <c r="E12" s="34" t="e">
        <f>Base!#REF!</f>
        <v>#REF!</v>
      </c>
      <c r="F12" t="e">
        <f t="shared" si="0"/>
        <v>#REF!</v>
      </c>
      <c r="G12" s="40" t="e">
        <f t="shared" si="1"/>
        <v>#REF!</v>
      </c>
      <c r="H12" t="e">
        <f t="shared" si="2"/>
        <v>#REF!</v>
      </c>
      <c r="I12" t="s">
        <v>73</v>
      </c>
      <c r="J12" t="e">
        <f>Base!#REF!&amp;" "&amp;Base!#REF!&amp;" "&amp;Base!#REF!</f>
        <v>#REF!</v>
      </c>
      <c r="K12">
        <v>9612906</v>
      </c>
      <c r="L12" t="e">
        <f>Base!#REF!</f>
        <v>#REF!</v>
      </c>
      <c r="M12" t="e">
        <f>Base!#REF!</f>
        <v>#REF!</v>
      </c>
      <c r="N12" s="38" t="e">
        <f>Base!#REF!</f>
        <v>#REF!</v>
      </c>
      <c r="O12" t="e">
        <f>Base!#REF!</f>
        <v>#REF!</v>
      </c>
      <c r="P12" t="e">
        <f>Base!#REF!</f>
        <v>#REF!</v>
      </c>
      <c r="Q12" t="e">
        <f>Base!#REF!</f>
        <v>#REF!</v>
      </c>
      <c r="R12" t="s">
        <v>73</v>
      </c>
      <c r="S12" t="s">
        <v>75</v>
      </c>
      <c r="T12">
        <v>25605</v>
      </c>
      <c r="U12" t="s">
        <v>97</v>
      </c>
      <c r="V12" s="28" t="s">
        <v>50</v>
      </c>
    </row>
    <row r="13" spans="1:22" x14ac:dyDescent="0.2">
      <c r="A13">
        <v>12</v>
      </c>
      <c r="B13">
        <v>8</v>
      </c>
      <c r="C13" t="s">
        <v>45</v>
      </c>
      <c r="D13">
        <v>2019</v>
      </c>
      <c r="E13" s="34" t="e">
        <f>Base!#REF!</f>
        <v>#REF!</v>
      </c>
      <c r="F13" t="e">
        <f t="shared" si="0"/>
        <v>#REF!</v>
      </c>
      <c r="G13" s="40" t="e">
        <f t="shared" si="1"/>
        <v>#REF!</v>
      </c>
      <c r="H13" t="e">
        <f t="shared" si="2"/>
        <v>#REF!</v>
      </c>
      <c r="I13" t="s">
        <v>74</v>
      </c>
      <c r="J13" t="e">
        <f>Base!#REF!&amp;" "&amp;Base!#REF!&amp;" "&amp;Base!#REF!</f>
        <v>#REF!</v>
      </c>
      <c r="K13">
        <v>17794314</v>
      </c>
      <c r="L13" t="e">
        <f>Base!#REF!</f>
        <v>#REF!</v>
      </c>
      <c r="M13" t="e">
        <f>Base!#REF!</f>
        <v>#REF!</v>
      </c>
      <c r="N13" s="38" t="e">
        <f>Base!#REF!</f>
        <v>#REF!</v>
      </c>
      <c r="O13" t="e">
        <f>Base!#REF!</f>
        <v>#REF!</v>
      </c>
      <c r="P13" t="e">
        <f>Base!#REF!</f>
        <v>#REF!</v>
      </c>
      <c r="Q13" t="e">
        <f>Base!#REF!</f>
        <v>#REF!</v>
      </c>
      <c r="R13" t="s">
        <v>73</v>
      </c>
      <c r="S13" t="s">
        <v>75</v>
      </c>
      <c r="T13">
        <v>25633</v>
      </c>
      <c r="U13" t="s">
        <v>98</v>
      </c>
      <c r="V13" s="28" t="s">
        <v>50</v>
      </c>
    </row>
    <row r="14" spans="1:22" x14ac:dyDescent="0.2">
      <c r="A14">
        <v>13</v>
      </c>
      <c r="B14">
        <v>8</v>
      </c>
      <c r="C14" t="s">
        <v>45</v>
      </c>
      <c r="D14">
        <v>2019</v>
      </c>
      <c r="E14" s="34" t="e">
        <f>Base!#REF!</f>
        <v>#REF!</v>
      </c>
      <c r="F14" t="e">
        <f t="shared" si="0"/>
        <v>#REF!</v>
      </c>
      <c r="G14" s="40" t="e">
        <f t="shared" si="1"/>
        <v>#REF!</v>
      </c>
      <c r="H14" t="e">
        <f t="shared" si="2"/>
        <v>#REF!</v>
      </c>
      <c r="I14" t="s">
        <v>74</v>
      </c>
      <c r="J14" t="e">
        <f>Base!#REF!&amp;" "&amp;Base!#REF!&amp;" "&amp;Base!#REF!</f>
        <v>#REF!</v>
      </c>
      <c r="K14">
        <v>12739972</v>
      </c>
      <c r="L14" t="e">
        <f>Base!#REF!</f>
        <v>#REF!</v>
      </c>
      <c r="M14" t="e">
        <f>Base!#REF!</f>
        <v>#REF!</v>
      </c>
      <c r="N14" s="38" t="e">
        <f>Base!#REF!</f>
        <v>#REF!</v>
      </c>
      <c r="O14" t="e">
        <f>Base!#REF!</f>
        <v>#REF!</v>
      </c>
      <c r="P14" t="e">
        <f>Base!#REF!</f>
        <v>#REF!</v>
      </c>
      <c r="Q14" t="e">
        <f>Base!#REF!</f>
        <v>#REF!</v>
      </c>
      <c r="R14" t="s">
        <v>73</v>
      </c>
      <c r="S14" t="s">
        <v>78</v>
      </c>
      <c r="T14">
        <v>2904</v>
      </c>
      <c r="U14" t="s">
        <v>99</v>
      </c>
      <c r="V14" s="28" t="s">
        <v>47</v>
      </c>
    </row>
    <row r="15" spans="1:22" x14ac:dyDescent="0.2">
      <c r="A15">
        <v>14</v>
      </c>
      <c r="B15">
        <v>8</v>
      </c>
      <c r="C15" t="s">
        <v>45</v>
      </c>
      <c r="D15">
        <v>2019</v>
      </c>
      <c r="E15" s="34" t="e">
        <f>Base!#REF!</f>
        <v>#REF!</v>
      </c>
      <c r="F15" t="e">
        <f t="shared" si="0"/>
        <v>#REF!</v>
      </c>
      <c r="G15" s="40" t="e">
        <f t="shared" si="1"/>
        <v>#REF!</v>
      </c>
      <c r="H15" t="e">
        <f t="shared" si="2"/>
        <v>#REF!</v>
      </c>
      <c r="I15" t="s">
        <v>74</v>
      </c>
      <c r="J15" t="e">
        <f>Base!#REF!&amp;" "&amp;Base!#REF!&amp;" "&amp;Base!#REF!</f>
        <v>#REF!</v>
      </c>
      <c r="K15">
        <v>16147502</v>
      </c>
      <c r="L15" t="e">
        <f>Base!#REF!</f>
        <v>#REF!</v>
      </c>
      <c r="M15" t="e">
        <f>Base!#REF!</f>
        <v>#REF!</v>
      </c>
      <c r="N15" s="38" t="e">
        <f>Base!#REF!</f>
        <v>#REF!</v>
      </c>
      <c r="O15" t="e">
        <f>Base!#REF!</f>
        <v>#REF!</v>
      </c>
      <c r="P15" t="e">
        <f>Base!#REF!</f>
        <v>#REF!</v>
      </c>
      <c r="Q15" t="e">
        <f>Base!#REF!</f>
        <v>#REF!</v>
      </c>
      <c r="R15" t="s">
        <v>73</v>
      </c>
      <c r="S15" t="s">
        <v>75</v>
      </c>
      <c r="T15">
        <v>25868</v>
      </c>
      <c r="U15" t="s">
        <v>100</v>
      </c>
      <c r="V15" s="28" t="s">
        <v>50</v>
      </c>
    </row>
    <row r="16" spans="1:22" x14ac:dyDescent="0.2">
      <c r="A16">
        <v>15</v>
      </c>
      <c r="B16">
        <v>8</v>
      </c>
      <c r="C16" t="s">
        <v>45</v>
      </c>
      <c r="D16">
        <v>2019</v>
      </c>
      <c r="E16" s="34" t="e">
        <f>Base!#REF!</f>
        <v>#REF!</v>
      </c>
      <c r="F16" t="e">
        <f t="shared" si="0"/>
        <v>#REF!</v>
      </c>
      <c r="G16" s="40" t="e">
        <f t="shared" si="1"/>
        <v>#REF!</v>
      </c>
      <c r="H16" t="e">
        <f t="shared" si="2"/>
        <v>#REF!</v>
      </c>
      <c r="I16" t="s">
        <v>73</v>
      </c>
      <c r="J16" t="e">
        <f>Base!#REF!&amp;" "&amp;Base!#REF!&amp;" "&amp;Base!#REF!</f>
        <v>#REF!</v>
      </c>
      <c r="K16">
        <v>23697529</v>
      </c>
      <c r="L16" t="e">
        <f>Base!#REF!</f>
        <v>#REF!</v>
      </c>
      <c r="M16" t="e">
        <f>Base!#REF!</f>
        <v>#REF!</v>
      </c>
      <c r="N16" s="38" t="e">
        <f>Base!#REF!</f>
        <v>#REF!</v>
      </c>
      <c r="O16" t="e">
        <f>Base!#REF!</f>
        <v>#REF!</v>
      </c>
      <c r="P16" t="e">
        <f>Base!#REF!</f>
        <v>#REF!</v>
      </c>
      <c r="Q16" t="e">
        <f>Base!#REF!</f>
        <v>#REF!</v>
      </c>
      <c r="R16" t="s">
        <v>73</v>
      </c>
      <c r="S16" t="s">
        <v>75</v>
      </c>
      <c r="T16">
        <v>26037</v>
      </c>
      <c r="U16" t="s">
        <v>101</v>
      </c>
      <c r="V16" s="28" t="s">
        <v>50</v>
      </c>
    </row>
    <row r="17" spans="1:22" x14ac:dyDescent="0.2">
      <c r="A17">
        <v>16</v>
      </c>
      <c r="B17">
        <v>8</v>
      </c>
      <c r="C17" t="s">
        <v>45</v>
      </c>
      <c r="D17">
        <v>2019</v>
      </c>
      <c r="E17" s="34" t="e">
        <f>Base!#REF!</f>
        <v>#REF!</v>
      </c>
      <c r="F17" t="e">
        <f t="shared" si="0"/>
        <v>#REF!</v>
      </c>
      <c r="G17" s="40" t="e">
        <f t="shared" si="1"/>
        <v>#REF!</v>
      </c>
      <c r="H17" t="e">
        <f t="shared" si="2"/>
        <v>#REF!</v>
      </c>
      <c r="I17" t="s">
        <v>73</v>
      </c>
      <c r="J17" t="e">
        <f>Base!#REF!&amp;" "&amp;Base!#REF!&amp;" "&amp;Base!#REF!</f>
        <v>#REF!</v>
      </c>
      <c r="K17">
        <v>19074840</v>
      </c>
      <c r="L17" t="e">
        <f>Base!#REF!</f>
        <v>#REF!</v>
      </c>
      <c r="M17" t="e">
        <f>Base!#REF!</f>
        <v>#REF!</v>
      </c>
      <c r="N17" s="38" t="e">
        <f>Base!#REF!</f>
        <v>#REF!</v>
      </c>
      <c r="O17" t="e">
        <f>Base!#REF!</f>
        <v>#REF!</v>
      </c>
      <c r="P17" t="e">
        <f>Base!#REF!</f>
        <v>#REF!</v>
      </c>
      <c r="Q17" t="e">
        <f>Base!#REF!</f>
        <v>#REF!</v>
      </c>
      <c r="R17" t="s">
        <v>73</v>
      </c>
      <c r="S17" t="s">
        <v>78</v>
      </c>
      <c r="T17">
        <v>2692</v>
      </c>
      <c r="U17" t="s">
        <v>102</v>
      </c>
      <c r="V17" s="28" t="s">
        <v>47</v>
      </c>
    </row>
    <row r="18" spans="1:22" x14ac:dyDescent="0.2">
      <c r="A18">
        <v>17</v>
      </c>
      <c r="B18">
        <v>8</v>
      </c>
      <c r="C18" t="s">
        <v>45</v>
      </c>
      <c r="D18">
        <v>2019</v>
      </c>
      <c r="E18" s="34" t="e">
        <f>Base!#REF!</f>
        <v>#REF!</v>
      </c>
      <c r="F18" t="e">
        <f t="shared" si="0"/>
        <v>#REF!</v>
      </c>
      <c r="G18" s="40" t="e">
        <f t="shared" si="1"/>
        <v>#REF!</v>
      </c>
      <c r="H18" t="e">
        <f t="shared" si="2"/>
        <v>#REF!</v>
      </c>
      <c r="I18" t="s">
        <v>74</v>
      </c>
      <c r="J18" t="e">
        <f>Base!#REF!&amp;" "&amp;Base!#REF!&amp;" "&amp;Base!#REF!</f>
        <v>#REF!</v>
      </c>
      <c r="K18">
        <v>17758777</v>
      </c>
      <c r="L18" t="e">
        <f>Base!#REF!</f>
        <v>#REF!</v>
      </c>
      <c r="M18" t="e">
        <f>Base!#REF!</f>
        <v>#REF!</v>
      </c>
      <c r="N18" s="38" t="e">
        <f>Base!#REF!</f>
        <v>#REF!</v>
      </c>
      <c r="O18" t="e">
        <f>Base!#REF!</f>
        <v>#REF!</v>
      </c>
      <c r="P18" t="e">
        <f>Base!#REF!</f>
        <v>#REF!</v>
      </c>
      <c r="Q18" t="e">
        <f>Base!#REF!</f>
        <v>#REF!</v>
      </c>
      <c r="R18" t="s">
        <v>74</v>
      </c>
      <c r="S18" t="s">
        <v>79</v>
      </c>
      <c r="T18">
        <v>2979</v>
      </c>
      <c r="U18" t="s">
        <v>103</v>
      </c>
      <c r="V18" s="28" t="s">
        <v>47</v>
      </c>
    </row>
    <row r="19" spans="1:22" x14ac:dyDescent="0.2">
      <c r="A19">
        <v>18</v>
      </c>
      <c r="B19">
        <v>8</v>
      </c>
      <c r="C19" t="s">
        <v>45</v>
      </c>
      <c r="D19">
        <v>2019</v>
      </c>
      <c r="E19" s="34" t="e">
        <f>Base!#REF!</f>
        <v>#REF!</v>
      </c>
      <c r="F19" t="e">
        <f t="shared" si="0"/>
        <v>#REF!</v>
      </c>
      <c r="G19" s="40" t="e">
        <f t="shared" si="1"/>
        <v>#REF!</v>
      </c>
      <c r="H19" t="e">
        <f t="shared" si="2"/>
        <v>#REF!</v>
      </c>
      <c r="I19" t="s">
        <v>73</v>
      </c>
      <c r="J19" t="e">
        <f>Base!#REF!&amp;" "&amp;Base!#REF!&amp;" "&amp;Base!#REF!</f>
        <v>#REF!</v>
      </c>
      <c r="K19">
        <v>10679812</v>
      </c>
      <c r="L19" t="e">
        <f>Base!#REF!</f>
        <v>#REF!</v>
      </c>
      <c r="M19" t="e">
        <f>Base!#REF!</f>
        <v>#REF!</v>
      </c>
      <c r="N19" s="38" t="e">
        <f>Base!#REF!</f>
        <v>#REF!</v>
      </c>
      <c r="O19" t="e">
        <f>Base!#REF!</f>
        <v>#REF!</v>
      </c>
      <c r="P19" t="e">
        <f>Base!#REF!</f>
        <v>#REF!</v>
      </c>
      <c r="Q19" t="e">
        <f>Base!#REF!</f>
        <v>#REF!</v>
      </c>
      <c r="R19" t="s">
        <v>73</v>
      </c>
      <c r="S19" t="s">
        <v>76</v>
      </c>
      <c r="T19">
        <v>1816</v>
      </c>
      <c r="U19" t="s">
        <v>104</v>
      </c>
      <c r="V19" s="28" t="s">
        <v>52</v>
      </c>
    </row>
    <row r="20" spans="1:22" x14ac:dyDescent="0.2">
      <c r="A20">
        <v>19</v>
      </c>
      <c r="B20">
        <v>8</v>
      </c>
      <c r="C20" t="s">
        <v>45</v>
      </c>
      <c r="D20">
        <v>2019</v>
      </c>
      <c r="E20" s="34" t="e">
        <f>Base!#REF!</f>
        <v>#REF!</v>
      </c>
      <c r="F20" t="e">
        <f t="shared" si="0"/>
        <v>#REF!</v>
      </c>
      <c r="G20" s="40" t="e">
        <f t="shared" si="1"/>
        <v>#REF!</v>
      </c>
      <c r="H20" t="e">
        <f t="shared" si="2"/>
        <v>#REF!</v>
      </c>
      <c r="I20" t="s">
        <v>74</v>
      </c>
      <c r="J20" t="e">
        <f>Base!#REF!&amp;" "&amp;Base!#REF!&amp;" "&amp;Base!#REF!</f>
        <v>#REF!</v>
      </c>
      <c r="K20">
        <v>15373272</v>
      </c>
      <c r="L20" t="e">
        <f>Base!#REF!</f>
        <v>#REF!</v>
      </c>
      <c r="M20" t="e">
        <f>Base!#REF!</f>
        <v>#REF!</v>
      </c>
      <c r="N20" s="38" t="e">
        <f>Base!#REF!</f>
        <v>#REF!</v>
      </c>
      <c r="O20" t="e">
        <f>Base!#REF!</f>
        <v>#REF!</v>
      </c>
      <c r="P20" t="e">
        <f>Base!#REF!</f>
        <v>#REF!</v>
      </c>
      <c r="Q20" t="e">
        <f>Base!#REF!</f>
        <v>#REF!</v>
      </c>
      <c r="R20" t="s">
        <v>74</v>
      </c>
      <c r="S20" t="s">
        <v>80</v>
      </c>
      <c r="T20">
        <v>3700</v>
      </c>
      <c r="U20" t="s">
        <v>105</v>
      </c>
      <c r="V20" s="28" t="s">
        <v>53</v>
      </c>
    </row>
    <row r="21" spans="1:22" x14ac:dyDescent="0.2">
      <c r="A21">
        <v>20</v>
      </c>
      <c r="B21">
        <v>8</v>
      </c>
      <c r="C21" t="s">
        <v>45</v>
      </c>
      <c r="D21">
        <v>2019</v>
      </c>
      <c r="E21" s="34" t="e">
        <f>Base!#REF!</f>
        <v>#REF!</v>
      </c>
      <c r="F21" t="e">
        <f t="shared" si="0"/>
        <v>#REF!</v>
      </c>
      <c r="G21" s="40" t="e">
        <f t="shared" si="1"/>
        <v>#REF!</v>
      </c>
      <c r="H21" t="e">
        <f t="shared" si="2"/>
        <v>#REF!</v>
      </c>
      <c r="I21" t="s">
        <v>74</v>
      </c>
      <c r="J21" t="e">
        <f>Base!#REF!&amp;" "&amp;Base!#REF!&amp;" "&amp;Base!#REF!</f>
        <v>#REF!</v>
      </c>
      <c r="K21">
        <v>13264627</v>
      </c>
      <c r="L21" t="e">
        <f>Base!#REF!</f>
        <v>#REF!</v>
      </c>
      <c r="M21" t="e">
        <f>Base!#REF!</f>
        <v>#REF!</v>
      </c>
      <c r="N21" s="38" t="e">
        <f>Base!#REF!</f>
        <v>#REF!</v>
      </c>
      <c r="O21" t="e">
        <f>Base!#REF!</f>
        <v>#REF!</v>
      </c>
      <c r="P21" t="e">
        <f>Base!#REF!</f>
        <v>#REF!</v>
      </c>
      <c r="Q21" t="e">
        <f>Base!#REF!</f>
        <v>#REF!</v>
      </c>
      <c r="R21" t="s">
        <v>73</v>
      </c>
      <c r="S21" t="s">
        <v>75</v>
      </c>
      <c r="T21">
        <v>26189</v>
      </c>
      <c r="U21" t="s">
        <v>106</v>
      </c>
      <c r="V21" s="28" t="s">
        <v>50</v>
      </c>
    </row>
    <row r="22" spans="1:22" x14ac:dyDescent="0.2">
      <c r="A22">
        <v>21</v>
      </c>
      <c r="B22">
        <v>8</v>
      </c>
      <c r="C22" t="s">
        <v>45</v>
      </c>
      <c r="D22">
        <v>2019</v>
      </c>
      <c r="E22" s="34" t="e">
        <f>Base!#REF!</f>
        <v>#REF!</v>
      </c>
      <c r="F22" t="e">
        <f t="shared" si="0"/>
        <v>#REF!</v>
      </c>
      <c r="G22" s="40" t="e">
        <f t="shared" si="1"/>
        <v>#REF!</v>
      </c>
      <c r="H22" t="e">
        <f t="shared" si="2"/>
        <v>#REF!</v>
      </c>
      <c r="I22" t="s">
        <v>73</v>
      </c>
      <c r="J22" t="e">
        <f>Base!#REF!&amp;" "&amp;Base!#REF!&amp;" "&amp;Base!#REF!</f>
        <v>#REF!</v>
      </c>
      <c r="K22">
        <v>13027129</v>
      </c>
      <c r="L22" t="e">
        <f>Base!#REF!</f>
        <v>#REF!</v>
      </c>
      <c r="M22" t="e">
        <f>Base!#REF!</f>
        <v>#REF!</v>
      </c>
      <c r="N22" s="38" t="e">
        <f>Base!#REF!</f>
        <v>#REF!</v>
      </c>
      <c r="O22" t="e">
        <f>Base!#REF!</f>
        <v>#REF!</v>
      </c>
      <c r="P22" t="e">
        <f>Base!#REF!</f>
        <v>#REF!</v>
      </c>
      <c r="Q22" t="e">
        <f>Base!#REF!</f>
        <v>#REF!</v>
      </c>
      <c r="R22" t="s">
        <v>73</v>
      </c>
      <c r="S22" t="s">
        <v>75</v>
      </c>
      <c r="T22">
        <v>26062</v>
      </c>
      <c r="U22" t="s">
        <v>107</v>
      </c>
      <c r="V22" s="28" t="s">
        <v>50</v>
      </c>
    </row>
    <row r="23" spans="1:22" x14ac:dyDescent="0.2">
      <c r="A23">
        <v>22</v>
      </c>
      <c r="B23">
        <v>8</v>
      </c>
      <c r="C23" t="s">
        <v>45</v>
      </c>
      <c r="D23">
        <v>2019</v>
      </c>
      <c r="E23" s="34" t="e">
        <f>Base!#REF!</f>
        <v>#REF!</v>
      </c>
      <c r="F23" t="e">
        <f t="shared" si="0"/>
        <v>#REF!</v>
      </c>
      <c r="G23" s="40" t="e">
        <f t="shared" si="1"/>
        <v>#REF!</v>
      </c>
      <c r="H23" t="e">
        <f t="shared" si="2"/>
        <v>#REF!</v>
      </c>
      <c r="I23" t="s">
        <v>73</v>
      </c>
      <c r="J23" t="e">
        <f>Base!#REF!&amp;" "&amp;Base!#REF!&amp;" "&amp;Base!#REF!</f>
        <v>#REF!</v>
      </c>
      <c r="K23">
        <v>14558600</v>
      </c>
      <c r="L23" t="e">
        <f>Base!#REF!</f>
        <v>#REF!</v>
      </c>
      <c r="M23" t="e">
        <f>Base!#REF!</f>
        <v>#REF!</v>
      </c>
      <c r="N23" s="38" t="e">
        <f>Base!#REF!</f>
        <v>#REF!</v>
      </c>
      <c r="O23" t="e">
        <f>Base!#REF!</f>
        <v>#REF!</v>
      </c>
      <c r="P23" t="e">
        <f>Base!#REF!</f>
        <v>#REF!</v>
      </c>
      <c r="Q23" t="e">
        <f>Base!#REF!</f>
        <v>#REF!</v>
      </c>
      <c r="R23" t="s">
        <v>73</v>
      </c>
      <c r="S23" t="s">
        <v>75</v>
      </c>
      <c r="T23">
        <v>26134</v>
      </c>
      <c r="U23" t="s">
        <v>108</v>
      </c>
      <c r="V23" s="28" t="s">
        <v>50</v>
      </c>
    </row>
    <row r="24" spans="1:22" x14ac:dyDescent="0.2">
      <c r="A24">
        <v>23</v>
      </c>
      <c r="B24">
        <v>8</v>
      </c>
      <c r="C24" t="s">
        <v>45</v>
      </c>
      <c r="D24">
        <v>2019</v>
      </c>
      <c r="E24" s="34" t="e">
        <f>Base!#REF!</f>
        <v>#REF!</v>
      </c>
      <c r="F24" t="e">
        <f t="shared" si="0"/>
        <v>#REF!</v>
      </c>
      <c r="G24" s="40" t="e">
        <f t="shared" si="1"/>
        <v>#REF!</v>
      </c>
      <c r="H24" t="e">
        <f t="shared" si="2"/>
        <v>#REF!</v>
      </c>
      <c r="I24" t="s">
        <v>73</v>
      </c>
      <c r="J24" t="e">
        <f>Base!#REF!&amp;" "&amp;Base!#REF!&amp;" "&amp;Base!#REF!</f>
        <v>#REF!</v>
      </c>
      <c r="K24">
        <v>15793341</v>
      </c>
      <c r="L24" t="e">
        <f>Base!#REF!</f>
        <v>#REF!</v>
      </c>
      <c r="M24" t="e">
        <f>Base!#REF!</f>
        <v>#REF!</v>
      </c>
      <c r="N24" s="38" t="e">
        <f>Base!#REF!</f>
        <v>#REF!</v>
      </c>
      <c r="O24" t="e">
        <f>Base!#REF!</f>
        <v>#REF!</v>
      </c>
      <c r="P24" t="e">
        <f>Base!#REF!</f>
        <v>#REF!</v>
      </c>
      <c r="Q24" t="e">
        <f>Base!#REF!</f>
        <v>#REF!</v>
      </c>
      <c r="R24" t="s">
        <v>73</v>
      </c>
      <c r="S24" t="s">
        <v>75</v>
      </c>
      <c r="T24">
        <v>26186</v>
      </c>
      <c r="U24" t="s">
        <v>109</v>
      </c>
      <c r="V24" s="28" t="s">
        <v>50</v>
      </c>
    </row>
    <row r="25" spans="1:22" x14ac:dyDescent="0.2">
      <c r="A25">
        <v>24</v>
      </c>
      <c r="B25">
        <v>8</v>
      </c>
      <c r="C25" t="s">
        <v>45</v>
      </c>
      <c r="D25">
        <v>2019</v>
      </c>
      <c r="E25" s="34" t="e">
        <f>Base!#REF!</f>
        <v>#REF!</v>
      </c>
      <c r="F25" t="e">
        <f t="shared" si="0"/>
        <v>#REF!</v>
      </c>
      <c r="G25" s="40" t="e">
        <f t="shared" si="1"/>
        <v>#REF!</v>
      </c>
      <c r="H25" t="e">
        <f t="shared" si="2"/>
        <v>#REF!</v>
      </c>
      <c r="I25" t="s">
        <v>74</v>
      </c>
      <c r="J25" t="e">
        <f>Base!#REF!&amp;" "&amp;Base!#REF!&amp;" "&amp;Base!#REF!</f>
        <v>#REF!</v>
      </c>
      <c r="K25">
        <v>25698364</v>
      </c>
      <c r="L25" t="e">
        <f>Base!#REF!</f>
        <v>#REF!</v>
      </c>
      <c r="M25" t="e">
        <f>Base!#REF!</f>
        <v>#REF!</v>
      </c>
      <c r="N25" s="38" t="e">
        <f>Base!#REF!</f>
        <v>#REF!</v>
      </c>
      <c r="O25" t="e">
        <f>Base!#REF!</f>
        <v>#REF!</v>
      </c>
      <c r="P25" t="e">
        <f>Base!#REF!</f>
        <v>#REF!</v>
      </c>
      <c r="Q25" t="e">
        <f>Base!#REF!</f>
        <v>#REF!</v>
      </c>
      <c r="R25" t="s">
        <v>74</v>
      </c>
      <c r="S25" t="s">
        <v>81</v>
      </c>
      <c r="T25">
        <v>3458</v>
      </c>
      <c r="U25" t="s">
        <v>110</v>
      </c>
      <c r="V25" s="28" t="s">
        <v>53</v>
      </c>
    </row>
    <row r="26" spans="1:22" x14ac:dyDescent="0.2">
      <c r="A26">
        <v>25</v>
      </c>
      <c r="B26">
        <v>8</v>
      </c>
      <c r="C26" t="s">
        <v>45</v>
      </c>
      <c r="D26">
        <v>2019</v>
      </c>
      <c r="E26" s="34" t="e">
        <f>Base!#REF!</f>
        <v>#REF!</v>
      </c>
      <c r="F26" t="e">
        <f t="shared" si="0"/>
        <v>#REF!</v>
      </c>
      <c r="G26" s="40" t="e">
        <f t="shared" si="1"/>
        <v>#REF!</v>
      </c>
      <c r="H26" t="e">
        <f t="shared" si="2"/>
        <v>#REF!</v>
      </c>
      <c r="I26" t="s">
        <v>74</v>
      </c>
      <c r="J26" t="e">
        <f>Base!#REF!&amp;" "&amp;Base!#REF!&amp;" "&amp;Base!#REF!</f>
        <v>#REF!</v>
      </c>
      <c r="K26">
        <v>16802683</v>
      </c>
      <c r="L26" t="e">
        <f>Base!#REF!</f>
        <v>#REF!</v>
      </c>
      <c r="M26" t="e">
        <f>Base!#REF!</f>
        <v>#REF!</v>
      </c>
      <c r="N26" s="38" t="e">
        <f>Base!#REF!</f>
        <v>#REF!</v>
      </c>
      <c r="O26" t="e">
        <f>Base!#REF!</f>
        <v>#REF!</v>
      </c>
      <c r="P26" t="e">
        <f>Base!#REF!</f>
        <v>#REF!</v>
      </c>
      <c r="Q26" t="e">
        <f>Base!#REF!</f>
        <v>#REF!</v>
      </c>
      <c r="R26" t="s">
        <v>74</v>
      </c>
      <c r="S26" t="s">
        <v>82</v>
      </c>
      <c r="T26">
        <v>2558</v>
      </c>
      <c r="U26" t="s">
        <v>111</v>
      </c>
      <c r="V26" s="28" t="s">
        <v>49</v>
      </c>
    </row>
    <row r="27" spans="1:22" x14ac:dyDescent="0.2">
      <c r="A27">
        <v>26</v>
      </c>
      <c r="B27">
        <v>8</v>
      </c>
      <c r="C27" t="s">
        <v>45</v>
      </c>
      <c r="D27">
        <v>2019</v>
      </c>
      <c r="E27" s="34" t="e">
        <f>Base!#REF!</f>
        <v>#REF!</v>
      </c>
      <c r="F27" t="e">
        <f t="shared" si="0"/>
        <v>#REF!</v>
      </c>
      <c r="G27" s="40" t="e">
        <f t="shared" si="1"/>
        <v>#REF!</v>
      </c>
      <c r="H27" t="e">
        <f t="shared" si="2"/>
        <v>#REF!</v>
      </c>
      <c r="I27" t="s">
        <v>73</v>
      </c>
      <c r="J27" t="e">
        <f>Base!#REF!&amp;" "&amp;Base!#REF!&amp;" "&amp;Base!#REF!</f>
        <v>#REF!</v>
      </c>
      <c r="K27">
        <v>19060918</v>
      </c>
      <c r="L27" t="e">
        <f>Base!#REF!</f>
        <v>#REF!</v>
      </c>
      <c r="M27" t="e">
        <f>Base!#REF!</f>
        <v>#REF!</v>
      </c>
      <c r="N27" s="38" t="e">
        <f>Base!#REF!</f>
        <v>#REF!</v>
      </c>
      <c r="O27" t="e">
        <f>Base!#REF!</f>
        <v>#REF!</v>
      </c>
      <c r="P27" t="e">
        <f>Base!#REF!</f>
        <v>#REF!</v>
      </c>
      <c r="Q27" t="e">
        <f>Base!#REF!</f>
        <v>#REF!</v>
      </c>
      <c r="R27" t="s">
        <v>73</v>
      </c>
      <c r="S27" t="s">
        <v>75</v>
      </c>
      <c r="T27">
        <v>26226</v>
      </c>
      <c r="U27" t="s">
        <v>112</v>
      </c>
      <c r="V27" s="28" t="s">
        <v>50</v>
      </c>
    </row>
    <row r="28" spans="1:22" x14ac:dyDescent="0.2">
      <c r="A28">
        <v>27</v>
      </c>
      <c r="B28">
        <v>8</v>
      </c>
      <c r="C28" t="s">
        <v>45</v>
      </c>
      <c r="D28">
        <v>2019</v>
      </c>
      <c r="E28" s="34" t="e">
        <f>Base!#REF!</f>
        <v>#REF!</v>
      </c>
      <c r="F28" t="e">
        <f t="shared" si="0"/>
        <v>#REF!</v>
      </c>
      <c r="G28" s="40" t="e">
        <f t="shared" si="1"/>
        <v>#REF!</v>
      </c>
      <c r="H28" t="e">
        <f t="shared" si="2"/>
        <v>#REF!</v>
      </c>
      <c r="I28" t="s">
        <v>74</v>
      </c>
      <c r="J28" t="e">
        <f>Base!#REF!&amp;" "&amp;Base!#REF!&amp;" "&amp;Base!#REF!</f>
        <v>#REF!</v>
      </c>
      <c r="K28">
        <v>9034285</v>
      </c>
      <c r="L28" t="e">
        <f>Base!#REF!</f>
        <v>#REF!</v>
      </c>
      <c r="M28" t="e">
        <f>Base!#REF!</f>
        <v>#REF!</v>
      </c>
      <c r="N28" s="38" t="e">
        <f>Base!#REF!</f>
        <v>#REF!</v>
      </c>
      <c r="O28" t="e">
        <f>Base!#REF!</f>
        <v>#REF!</v>
      </c>
      <c r="P28" t="e">
        <f>Base!#REF!</f>
        <v>#REF!</v>
      </c>
      <c r="Q28" t="e">
        <f>Base!#REF!</f>
        <v>#REF!</v>
      </c>
      <c r="R28" t="s">
        <v>74</v>
      </c>
      <c r="S28" t="s">
        <v>83</v>
      </c>
      <c r="T28">
        <v>21763</v>
      </c>
      <c r="U28" t="s">
        <v>113</v>
      </c>
      <c r="V28" s="28" t="s">
        <v>50</v>
      </c>
    </row>
    <row r="29" spans="1:22" x14ac:dyDescent="0.2">
      <c r="A29">
        <v>28</v>
      </c>
      <c r="B29">
        <v>8</v>
      </c>
      <c r="C29" t="s">
        <v>45</v>
      </c>
      <c r="D29">
        <v>2019</v>
      </c>
      <c r="E29" s="34" t="e">
        <f>Base!#REF!</f>
        <v>#REF!</v>
      </c>
      <c r="F29" t="e">
        <f t="shared" si="0"/>
        <v>#REF!</v>
      </c>
      <c r="G29" s="40" t="e">
        <f t="shared" si="1"/>
        <v>#REF!</v>
      </c>
      <c r="H29" t="e">
        <f t="shared" si="2"/>
        <v>#REF!</v>
      </c>
      <c r="I29" t="s">
        <v>74</v>
      </c>
      <c r="J29" t="e">
        <f>Base!#REF!&amp;" "&amp;Base!#REF!&amp;" "&amp;Base!#REF!</f>
        <v>#REF!</v>
      </c>
      <c r="K29">
        <v>15189117</v>
      </c>
      <c r="L29" t="e">
        <f>Base!#REF!</f>
        <v>#REF!</v>
      </c>
      <c r="M29" t="e">
        <f>Base!#REF!</f>
        <v>#REF!</v>
      </c>
      <c r="N29" s="38" t="e">
        <f>Base!#REF!</f>
        <v>#REF!</v>
      </c>
      <c r="O29" t="e">
        <f>Base!#REF!</f>
        <v>#REF!</v>
      </c>
      <c r="P29" t="e">
        <f>Base!#REF!</f>
        <v>#REF!</v>
      </c>
      <c r="Q29" t="e">
        <f>Base!#REF!</f>
        <v>#REF!</v>
      </c>
      <c r="R29" t="s">
        <v>74</v>
      </c>
      <c r="S29" t="s">
        <v>84</v>
      </c>
      <c r="T29">
        <v>7201</v>
      </c>
      <c r="U29" t="s">
        <v>114</v>
      </c>
      <c r="V29" s="28" t="s">
        <v>53</v>
      </c>
    </row>
    <row r="30" spans="1:22" x14ac:dyDescent="0.2">
      <c r="A30">
        <v>29</v>
      </c>
      <c r="B30">
        <v>8</v>
      </c>
      <c r="C30" t="s">
        <v>45</v>
      </c>
      <c r="D30">
        <v>2019</v>
      </c>
      <c r="E30" s="34" t="e">
        <f>Base!#REF!</f>
        <v>#REF!</v>
      </c>
      <c r="F30" t="e">
        <f t="shared" si="0"/>
        <v>#REF!</v>
      </c>
      <c r="G30" s="40" t="e">
        <f t="shared" si="1"/>
        <v>#REF!</v>
      </c>
      <c r="H30" t="e">
        <f t="shared" si="2"/>
        <v>#REF!</v>
      </c>
      <c r="I30" t="s">
        <v>74</v>
      </c>
      <c r="J30" t="e">
        <f>Base!#REF!&amp;" "&amp;Base!#REF!&amp;" "&amp;Base!#REF!</f>
        <v>#REF!</v>
      </c>
      <c r="K30">
        <v>16965818</v>
      </c>
      <c r="L30" t="e">
        <f>Base!#REF!</f>
        <v>#REF!</v>
      </c>
      <c r="M30" t="e">
        <f>Base!#REF!</f>
        <v>#REF!</v>
      </c>
      <c r="N30" s="38" t="e">
        <f>Base!#REF!</f>
        <v>#REF!</v>
      </c>
      <c r="O30" t="e">
        <f>Base!#REF!</f>
        <v>#REF!</v>
      </c>
      <c r="P30" t="e">
        <f>Base!#REF!</f>
        <v>#REF!</v>
      </c>
      <c r="Q30" t="e">
        <f>Base!#REF!</f>
        <v>#REF!</v>
      </c>
      <c r="R30" t="s">
        <v>74</v>
      </c>
      <c r="S30" t="s">
        <v>85</v>
      </c>
      <c r="T30">
        <v>9399</v>
      </c>
      <c r="U30" t="s">
        <v>115</v>
      </c>
      <c r="V30" s="28" t="s">
        <v>48</v>
      </c>
    </row>
    <row r="31" spans="1:22" x14ac:dyDescent="0.2">
      <c r="A31">
        <v>30</v>
      </c>
      <c r="B31">
        <v>8</v>
      </c>
      <c r="C31" t="s">
        <v>45</v>
      </c>
      <c r="D31">
        <v>2019</v>
      </c>
      <c r="E31" s="34" t="e">
        <f>Base!#REF!</f>
        <v>#REF!</v>
      </c>
      <c r="F31" t="e">
        <f t="shared" si="0"/>
        <v>#REF!</v>
      </c>
      <c r="G31" s="40" t="e">
        <f t="shared" si="1"/>
        <v>#REF!</v>
      </c>
      <c r="H31" t="e">
        <f t="shared" si="2"/>
        <v>#REF!</v>
      </c>
      <c r="I31" t="s">
        <v>74</v>
      </c>
      <c r="J31" t="e">
        <f>Base!#REF!&amp;" "&amp;Base!#REF!&amp;" "&amp;Base!#REF!</f>
        <v>#REF!</v>
      </c>
      <c r="K31">
        <v>14574041</v>
      </c>
      <c r="L31" t="e">
        <f>Base!#REF!</f>
        <v>#REF!</v>
      </c>
      <c r="M31" t="e">
        <f>Base!#REF!</f>
        <v>#REF!</v>
      </c>
      <c r="N31" s="38" t="e">
        <f>Base!#REF!</f>
        <v>#REF!</v>
      </c>
      <c r="O31" t="e">
        <f>Base!#REF!</f>
        <v>#REF!</v>
      </c>
      <c r="P31" t="e">
        <f>Base!#REF!</f>
        <v>#REF!</v>
      </c>
      <c r="Q31" t="e">
        <f>Base!#REF!</f>
        <v>#REF!</v>
      </c>
      <c r="R31" t="s">
        <v>74</v>
      </c>
      <c r="S31" t="s">
        <v>83</v>
      </c>
      <c r="T31">
        <v>21572</v>
      </c>
      <c r="U31" t="s">
        <v>116</v>
      </c>
      <c r="V31" s="28" t="s">
        <v>50</v>
      </c>
    </row>
    <row r="32" spans="1:22" x14ac:dyDescent="0.2">
      <c r="A32">
        <v>31</v>
      </c>
      <c r="B32">
        <v>8</v>
      </c>
      <c r="C32" t="s">
        <v>45</v>
      </c>
      <c r="D32">
        <v>2019</v>
      </c>
      <c r="E32" s="34" t="e">
        <f>Base!#REF!</f>
        <v>#REF!</v>
      </c>
      <c r="F32" t="e">
        <f t="shared" si="0"/>
        <v>#REF!</v>
      </c>
      <c r="G32" s="40" t="e">
        <f t="shared" si="1"/>
        <v>#REF!</v>
      </c>
      <c r="H32" t="e">
        <f t="shared" si="2"/>
        <v>#REF!</v>
      </c>
      <c r="I32" t="s">
        <v>74</v>
      </c>
      <c r="J32" t="e">
        <f>Base!#REF!&amp;" "&amp;Base!#REF!&amp;" "&amp;Base!#REF!</f>
        <v>#REF!</v>
      </c>
      <c r="K32">
        <v>16603967</v>
      </c>
      <c r="L32" t="e">
        <f>Base!#REF!</f>
        <v>#REF!</v>
      </c>
      <c r="M32" t="e">
        <f>Base!#REF!</f>
        <v>#REF!</v>
      </c>
      <c r="N32" s="38" t="e">
        <f>Base!#REF!</f>
        <v>#REF!</v>
      </c>
      <c r="O32" t="e">
        <f>Base!#REF!</f>
        <v>#REF!</v>
      </c>
      <c r="P32" t="e">
        <f>Base!#REF!</f>
        <v>#REF!</v>
      </c>
      <c r="Q32" t="e">
        <f>Base!#REF!</f>
        <v>#REF!</v>
      </c>
      <c r="R32" t="s">
        <v>73</v>
      </c>
      <c r="S32" t="s">
        <v>75</v>
      </c>
      <c r="T32">
        <v>24693</v>
      </c>
      <c r="U32" t="s">
        <v>117</v>
      </c>
      <c r="V32" s="28" t="s">
        <v>50</v>
      </c>
    </row>
    <row r="33" spans="1:22" x14ac:dyDescent="0.2">
      <c r="A33">
        <v>32</v>
      </c>
      <c r="B33">
        <v>8</v>
      </c>
      <c r="C33" t="s">
        <v>45</v>
      </c>
      <c r="D33">
        <v>2019</v>
      </c>
      <c r="E33" s="34" t="e">
        <f>Base!#REF!</f>
        <v>#REF!</v>
      </c>
      <c r="F33" t="e">
        <f t="shared" si="0"/>
        <v>#REF!</v>
      </c>
      <c r="G33" s="40" t="e">
        <f t="shared" si="1"/>
        <v>#REF!</v>
      </c>
      <c r="H33" t="e">
        <f t="shared" si="2"/>
        <v>#REF!</v>
      </c>
      <c r="I33" t="s">
        <v>73</v>
      </c>
      <c r="J33" t="e">
        <f>Base!#REF!&amp;" "&amp;Base!#REF!&amp;" "&amp;Base!#REF!</f>
        <v>#REF!</v>
      </c>
      <c r="K33">
        <v>10361526</v>
      </c>
      <c r="L33" t="e">
        <f>Base!#REF!</f>
        <v>#REF!</v>
      </c>
      <c r="M33" t="e">
        <f>Base!#REF!</f>
        <v>#REF!</v>
      </c>
      <c r="N33" s="38" t="e">
        <f>Base!#REF!</f>
        <v>#REF!</v>
      </c>
      <c r="O33" t="e">
        <f>Base!#REF!</f>
        <v>#REF!</v>
      </c>
      <c r="P33" t="e">
        <f>Base!#REF!</f>
        <v>#REF!</v>
      </c>
      <c r="Q33" t="e">
        <f>Base!#REF!</f>
        <v>#REF!</v>
      </c>
      <c r="R33" t="s">
        <v>73</v>
      </c>
      <c r="S33" t="s">
        <v>75</v>
      </c>
      <c r="T33">
        <v>26187</v>
      </c>
      <c r="U33" t="s">
        <v>118</v>
      </c>
      <c r="V33" s="28" t="s">
        <v>50</v>
      </c>
    </row>
    <row r="34" spans="1:22" x14ac:dyDescent="0.2">
      <c r="A34">
        <v>33</v>
      </c>
      <c r="B34">
        <v>8</v>
      </c>
      <c r="C34" t="s">
        <v>45</v>
      </c>
      <c r="D34">
        <v>2019</v>
      </c>
      <c r="E34" s="34" t="e">
        <f>Base!#REF!</f>
        <v>#REF!</v>
      </c>
      <c r="F34" t="e">
        <f t="shared" si="0"/>
        <v>#REF!</v>
      </c>
      <c r="G34" s="40" t="e">
        <f t="shared" si="1"/>
        <v>#REF!</v>
      </c>
      <c r="H34" t="e">
        <f t="shared" si="2"/>
        <v>#REF!</v>
      </c>
      <c r="I34" t="s">
        <v>73</v>
      </c>
      <c r="J34" t="e">
        <f>Base!#REF!&amp;" "&amp;Base!#REF!&amp;" "&amp;Base!#REF!</f>
        <v>#REF!</v>
      </c>
      <c r="K34">
        <v>16616421</v>
      </c>
      <c r="L34" t="e">
        <f>Base!#REF!</f>
        <v>#REF!</v>
      </c>
      <c r="M34" t="e">
        <f>Base!#REF!</f>
        <v>#REF!</v>
      </c>
      <c r="N34" s="38" t="e">
        <f>Base!#REF!</f>
        <v>#REF!</v>
      </c>
      <c r="O34" t="e">
        <f>Base!#REF!</f>
        <v>#REF!</v>
      </c>
      <c r="P34" t="e">
        <f>Base!#REF!</f>
        <v>#REF!</v>
      </c>
      <c r="Q34" t="e">
        <f>Base!#REF!</f>
        <v>#REF!</v>
      </c>
      <c r="R34" t="s">
        <v>74</v>
      </c>
      <c r="S34" t="s">
        <v>83</v>
      </c>
      <c r="T34">
        <v>19471</v>
      </c>
      <c r="U34" t="s">
        <v>119</v>
      </c>
      <c r="V34" s="28" t="s">
        <v>50</v>
      </c>
    </row>
    <row r="35" spans="1:22" x14ac:dyDescent="0.2">
      <c r="A35">
        <v>34</v>
      </c>
      <c r="B35">
        <v>8</v>
      </c>
      <c r="C35" t="s">
        <v>45</v>
      </c>
      <c r="D35">
        <v>2019</v>
      </c>
      <c r="E35" s="34" t="e">
        <f>Base!#REF!</f>
        <v>#REF!</v>
      </c>
      <c r="F35" t="e">
        <f t="shared" si="0"/>
        <v>#REF!</v>
      </c>
      <c r="G35" s="40" t="e">
        <f t="shared" si="1"/>
        <v>#REF!</v>
      </c>
      <c r="H35" t="e">
        <f t="shared" si="2"/>
        <v>#REF!</v>
      </c>
      <c r="I35" t="s">
        <v>74</v>
      </c>
      <c r="J35" t="e">
        <f>Base!#REF!&amp;" "&amp;Base!#REF!&amp;" "&amp;Base!#REF!</f>
        <v>#REF!</v>
      </c>
      <c r="K35">
        <v>16306594</v>
      </c>
      <c r="L35" t="e">
        <f>Base!#REF!</f>
        <v>#REF!</v>
      </c>
      <c r="M35" t="e">
        <f>Base!#REF!</f>
        <v>#REF!</v>
      </c>
      <c r="N35" s="38" t="e">
        <f>Base!#REF!</f>
        <v>#REF!</v>
      </c>
      <c r="O35" t="e">
        <f>Base!#REF!</f>
        <v>#REF!</v>
      </c>
      <c r="P35" t="e">
        <f>Base!#REF!</f>
        <v>#REF!</v>
      </c>
      <c r="Q35" t="e">
        <f>Base!#REF!</f>
        <v>#REF!</v>
      </c>
      <c r="R35" t="s">
        <v>74</v>
      </c>
      <c r="S35" t="s">
        <v>85</v>
      </c>
      <c r="T35">
        <v>9398</v>
      </c>
      <c r="U35" t="s">
        <v>120</v>
      </c>
      <c r="V35" s="28" t="s">
        <v>48</v>
      </c>
    </row>
    <row r="36" spans="1:22" x14ac:dyDescent="0.2">
      <c r="A36">
        <v>35</v>
      </c>
      <c r="B36">
        <v>8</v>
      </c>
      <c r="C36" t="s">
        <v>45</v>
      </c>
      <c r="D36">
        <v>2019</v>
      </c>
      <c r="E36" s="34" t="e">
        <f>Base!#REF!</f>
        <v>#REF!</v>
      </c>
      <c r="F36" t="e">
        <f t="shared" si="0"/>
        <v>#REF!</v>
      </c>
      <c r="G36" s="40" t="e">
        <f t="shared" si="1"/>
        <v>#REF!</v>
      </c>
      <c r="H36" t="e">
        <f t="shared" si="2"/>
        <v>#REF!</v>
      </c>
      <c r="I36" t="s">
        <v>74</v>
      </c>
      <c r="J36" t="e">
        <f>Base!#REF!&amp;" "&amp;Base!#REF!&amp;" "&amp;Base!#REF!</f>
        <v>#REF!</v>
      </c>
      <c r="K36">
        <v>25564826</v>
      </c>
      <c r="L36" t="e">
        <f>Base!#REF!</f>
        <v>#REF!</v>
      </c>
      <c r="M36" t="e">
        <f>Base!#REF!</f>
        <v>#REF!</v>
      </c>
      <c r="N36" s="38" t="e">
        <f>Base!#REF!</f>
        <v>#REF!</v>
      </c>
      <c r="O36" t="e">
        <f>Base!#REF!</f>
        <v>#REF!</v>
      </c>
      <c r="P36" t="e">
        <f>Base!#REF!</f>
        <v>#REF!</v>
      </c>
      <c r="Q36" t="e">
        <f>Base!#REF!</f>
        <v>#REF!</v>
      </c>
      <c r="R36" t="s">
        <v>73</v>
      </c>
      <c r="S36" t="s">
        <v>75</v>
      </c>
      <c r="T36">
        <v>26555</v>
      </c>
      <c r="U36" t="s">
        <v>121</v>
      </c>
      <c r="V36" s="28" t="s">
        <v>50</v>
      </c>
    </row>
    <row r="37" spans="1:22" x14ac:dyDescent="0.2">
      <c r="A37">
        <v>36</v>
      </c>
      <c r="B37">
        <v>8</v>
      </c>
      <c r="C37" t="s">
        <v>45</v>
      </c>
      <c r="D37">
        <v>2019</v>
      </c>
      <c r="E37" s="34" t="e">
        <f>Base!#REF!</f>
        <v>#REF!</v>
      </c>
      <c r="F37" t="e">
        <f t="shared" si="0"/>
        <v>#REF!</v>
      </c>
      <c r="G37" s="40" t="e">
        <f t="shared" si="1"/>
        <v>#REF!</v>
      </c>
      <c r="H37" t="e">
        <f t="shared" si="2"/>
        <v>#REF!</v>
      </c>
      <c r="I37" t="s">
        <v>73</v>
      </c>
      <c r="J37" t="e">
        <f>Base!#REF!&amp;" "&amp;Base!#REF!&amp;" "&amp;Base!#REF!</f>
        <v>#REF!</v>
      </c>
      <c r="K37">
        <v>19656989</v>
      </c>
      <c r="L37" t="e">
        <f>Base!#REF!</f>
        <v>#REF!</v>
      </c>
      <c r="M37" t="e">
        <f>Base!#REF!</f>
        <v>#REF!</v>
      </c>
      <c r="N37" s="38" t="e">
        <f>Base!#REF!</f>
        <v>#REF!</v>
      </c>
      <c r="O37" t="e">
        <f>Base!#REF!</f>
        <v>#REF!</v>
      </c>
      <c r="P37" t="e">
        <f>Base!#REF!</f>
        <v>#REF!</v>
      </c>
      <c r="Q37" t="e">
        <f>Base!#REF!</f>
        <v>#REF!</v>
      </c>
      <c r="R37" t="s">
        <v>73</v>
      </c>
      <c r="S37" t="s">
        <v>75</v>
      </c>
      <c r="T37">
        <v>27351</v>
      </c>
      <c r="U37" t="s">
        <v>122</v>
      </c>
      <c r="V37" s="28" t="s">
        <v>50</v>
      </c>
    </row>
    <row r="38" spans="1:22" x14ac:dyDescent="0.2">
      <c r="A38">
        <v>37</v>
      </c>
      <c r="B38">
        <v>8</v>
      </c>
      <c r="C38" t="s">
        <v>45</v>
      </c>
      <c r="D38">
        <v>2019</v>
      </c>
      <c r="E38" s="34" t="e">
        <f>Base!#REF!</f>
        <v>#REF!</v>
      </c>
      <c r="F38" t="e">
        <f t="shared" si="0"/>
        <v>#REF!</v>
      </c>
      <c r="G38" s="40" t="e">
        <f t="shared" si="1"/>
        <v>#REF!</v>
      </c>
      <c r="H38" t="e">
        <f t="shared" si="2"/>
        <v>#REF!</v>
      </c>
      <c r="I38" t="s">
        <v>74</v>
      </c>
      <c r="J38" t="e">
        <f>Base!#REF!&amp;" "&amp;Base!#REF!&amp;" "&amp;Base!#REF!</f>
        <v>#REF!</v>
      </c>
      <c r="K38">
        <v>11756064</v>
      </c>
      <c r="L38" t="e">
        <f>Base!#REF!</f>
        <v>#REF!</v>
      </c>
      <c r="M38" t="e">
        <f>Base!#REF!</f>
        <v>#REF!</v>
      </c>
      <c r="N38" s="38" t="e">
        <f>Base!#REF!</f>
        <v>#REF!</v>
      </c>
      <c r="O38" t="e">
        <f>Base!#REF!</f>
        <v>#REF!</v>
      </c>
      <c r="P38" t="e">
        <f>Base!#REF!</f>
        <v>#REF!</v>
      </c>
      <c r="Q38" t="e">
        <f>Base!#REF!</f>
        <v>#REF!</v>
      </c>
      <c r="R38" t="s">
        <v>73</v>
      </c>
      <c r="S38" t="s">
        <v>75</v>
      </c>
      <c r="T38">
        <v>27640</v>
      </c>
      <c r="U38" t="s">
        <v>123</v>
      </c>
      <c r="V38" s="28" t="s">
        <v>50</v>
      </c>
    </row>
    <row r="39" spans="1:22" x14ac:dyDescent="0.2">
      <c r="A39">
        <v>38</v>
      </c>
      <c r="B39">
        <v>8</v>
      </c>
      <c r="C39" t="s">
        <v>45</v>
      </c>
      <c r="D39">
        <v>2019</v>
      </c>
      <c r="E39" s="34" t="e">
        <f>Base!#REF!</f>
        <v>#REF!</v>
      </c>
      <c r="F39" t="e">
        <f t="shared" si="0"/>
        <v>#REF!</v>
      </c>
      <c r="G39" s="40" t="e">
        <f t="shared" si="1"/>
        <v>#REF!</v>
      </c>
      <c r="H39" t="e">
        <f t="shared" si="2"/>
        <v>#REF!</v>
      </c>
      <c r="I39" t="s">
        <v>73</v>
      </c>
      <c r="J39" t="e">
        <f>Base!#REF!&amp;" "&amp;Base!#REF!&amp;" "&amp;Base!#REF!</f>
        <v>#REF!</v>
      </c>
      <c r="K39">
        <v>13484875</v>
      </c>
      <c r="L39" t="e">
        <f>Base!#REF!</f>
        <v>#REF!</v>
      </c>
      <c r="M39" t="e">
        <f>Base!#REF!</f>
        <v>#REF!</v>
      </c>
      <c r="N39" s="38" t="e">
        <f>Base!#REF!</f>
        <v>#REF!</v>
      </c>
      <c r="O39" t="e">
        <f>Base!#REF!</f>
        <v>#REF!</v>
      </c>
      <c r="P39" t="e">
        <f>Base!#REF!</f>
        <v>#REF!</v>
      </c>
      <c r="Q39" t="e">
        <f>Base!#REF!</f>
        <v>#REF!</v>
      </c>
      <c r="R39" t="s">
        <v>73</v>
      </c>
      <c r="S39" t="s">
        <v>75</v>
      </c>
      <c r="T39">
        <v>27668</v>
      </c>
      <c r="U39" t="s">
        <v>124</v>
      </c>
      <c r="V39" s="28" t="s">
        <v>50</v>
      </c>
    </row>
    <row r="40" spans="1:22" x14ac:dyDescent="0.2">
      <c r="A40">
        <v>39</v>
      </c>
      <c r="B40">
        <v>8</v>
      </c>
      <c r="C40" t="s">
        <v>45</v>
      </c>
      <c r="D40">
        <v>2019</v>
      </c>
      <c r="E40" s="34" t="e">
        <f>Base!#REF!</f>
        <v>#REF!</v>
      </c>
      <c r="F40" t="e">
        <f t="shared" si="0"/>
        <v>#REF!</v>
      </c>
      <c r="G40" s="40" t="e">
        <f t="shared" si="1"/>
        <v>#REF!</v>
      </c>
      <c r="H40" t="e">
        <f t="shared" si="2"/>
        <v>#REF!</v>
      </c>
      <c r="I40" t="s">
        <v>74</v>
      </c>
      <c r="J40" t="e">
        <f>Base!#REF!&amp;" "&amp;Base!#REF!&amp;" "&amp;Base!#REF!</f>
        <v>#REF!</v>
      </c>
      <c r="K40">
        <v>16571241</v>
      </c>
      <c r="L40" t="e">
        <f>Base!#REF!</f>
        <v>#REF!</v>
      </c>
      <c r="M40" t="e">
        <f>Base!#REF!</f>
        <v>#REF!</v>
      </c>
      <c r="N40" s="38" t="e">
        <f>Base!#REF!</f>
        <v>#REF!</v>
      </c>
      <c r="O40" t="e">
        <f>Base!#REF!</f>
        <v>#REF!</v>
      </c>
      <c r="P40" t="e">
        <f>Base!#REF!</f>
        <v>#REF!</v>
      </c>
      <c r="Q40" t="e">
        <f>Base!#REF!</f>
        <v>#REF!</v>
      </c>
      <c r="R40" t="s">
        <v>73</v>
      </c>
      <c r="S40" t="s">
        <v>75</v>
      </c>
      <c r="T40">
        <v>27960</v>
      </c>
      <c r="U40" t="s">
        <v>125</v>
      </c>
      <c r="V40" s="28" t="s">
        <v>50</v>
      </c>
    </row>
    <row r="41" spans="1:22" x14ac:dyDescent="0.2">
      <c r="A41">
        <v>40</v>
      </c>
      <c r="B41">
        <v>8</v>
      </c>
      <c r="C41" t="s">
        <v>45</v>
      </c>
      <c r="D41">
        <v>2019</v>
      </c>
      <c r="E41" s="34" t="e">
        <f>Base!#REF!</f>
        <v>#REF!</v>
      </c>
      <c r="F41" t="e">
        <f t="shared" si="0"/>
        <v>#REF!</v>
      </c>
      <c r="G41" s="40" t="e">
        <f t="shared" si="1"/>
        <v>#REF!</v>
      </c>
      <c r="H41" t="e">
        <f t="shared" si="2"/>
        <v>#REF!</v>
      </c>
      <c r="I41" t="s">
        <v>74</v>
      </c>
      <c r="J41" t="e">
        <f>Base!#REF!&amp;" "&amp;Base!#REF!&amp;" "&amp;Base!#REF!</f>
        <v>#REF!</v>
      </c>
      <c r="K41">
        <v>19119141</v>
      </c>
      <c r="L41" t="e">
        <f>Base!#REF!</f>
        <v>#REF!</v>
      </c>
      <c r="M41" t="e">
        <f>Base!#REF!</f>
        <v>#REF!</v>
      </c>
      <c r="N41" s="38" t="e">
        <f>Base!#REF!</f>
        <v>#REF!</v>
      </c>
      <c r="O41" t="e">
        <f>Base!#REF!</f>
        <v>#REF!</v>
      </c>
      <c r="P41" t="e">
        <f>Base!#REF!</f>
        <v>#REF!</v>
      </c>
      <c r="Q41" t="e">
        <f>Base!#REF!</f>
        <v>#REF!</v>
      </c>
      <c r="R41" t="s">
        <v>73</v>
      </c>
      <c r="S41" t="s">
        <v>78</v>
      </c>
      <c r="T41">
        <v>3250</v>
      </c>
      <c r="U41" t="s">
        <v>126</v>
      </c>
      <c r="V41" s="28" t="s">
        <v>47</v>
      </c>
    </row>
    <row r="42" spans="1:22" x14ac:dyDescent="0.2">
      <c r="A42">
        <v>41</v>
      </c>
      <c r="B42">
        <v>8</v>
      </c>
      <c r="C42" t="s">
        <v>45</v>
      </c>
      <c r="D42">
        <v>2019</v>
      </c>
      <c r="E42" s="34" t="e">
        <f>Base!#REF!</f>
        <v>#REF!</v>
      </c>
      <c r="F42" t="e">
        <f t="shared" si="0"/>
        <v>#REF!</v>
      </c>
      <c r="G42" s="40" t="e">
        <f t="shared" si="1"/>
        <v>#REF!</v>
      </c>
      <c r="H42" t="e">
        <f t="shared" si="2"/>
        <v>#REF!</v>
      </c>
      <c r="I42" t="s">
        <v>74</v>
      </c>
      <c r="J42" t="e">
        <f>Base!#REF!&amp;" "&amp;Base!#REF!&amp;" "&amp;Base!#REF!</f>
        <v>#REF!</v>
      </c>
      <c r="K42">
        <v>18877021</v>
      </c>
      <c r="L42" t="e">
        <f>Base!#REF!</f>
        <v>#REF!</v>
      </c>
      <c r="M42" t="e">
        <f>Base!#REF!</f>
        <v>#REF!</v>
      </c>
      <c r="N42" s="38" t="e">
        <f>Base!#REF!</f>
        <v>#REF!</v>
      </c>
      <c r="O42" t="e">
        <f>Base!#REF!</f>
        <v>#REF!</v>
      </c>
      <c r="P42" t="e">
        <f>Base!#REF!</f>
        <v>#REF!</v>
      </c>
      <c r="Q42" t="e">
        <f>Base!#REF!</f>
        <v>#REF!</v>
      </c>
      <c r="R42" t="s">
        <v>73</v>
      </c>
      <c r="S42" t="s">
        <v>78</v>
      </c>
      <c r="T42">
        <v>3248</v>
      </c>
      <c r="U42" t="s">
        <v>126</v>
      </c>
      <c r="V42" s="28" t="s">
        <v>47</v>
      </c>
    </row>
    <row r="43" spans="1:22" x14ac:dyDescent="0.2">
      <c r="A43">
        <v>42</v>
      </c>
      <c r="B43">
        <v>8</v>
      </c>
      <c r="C43" t="s">
        <v>45</v>
      </c>
      <c r="D43">
        <v>2019</v>
      </c>
      <c r="E43" s="34" t="e">
        <f>Base!#REF!</f>
        <v>#REF!</v>
      </c>
      <c r="F43" t="e">
        <f t="shared" si="0"/>
        <v>#REF!</v>
      </c>
      <c r="G43" s="40" t="e">
        <f t="shared" si="1"/>
        <v>#REF!</v>
      </c>
      <c r="H43" t="e">
        <f t="shared" si="2"/>
        <v>#REF!</v>
      </c>
      <c r="I43" t="s">
        <v>74</v>
      </c>
      <c r="J43" t="e">
        <f>Base!#REF!&amp;" "&amp;Base!#REF!&amp;" "&amp;Base!#REF!</f>
        <v>#REF!</v>
      </c>
      <c r="K43">
        <v>18073585</v>
      </c>
      <c r="L43" t="e">
        <f>Base!#REF!</f>
        <v>#REF!</v>
      </c>
      <c r="M43" t="e">
        <f>Base!#REF!</f>
        <v>#REF!</v>
      </c>
      <c r="N43" s="38" t="e">
        <f>Base!#REF!</f>
        <v>#REF!</v>
      </c>
      <c r="O43" t="e">
        <f>Base!#REF!</f>
        <v>#REF!</v>
      </c>
      <c r="P43" t="e">
        <f>Base!#REF!</f>
        <v>#REF!</v>
      </c>
      <c r="Q43" t="e">
        <f>Base!#REF!</f>
        <v>#REF!</v>
      </c>
      <c r="R43" t="s">
        <v>73</v>
      </c>
      <c r="S43" t="s">
        <v>75</v>
      </c>
      <c r="T43">
        <v>28809</v>
      </c>
      <c r="U43" t="s">
        <v>127</v>
      </c>
      <c r="V43" s="28" t="s">
        <v>50</v>
      </c>
    </row>
    <row r="44" spans="1:22" x14ac:dyDescent="0.2">
      <c r="A44">
        <v>43</v>
      </c>
      <c r="B44">
        <v>8</v>
      </c>
      <c r="C44" t="s">
        <v>45</v>
      </c>
      <c r="D44">
        <v>2019</v>
      </c>
      <c r="E44" s="34" t="e">
        <f>Base!#REF!</f>
        <v>#REF!</v>
      </c>
      <c r="F44" t="e">
        <f t="shared" si="0"/>
        <v>#REF!</v>
      </c>
      <c r="G44" s="40" t="e">
        <f t="shared" si="1"/>
        <v>#REF!</v>
      </c>
      <c r="H44" t="e">
        <f t="shared" si="2"/>
        <v>#REF!</v>
      </c>
      <c r="I44" t="s">
        <v>74</v>
      </c>
      <c r="J44" t="e">
        <f>Base!#REF!&amp;" "&amp;Base!#REF!&amp;" "&amp;Base!#REF!</f>
        <v>#REF!</v>
      </c>
      <c r="K44">
        <v>19760380</v>
      </c>
      <c r="L44" t="e">
        <f>Base!#REF!</f>
        <v>#REF!</v>
      </c>
      <c r="M44" t="e">
        <f>Base!#REF!</f>
        <v>#REF!</v>
      </c>
      <c r="N44" s="38" t="e">
        <f>Base!#REF!</f>
        <v>#REF!</v>
      </c>
      <c r="O44" t="e">
        <f>Base!#REF!</f>
        <v>#REF!</v>
      </c>
      <c r="P44" t="e">
        <f>Base!#REF!</f>
        <v>#REF!</v>
      </c>
      <c r="Q44" t="e">
        <f>Base!#REF!</f>
        <v>#REF!</v>
      </c>
      <c r="R44" t="s">
        <v>74</v>
      </c>
      <c r="S44" t="s">
        <v>85</v>
      </c>
      <c r="T44">
        <v>10035</v>
      </c>
      <c r="U44" t="s">
        <v>128</v>
      </c>
      <c r="V44" s="28" t="s">
        <v>48</v>
      </c>
    </row>
    <row r="45" spans="1:22" x14ac:dyDescent="0.2">
      <c r="A45">
        <v>44</v>
      </c>
      <c r="B45">
        <v>8</v>
      </c>
      <c r="C45" t="s">
        <v>45</v>
      </c>
      <c r="D45">
        <v>2019</v>
      </c>
      <c r="E45" s="34" t="e">
        <f>Base!#REF!</f>
        <v>#REF!</v>
      </c>
      <c r="F45" t="e">
        <f t="shared" si="0"/>
        <v>#REF!</v>
      </c>
      <c r="G45" s="40" t="e">
        <f t="shared" si="1"/>
        <v>#REF!</v>
      </c>
      <c r="H45" t="e">
        <f t="shared" si="2"/>
        <v>#REF!</v>
      </c>
      <c r="I45" t="s">
        <v>74</v>
      </c>
      <c r="J45" t="e">
        <f>Base!#REF!&amp;" "&amp;Base!#REF!&amp;" "&amp;Base!#REF!</f>
        <v>#REF!</v>
      </c>
      <c r="K45">
        <v>17146831</v>
      </c>
      <c r="L45" t="e">
        <f>Base!#REF!</f>
        <v>#REF!</v>
      </c>
      <c r="M45" t="e">
        <f>Base!#REF!</f>
        <v>#REF!</v>
      </c>
      <c r="N45" s="38" t="e">
        <f>Base!#REF!</f>
        <v>#REF!</v>
      </c>
      <c r="O45" t="e">
        <f>Base!#REF!</f>
        <v>#REF!</v>
      </c>
      <c r="P45" t="e">
        <f>Base!#REF!</f>
        <v>#REF!</v>
      </c>
      <c r="Q45" t="e">
        <f>Base!#REF!</f>
        <v>#REF!</v>
      </c>
      <c r="R45" t="s">
        <v>74</v>
      </c>
      <c r="S45" t="s">
        <v>86</v>
      </c>
      <c r="T45">
        <v>5719</v>
      </c>
      <c r="U45" t="s">
        <v>129</v>
      </c>
      <c r="V45" s="28" t="s">
        <v>55</v>
      </c>
    </row>
    <row r="46" spans="1:22" x14ac:dyDescent="0.2">
      <c r="A46">
        <v>45</v>
      </c>
      <c r="B46">
        <v>8</v>
      </c>
      <c r="C46" t="s">
        <v>45</v>
      </c>
      <c r="D46">
        <v>2019</v>
      </c>
      <c r="E46" s="34" t="e">
        <f>Base!#REF!</f>
        <v>#REF!</v>
      </c>
      <c r="F46" t="e">
        <f t="shared" si="0"/>
        <v>#REF!</v>
      </c>
      <c r="G46" s="40" t="e">
        <f t="shared" si="1"/>
        <v>#REF!</v>
      </c>
      <c r="H46" t="e">
        <f t="shared" si="2"/>
        <v>#REF!</v>
      </c>
      <c r="I46" t="s">
        <v>73</v>
      </c>
      <c r="J46" t="e">
        <f>Base!#REF!&amp;" "&amp;Base!#REF!&amp;" "&amp;Base!#REF!</f>
        <v>#REF!</v>
      </c>
      <c r="K46">
        <v>14563188</v>
      </c>
      <c r="L46" t="e">
        <f>Base!#REF!</f>
        <v>#REF!</v>
      </c>
      <c r="M46" t="e">
        <f>Base!#REF!</f>
        <v>#REF!</v>
      </c>
      <c r="N46" s="38" t="e">
        <f>Base!#REF!</f>
        <v>#REF!</v>
      </c>
      <c r="O46" t="e">
        <f>Base!#REF!</f>
        <v>#REF!</v>
      </c>
      <c r="P46" t="e">
        <f>Base!#REF!</f>
        <v>#REF!</v>
      </c>
      <c r="Q46" t="e">
        <f>Base!#REF!</f>
        <v>#REF!</v>
      </c>
      <c r="R46" t="s">
        <v>74</v>
      </c>
      <c r="S46" t="s">
        <v>86</v>
      </c>
      <c r="T46">
        <v>5780</v>
      </c>
      <c r="U46" t="s">
        <v>130</v>
      </c>
      <c r="V46" s="28" t="s">
        <v>55</v>
      </c>
    </row>
    <row r="47" spans="1:22" x14ac:dyDescent="0.2">
      <c r="A47">
        <v>46</v>
      </c>
      <c r="B47">
        <v>8</v>
      </c>
      <c r="C47" t="s">
        <v>45</v>
      </c>
      <c r="D47">
        <v>2019</v>
      </c>
      <c r="E47" s="34" t="e">
        <f>Base!#REF!</f>
        <v>#REF!</v>
      </c>
      <c r="F47" t="e">
        <f t="shared" si="0"/>
        <v>#REF!</v>
      </c>
      <c r="G47" s="40" t="e">
        <f t="shared" si="1"/>
        <v>#REF!</v>
      </c>
      <c r="H47" t="e">
        <f t="shared" si="2"/>
        <v>#REF!</v>
      </c>
      <c r="I47" t="s">
        <v>73</v>
      </c>
      <c r="J47" t="e">
        <f>Base!#REF!&amp;" "&amp;Base!#REF!&amp;" "&amp;Base!#REF!</f>
        <v>#REF!</v>
      </c>
      <c r="K47">
        <v>16900857</v>
      </c>
      <c r="L47" t="e">
        <f>Base!#REF!</f>
        <v>#REF!</v>
      </c>
      <c r="M47" t="e">
        <f>Base!#REF!</f>
        <v>#REF!</v>
      </c>
      <c r="N47" s="38" t="e">
        <f>Base!#REF!</f>
        <v>#REF!</v>
      </c>
      <c r="O47" t="e">
        <f>Base!#REF!</f>
        <v>#REF!</v>
      </c>
      <c r="P47" t="e">
        <f>Base!#REF!</f>
        <v>#REF!</v>
      </c>
      <c r="Q47" t="e">
        <f>Base!#REF!</f>
        <v>#REF!</v>
      </c>
      <c r="R47" t="s">
        <v>73</v>
      </c>
      <c r="S47" t="s">
        <v>75</v>
      </c>
      <c r="T47">
        <v>29986</v>
      </c>
      <c r="U47" t="s">
        <v>131</v>
      </c>
      <c r="V47" s="28" t="s">
        <v>50</v>
      </c>
    </row>
    <row r="48" spans="1:22" x14ac:dyDescent="0.2">
      <c r="A48">
        <v>47</v>
      </c>
      <c r="B48">
        <v>8</v>
      </c>
      <c r="C48" t="s">
        <v>45</v>
      </c>
      <c r="D48">
        <v>2019</v>
      </c>
      <c r="E48" s="34" t="e">
        <f>Base!#REF!</f>
        <v>#REF!</v>
      </c>
      <c r="F48" t="e">
        <f t="shared" si="0"/>
        <v>#REF!</v>
      </c>
      <c r="G48" s="40" t="e">
        <f t="shared" si="1"/>
        <v>#REF!</v>
      </c>
      <c r="H48" t="e">
        <f t="shared" si="2"/>
        <v>#REF!</v>
      </c>
      <c r="I48" t="s">
        <v>73</v>
      </c>
      <c r="J48" t="e">
        <f>Base!#REF!&amp;" "&amp;Base!#REF!&amp;" "&amp;Base!#REF!</f>
        <v>#REF!</v>
      </c>
      <c r="K48">
        <v>17740113</v>
      </c>
      <c r="L48" t="e">
        <f>Base!#REF!</f>
        <v>#REF!</v>
      </c>
      <c r="M48" t="e">
        <f>Base!#REF!</f>
        <v>#REF!</v>
      </c>
      <c r="N48" s="38" t="e">
        <f>Base!#REF!</f>
        <v>#REF!</v>
      </c>
      <c r="O48" t="e">
        <f>Base!#REF!</f>
        <v>#REF!</v>
      </c>
      <c r="P48" t="e">
        <f>Base!#REF!</f>
        <v>#REF!</v>
      </c>
      <c r="Q48" t="e">
        <f>Base!#REF!</f>
        <v>#REF!</v>
      </c>
      <c r="R48" t="s">
        <v>73</v>
      </c>
      <c r="S48" t="s">
        <v>78</v>
      </c>
      <c r="T48">
        <v>3389</v>
      </c>
      <c r="U48" t="s">
        <v>132</v>
      </c>
      <c r="V48" s="28" t="s">
        <v>47</v>
      </c>
    </row>
    <row r="49" spans="1:22" x14ac:dyDescent="0.2">
      <c r="A49">
        <v>48</v>
      </c>
      <c r="B49">
        <v>8</v>
      </c>
      <c r="C49" t="s">
        <v>45</v>
      </c>
      <c r="D49">
        <v>2019</v>
      </c>
      <c r="E49" s="34" t="e">
        <f>Base!#REF!</f>
        <v>#REF!</v>
      </c>
      <c r="F49" t="e">
        <f t="shared" si="0"/>
        <v>#REF!</v>
      </c>
      <c r="G49" s="40" t="e">
        <f t="shared" si="1"/>
        <v>#REF!</v>
      </c>
      <c r="H49" t="e">
        <f t="shared" si="2"/>
        <v>#REF!</v>
      </c>
      <c r="I49" t="s">
        <v>73</v>
      </c>
      <c r="J49" t="e">
        <f>Base!#REF!&amp;" "&amp;Base!#REF!&amp;" "&amp;Base!#REF!</f>
        <v>#REF!</v>
      </c>
      <c r="K49">
        <v>17144755</v>
      </c>
      <c r="L49" t="e">
        <f>Base!#REF!</f>
        <v>#REF!</v>
      </c>
      <c r="M49" t="e">
        <f>Base!#REF!</f>
        <v>#REF!</v>
      </c>
      <c r="N49" s="38" t="e">
        <f>Base!#REF!</f>
        <v>#REF!</v>
      </c>
      <c r="O49" t="e">
        <f>Base!#REF!</f>
        <v>#REF!</v>
      </c>
      <c r="P49" t="e">
        <f>Base!#REF!</f>
        <v>#REF!</v>
      </c>
      <c r="Q49" t="e">
        <f>Base!#REF!</f>
        <v>#REF!</v>
      </c>
      <c r="R49" t="s">
        <v>74</v>
      </c>
      <c r="S49" t="s">
        <v>86</v>
      </c>
      <c r="T49">
        <v>3176</v>
      </c>
      <c r="U49" t="s">
        <v>133</v>
      </c>
      <c r="V49" s="2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Base</vt:lpstr>
      <vt:lpstr>Valo FX</vt:lpstr>
      <vt:lpstr>Valo</vt:lpstr>
      <vt:lpstr>Tabla desarrollo FX</vt:lpstr>
      <vt:lpstr>Tabla desarrollo</vt:lpstr>
      <vt:lpstr>Comuna</vt:lpstr>
      <vt:lpstr>Contrato</vt:lpstr>
      <vt:lpstr>'Valo FX'!Print_Area</vt:lpstr>
    </vt:vector>
  </TitlesOfParts>
  <Company>Ecomac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jstambukr</dc:creator>
  <cp:lastModifiedBy>Werth, Trini</cp:lastModifiedBy>
  <cp:lastPrinted>2016-10-06T16:34:46Z</cp:lastPrinted>
  <dcterms:created xsi:type="dcterms:W3CDTF">2009-12-28T18:10:51Z</dcterms:created>
  <dcterms:modified xsi:type="dcterms:W3CDTF">2024-03-28T15:24:27Z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dd46427-b049-4099-a1b9-e5ce547210a1_Enabled">
    <vt:lpwstr>true</vt:lpwstr>
  </property>
  <property fmtid="{D5CDD505-2E9C-101B-9397-08002B2CF9AE}" pid="3" name="MSIP_Label_6dd46427-b049-4099-a1b9-e5ce547210a1_SetDate">
    <vt:lpwstr>2023-04-23T00:47:53Z</vt:lpwstr>
  </property>
  <property fmtid="{D5CDD505-2E9C-101B-9397-08002B2CF9AE}" pid="4" name="MSIP_Label_6dd46427-b049-4099-a1b9-e5ce547210a1_Method">
    <vt:lpwstr>Standard</vt:lpwstr>
  </property>
  <property fmtid="{D5CDD505-2E9C-101B-9397-08002B2CF9AE}" pid="5" name="MSIP_Label_6dd46427-b049-4099-a1b9-e5ce547210a1_Name">
    <vt:lpwstr>6dd46427-b049-4099-a1b9-e5ce547210a1</vt:lpwstr>
  </property>
  <property fmtid="{D5CDD505-2E9C-101B-9397-08002B2CF9AE}" pid="6" name="MSIP_Label_6dd46427-b049-4099-a1b9-e5ce547210a1_SiteId">
    <vt:lpwstr>16e7cf3f-6af4-4e76-941e-aecafb9704e9</vt:lpwstr>
  </property>
  <property fmtid="{D5CDD505-2E9C-101B-9397-08002B2CF9AE}" pid="7" name="MSIP_Label_6dd46427-b049-4099-a1b9-e5ce547210a1_ActionId">
    <vt:lpwstr>c572b983-53ef-4008-95c1-67fa7c19ad1c</vt:lpwstr>
  </property>
  <property fmtid="{D5CDD505-2E9C-101B-9397-08002B2CF9AE}" pid="8" name="MSIP_Label_6dd46427-b049-4099-a1b9-e5ce547210a1_ContentBits">
    <vt:lpwstr>0</vt:lpwstr>
  </property>
</Properties>
</file>